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 Dictionary" sheetId="2" state="visible" r:id="rId4"/>
    <sheet name="Calcs" sheetId="3" state="visible" r:id="rId5"/>
    <sheet name="Model" sheetId="4" state="visible" r:id="rId6"/>
    <sheet name="Orders" sheetId="5" state="visible" r:id="rId7"/>
    <sheet name="Products" sheetId="6" state="visible" r:id="rId8"/>
    <sheet name="Customers" sheetId="7" state="visible" r:id="rId9"/>
    <sheet name="List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<sst xmlns="http://schemas.openxmlformats.org/spreadsheetml/2006/main" count="7687" uniqueCount="1092">
  <si>
    <t xml:space="preserve">FERNS N PETALS</t>
  </si>
  <si>
    <t xml:space="preserve">1,000 orders  ·  100 customers  ·  70 products  ·  301 delivery cities</t>
  </si>
  <si>
    <t xml:space="preserve">Sales Analysis — 1 Jan to 29 Dec 2023</t>
  </si>
  <si>
    <t xml:space="preserve">Every figure recalculates from the two filters below</t>
  </si>
  <si>
    <t xml:space="preserve">OCCASION</t>
  </si>
  <si>
    <t xml:space="preserve">(All)</t>
  </si>
  <si>
    <t xml:space="preserve">CATEGORY</t>
  </si>
  <si>
    <t xml:space="preserve">Pick from the dropdowns — charts, tiles and tables all follow</t>
  </si>
  <si>
    <t xml:space="preserve">TOTAL REVENUE</t>
  </si>
  <si>
    <t xml:space="preserve">AVG ORDER VALUE</t>
  </si>
  <si>
    <t xml:space="preserve">REV PER CUSTOMER</t>
  </si>
  <si>
    <t xml:space="preserve">DELIVERY TIME</t>
  </si>
  <si>
    <t xml:space="preserve">PEAK MONTH</t>
  </si>
  <si>
    <t xml:space="preserve">FESTIVAL SHARE</t>
  </si>
  <si>
    <t xml:space="preserve">TIMING</t>
  </si>
  <si>
    <t xml:space="preserve">When does the year actually happen?</t>
  </si>
  <si>
    <t xml:space="preserve">RHYTHM</t>
  </si>
  <si>
    <t xml:space="preserve">What does a week and a day look like?</t>
  </si>
  <si>
    <t xml:space="preserve">OCCASION &amp; ASSORTMENT</t>
  </si>
  <si>
    <t xml:space="preserve">Which occasion pays, and what sells?</t>
  </si>
  <si>
    <t xml:space="preserve">VALUE &amp; REACH</t>
  </si>
  <si>
    <t xml:space="preserve">Where does the money concentrate?</t>
  </si>
  <si>
    <t xml:space="preserve">CUSTOMERS</t>
  </si>
  <si>
    <t xml:space="preserve">Who buys, and how do categories map to occasions?</t>
  </si>
  <si>
    <t xml:space="preserve">Highest-value customers</t>
  </si>
  <si>
    <t xml:space="preserve">Category × occasion revenue          (₹ thousands)</t>
  </si>
  <si>
    <t xml:space="preserve">CUSTOMER</t>
  </si>
  <si>
    <t xml:space="preserve">REVENUE</t>
  </si>
  <si>
    <t xml:space="preserve">ORDERS</t>
  </si>
  <si>
    <t xml:space="preserve">All Occ.</t>
  </si>
  <si>
    <t xml:space="preserve">Anniv.</t>
  </si>
  <si>
    <t xml:space="preserve">Birthday</t>
  </si>
  <si>
    <t xml:space="preserve">Diwali</t>
  </si>
  <si>
    <t xml:space="preserve">Holi</t>
  </si>
  <si>
    <t xml:space="preserve">Rakhi</t>
  </si>
  <si>
    <t xml:space="preserve">Valentine</t>
  </si>
  <si>
    <t xml:space="preserve">Cake</t>
  </si>
  <si>
    <t xml:space="preserve">Colors</t>
  </si>
  <si>
    <t xml:space="preserve">Mugs</t>
  </si>
  <si>
    <t xml:space="preserve">Plants</t>
  </si>
  <si>
    <t xml:space="preserve">Raksha Bandhan</t>
  </si>
  <si>
    <t xml:space="preserve">Soft Toys</t>
  </si>
  <si>
    <t xml:space="preserve">Sweets</t>
  </si>
  <si>
    <t xml:space="preserve">FNP SALES ANALYSIS — DATA DICTIONARY</t>
  </si>
  <si>
    <t xml:space="preserve">Three source files, joined into one fact table on the Model sheet. Revenue is derived, not supplied.</t>
  </si>
  <si>
    <t xml:space="preserve">orders.csv</t>
  </si>
  <si>
    <t xml:space="preserve">1,000 rows · 10 fields · the fact table</t>
  </si>
  <si>
    <t xml:space="preserve">Field</t>
  </si>
  <si>
    <t xml:space="preserve">Type</t>
  </si>
  <si>
    <t xml:space="preserve">Key</t>
  </si>
  <si>
    <t xml:space="preserve">Notes</t>
  </si>
  <si>
    <t xml:space="preserve">Order_ID</t>
  </si>
  <si>
    <t xml:space="preserve">integer</t>
  </si>
  <si>
    <t xml:space="preserve">PK</t>
  </si>
  <si>
    <t xml:space="preserve">Range 1–1000, no duplicates.</t>
  </si>
  <si>
    <t xml:space="preserve">Customer_ID</t>
  </si>
  <si>
    <t xml:space="preserve">text</t>
  </si>
  <si>
    <t xml:space="preserve">FK</t>
  </si>
  <si>
    <t xml:space="preserve">Joins to customers.csv.</t>
  </si>
  <si>
    <t xml:space="preserve">Product_ID</t>
  </si>
  <si>
    <t xml:space="preserve">Joins to products.csv. Always join on this, never on Product_Name.</t>
  </si>
  <si>
    <t xml:space="preserve">Quantity</t>
  </si>
  <si>
    <t xml:space="preserve">Units of one product, 1–5, near-uniform. Drives basket size.</t>
  </si>
  <si>
    <t xml:space="preserve">Order_Date</t>
  </si>
  <si>
    <t xml:space="preserve">date</t>
  </si>
  <si>
    <t xml:space="preserve">DD-MM-YYYY in the raw file. Parsed explicitly on import — left to Excel, 07-11-2023 reads as 11 July.</t>
  </si>
  <si>
    <t xml:space="preserve">Order_Time</t>
  </si>
  <si>
    <t xml:space="preserve">time</t>
  </si>
  <si>
    <t xml:space="preserve">24-hour clock. Combined with Order_Date for the hour analysis.</t>
  </si>
  <si>
    <t xml:space="preserve">Delivery_Date</t>
  </si>
  <si>
    <t xml:space="preserve">Runs into January 2024 for late-December orders.</t>
  </si>
  <si>
    <t xml:space="preserve">Delivery_Time</t>
  </si>
  <si>
    <t xml:space="preserve">Paired with Delivery_Date so lead time is measured to the hour.</t>
  </si>
  <si>
    <t xml:space="preserve">Location</t>
  </si>
  <si>
    <t xml:space="preserve">DELIVERY city — 301 distinct. Matches the buyer’s own city in only 0.1% of orders, because gifts ship to the recipient.</t>
  </si>
  <si>
    <t xml:space="preserve">Occasion</t>
  </si>
  <si>
    <t xml:space="preserve">What the order was placed for. Differs from the product’s own Occasion tag.</t>
  </si>
  <si>
    <t xml:space="preserve">products.csv</t>
  </si>
  <si>
    <t xml:space="preserve">70 rows · 6 fields · catalogue</t>
  </si>
  <si>
    <t xml:space="preserve">Range 1–70.</t>
  </si>
  <si>
    <t xml:space="preserve">Product_Name</t>
  </si>
  <si>
    <t xml:space="preserve">NOT unique. "Quia Gift" is IDs 21 and 56; "Error Gift" is IDs 65 and 70 — different categories and prices. Grouping by name double-counts them.</t>
  </si>
  <si>
    <t xml:space="preserve">Category</t>
  </si>
  <si>
    <t xml:space="preserve">Cake, Colors, Mugs, Plants, Raksha Bandhan, Soft Toys, Sweets.</t>
  </si>
  <si>
    <t xml:space="preserve">Price (INR)</t>
  </si>
  <si>
    <t xml:space="preserve">₹203–₹1,977, median ₹1,170. Unit price, not line total.</t>
  </si>
  <si>
    <t xml:space="preserve">The occasion the item is merchandised for — a catalogue attribute, not a sales fact. The dashboard uses the ORDER occasion instead.</t>
  </si>
  <si>
    <t xml:space="preserve">Description</t>
  </si>
  <si>
    <t xml:space="preserve">Placeholder Latin text. No analytical value.</t>
  </si>
  <si>
    <t xml:space="preserve">customers.csv</t>
  </si>
  <si>
    <t xml:space="preserve">100 rows · 7 fields · registered buyers</t>
  </si>
  <si>
    <t xml:space="preserve">C001–C100.</t>
  </si>
  <si>
    <t xml:space="preserve">Name</t>
  </si>
  <si>
    <t xml:space="preserve">Buyer name. Not guaranteed unique — the customer ranking aggregates on Customer_ID.</t>
  </si>
  <si>
    <t xml:space="preserve">City</t>
  </si>
  <si>
    <t xml:space="preserve">Buyer’s home city, 86 distinct. This is NOT the delivery city.</t>
  </si>
  <si>
    <t xml:space="preserve">Contact_Number</t>
  </si>
  <si>
    <t xml:space="preserve">Stored numerically, so any leading zero is already lost. Treat as text on reload.</t>
  </si>
  <si>
    <t xml:space="preserve">Email</t>
  </si>
  <si>
    <t xml:space="preserve">Free text, not validated against the Name field.</t>
  </si>
  <si>
    <t xml:space="preserve">Gender</t>
  </si>
  <si>
    <t xml:space="preserve">Male / Female, split 51 / 49.</t>
  </si>
  <si>
    <t xml:space="preserve">Address</t>
  </si>
  <si>
    <t xml:space="preserve">Multi-line in the raw file; embedded newline escapes were replaced with commas on import.</t>
  </si>
  <si>
    <t xml:space="preserve">Derived fields and assumptions</t>
  </si>
  <si>
    <t xml:space="preserve">•  Revenue = orders.Quantity × products.Price (INR). There is no revenue column in any source file.</t>
  </si>
  <si>
    <t xml:space="preserve">•  Lead_Days = (Delivery_Date + Delivery_Time) − (Order_Date + Order_Time), so it is measured to the hour, not rounded to whole days.</t>
  </si>
  <si>
    <t xml:space="preserve">•  Festival months are Feb (Valentine’s), Mar (Holi), Aug (Raksha Bandhan) and Nov (Diwali) — set on the Lists sheet, column D.</t>
  </si>
  <si>
    <t xml:space="preserve">•  Price bands and delivery-time buckets are defined on the Lists sheet and applied with LOOKUP, so editing the thresholds there updates every chart.</t>
  </si>
  <si>
    <t xml:space="preserve">•  The two Dashboard dropdowns write into Calcs!B3 and Calcs!B4, which resolve "(All)" to the wildcard "*". Every SUMIFS and COUNTIFS reads those two cells.</t>
  </si>
  <si>
    <t xml:space="preserve">•  Top-10 tables rank with LARGE plus a tie-break key, so ties resolve by revenue and then row order rather than arbitrarily.</t>
  </si>
  <si>
    <t xml:space="preserve">CALCULATION LAYER</t>
  </si>
  <si>
    <t xml:space="preserve">Every table below is driven by the two dropdowns on the Dashboard. "(All)" becomes the wildcard "*", which SUMIFS matches against any text.</t>
  </si>
  <si>
    <t xml:space="preserve">Occasion criteria</t>
  </si>
  <si>
    <t xml:space="preserve">Category criteria</t>
  </si>
  <si>
    <t xml:space="preserve">Revenue by month</t>
  </si>
  <si>
    <t xml:space="preserve">All products (keyed on Product_ID)</t>
  </si>
  <si>
    <t xml:space="preserve">Top 10 products</t>
  </si>
  <si>
    <t xml:space="preserve">All delivery cities</t>
  </si>
  <si>
    <t xml:space="preserve">Top 10 cities</t>
  </si>
  <si>
    <t xml:space="preserve">All customers</t>
  </si>
  <si>
    <t xml:space="preserve">Top 10 customers</t>
  </si>
  <si>
    <t xml:space="preserve">Jan</t>
  </si>
  <si>
    <t xml:space="preserve">Adoni</t>
  </si>
  <si>
    <t xml:space="preserve">C001</t>
  </si>
  <si>
    <t xml:space="preserve">Feb</t>
  </si>
  <si>
    <t xml:space="preserve">Agartala</t>
  </si>
  <si>
    <t xml:space="preserve">C002</t>
  </si>
  <si>
    <t xml:space="preserve">Mar</t>
  </si>
  <si>
    <t xml:space="preserve">Agra</t>
  </si>
  <si>
    <t xml:space="preserve">C003</t>
  </si>
  <si>
    <t xml:space="preserve">Apr</t>
  </si>
  <si>
    <t xml:space="preserve">Ahmedabad</t>
  </si>
  <si>
    <t xml:space="preserve">C004</t>
  </si>
  <si>
    <t xml:space="preserve">May</t>
  </si>
  <si>
    <t xml:space="preserve">Ahmednagar</t>
  </si>
  <si>
    <t xml:space="preserve">C005</t>
  </si>
  <si>
    <t xml:space="preserve">Jun</t>
  </si>
  <si>
    <t xml:space="preserve">Aizawl</t>
  </si>
  <si>
    <t xml:space="preserve">C006</t>
  </si>
  <si>
    <t xml:space="preserve">Jul</t>
  </si>
  <si>
    <t xml:space="preserve">Ajmer</t>
  </si>
  <si>
    <t xml:space="preserve">C007</t>
  </si>
  <si>
    <t xml:space="preserve">Aug</t>
  </si>
  <si>
    <t xml:space="preserve">Akola</t>
  </si>
  <si>
    <t xml:space="preserve">C008</t>
  </si>
  <si>
    <t xml:space="preserve">Sep</t>
  </si>
  <si>
    <t xml:space="preserve">Alappuzha</t>
  </si>
  <si>
    <t xml:space="preserve">C009</t>
  </si>
  <si>
    <t xml:space="preserve">Oct</t>
  </si>
  <si>
    <t xml:space="preserve">Aligarh</t>
  </si>
  <si>
    <t xml:space="preserve">C010</t>
  </si>
  <si>
    <t xml:space="preserve">Nov</t>
  </si>
  <si>
    <t xml:space="preserve">Allahabad</t>
  </si>
  <si>
    <t xml:space="preserve">C011</t>
  </si>
  <si>
    <t xml:space="preserve">Dec</t>
  </si>
  <si>
    <t xml:space="preserve">Alwar</t>
  </si>
  <si>
    <t xml:space="preserve">C012</t>
  </si>
  <si>
    <t xml:space="preserve">Amaravati</t>
  </si>
  <si>
    <t xml:space="preserve">C013</t>
  </si>
  <si>
    <t xml:space="preserve">Ambala</t>
  </si>
  <si>
    <t xml:space="preserve">C014</t>
  </si>
  <si>
    <t xml:space="preserve">Revenue by occasion</t>
  </si>
  <si>
    <t xml:space="preserve">Ambarnath</t>
  </si>
  <si>
    <t xml:space="preserve">C015</t>
  </si>
  <si>
    <t xml:space="preserve">All Occasions</t>
  </si>
  <si>
    <t xml:space="preserve">Ambattur</t>
  </si>
  <si>
    <t xml:space="preserve">C016</t>
  </si>
  <si>
    <t xml:space="preserve">Anniversary</t>
  </si>
  <si>
    <t xml:space="preserve">Amravati</t>
  </si>
  <si>
    <t xml:space="preserve">C017</t>
  </si>
  <si>
    <t xml:space="preserve">Amritsar</t>
  </si>
  <si>
    <t xml:space="preserve">C018</t>
  </si>
  <si>
    <t xml:space="preserve">Amroha</t>
  </si>
  <si>
    <t xml:space="preserve">C019</t>
  </si>
  <si>
    <t xml:space="preserve">Anand</t>
  </si>
  <si>
    <t xml:space="preserve">C020</t>
  </si>
  <si>
    <t xml:space="preserve">Anantapur</t>
  </si>
  <si>
    <t xml:space="preserve">C021</t>
  </si>
  <si>
    <t xml:space="preserve">Valentine's Day</t>
  </si>
  <si>
    <t xml:space="preserve">Anantapuram</t>
  </si>
  <si>
    <t xml:space="preserve">C022</t>
  </si>
  <si>
    <t xml:space="preserve">Arrah</t>
  </si>
  <si>
    <t xml:space="preserve">C023</t>
  </si>
  <si>
    <t xml:space="preserve">Asansol</t>
  </si>
  <si>
    <t xml:space="preserve">C024</t>
  </si>
  <si>
    <t xml:space="preserve">Revenue by category</t>
  </si>
  <si>
    <t xml:space="preserve">Aurangabad</t>
  </si>
  <si>
    <t xml:space="preserve">C025</t>
  </si>
  <si>
    <t xml:space="preserve">Avadi</t>
  </si>
  <si>
    <t xml:space="preserve">C026</t>
  </si>
  <si>
    <t xml:space="preserve">Bahraich</t>
  </si>
  <si>
    <t xml:space="preserve">C027</t>
  </si>
  <si>
    <t xml:space="preserve">Ballia</t>
  </si>
  <si>
    <t xml:space="preserve">C028</t>
  </si>
  <si>
    <t xml:space="preserve">Bally</t>
  </si>
  <si>
    <t xml:space="preserve">C029</t>
  </si>
  <si>
    <t xml:space="preserve">Bangalore</t>
  </si>
  <si>
    <t xml:space="preserve">C030</t>
  </si>
  <si>
    <t xml:space="preserve">Barasat</t>
  </si>
  <si>
    <t xml:space="preserve">C031</t>
  </si>
  <si>
    <t xml:space="preserve">Bardhaman</t>
  </si>
  <si>
    <t xml:space="preserve">C032</t>
  </si>
  <si>
    <t xml:space="preserve">Bareilly</t>
  </si>
  <si>
    <t xml:space="preserve">C033</t>
  </si>
  <si>
    <t xml:space="preserve">Bathinda</t>
  </si>
  <si>
    <t xml:space="preserve">C034</t>
  </si>
  <si>
    <t xml:space="preserve">Revenue by hour of order</t>
  </si>
  <si>
    <t xml:space="preserve">Begusarai</t>
  </si>
  <si>
    <t xml:space="preserve">C035</t>
  </si>
  <si>
    <t xml:space="preserve">00:00</t>
  </si>
  <si>
    <t xml:space="preserve">Belgaum</t>
  </si>
  <si>
    <t xml:space="preserve">C036</t>
  </si>
  <si>
    <t xml:space="preserve">01:00</t>
  </si>
  <si>
    <t xml:space="preserve">Bellary</t>
  </si>
  <si>
    <t xml:space="preserve">C037</t>
  </si>
  <si>
    <t xml:space="preserve">02:00</t>
  </si>
  <si>
    <t xml:space="preserve">Berhampore</t>
  </si>
  <si>
    <t xml:space="preserve">C038</t>
  </si>
  <si>
    <t xml:space="preserve">03:00</t>
  </si>
  <si>
    <t xml:space="preserve">Berhampur</t>
  </si>
  <si>
    <t xml:space="preserve">C039</t>
  </si>
  <si>
    <t xml:space="preserve">04:00</t>
  </si>
  <si>
    <t xml:space="preserve">Bettiah</t>
  </si>
  <si>
    <t xml:space="preserve">C040</t>
  </si>
  <si>
    <t xml:space="preserve">05:00</t>
  </si>
  <si>
    <t xml:space="preserve">Bhagalpur</t>
  </si>
  <si>
    <t xml:space="preserve">C041</t>
  </si>
  <si>
    <t xml:space="preserve">06:00</t>
  </si>
  <si>
    <t xml:space="preserve">Bhalswa Jahangir Pur</t>
  </si>
  <si>
    <t xml:space="preserve">C042</t>
  </si>
  <si>
    <t xml:space="preserve">07:00</t>
  </si>
  <si>
    <t xml:space="preserve">Bharatpur</t>
  </si>
  <si>
    <t xml:space="preserve">C043</t>
  </si>
  <si>
    <t xml:space="preserve">08:00</t>
  </si>
  <si>
    <t xml:space="preserve">Bhatpara</t>
  </si>
  <si>
    <t xml:space="preserve">C044</t>
  </si>
  <si>
    <t xml:space="preserve">09:00</t>
  </si>
  <si>
    <t xml:space="preserve">Bhavnagar</t>
  </si>
  <si>
    <t xml:space="preserve">C045</t>
  </si>
  <si>
    <t xml:space="preserve">10:00</t>
  </si>
  <si>
    <t xml:space="preserve">Bhilai</t>
  </si>
  <si>
    <t xml:space="preserve">C046</t>
  </si>
  <si>
    <t xml:space="preserve">11:00</t>
  </si>
  <si>
    <t xml:space="preserve">Bhilwara</t>
  </si>
  <si>
    <t xml:space="preserve">C047</t>
  </si>
  <si>
    <t xml:space="preserve">12:00</t>
  </si>
  <si>
    <t xml:space="preserve">Bhimavaram</t>
  </si>
  <si>
    <t xml:space="preserve">C048</t>
  </si>
  <si>
    <t xml:space="preserve">13:00</t>
  </si>
  <si>
    <t xml:space="preserve">Bhind</t>
  </si>
  <si>
    <t xml:space="preserve">C049</t>
  </si>
  <si>
    <t xml:space="preserve">14:00</t>
  </si>
  <si>
    <t xml:space="preserve">Bhiwandi</t>
  </si>
  <si>
    <t xml:space="preserve">C050</t>
  </si>
  <si>
    <t xml:space="preserve">15:00</t>
  </si>
  <si>
    <t xml:space="preserve">Bhiwani</t>
  </si>
  <si>
    <t xml:space="preserve">C051</t>
  </si>
  <si>
    <t xml:space="preserve">16:00</t>
  </si>
  <si>
    <t xml:space="preserve">Bhopal</t>
  </si>
  <si>
    <t xml:space="preserve">C052</t>
  </si>
  <si>
    <t xml:space="preserve">17:00</t>
  </si>
  <si>
    <t xml:space="preserve">Bhubaneswar</t>
  </si>
  <si>
    <t xml:space="preserve">C053</t>
  </si>
  <si>
    <t xml:space="preserve">18:00</t>
  </si>
  <si>
    <t xml:space="preserve">Bhusawal</t>
  </si>
  <si>
    <t xml:space="preserve">C054</t>
  </si>
  <si>
    <t xml:space="preserve">19:00</t>
  </si>
  <si>
    <t xml:space="preserve">Bidar</t>
  </si>
  <si>
    <t xml:space="preserve">C055</t>
  </si>
  <si>
    <t xml:space="preserve">20:00</t>
  </si>
  <si>
    <t xml:space="preserve">Bidhannagar</t>
  </si>
  <si>
    <t xml:space="preserve">C056</t>
  </si>
  <si>
    <t xml:space="preserve">21:00</t>
  </si>
  <si>
    <t xml:space="preserve">Bihar Sharif</t>
  </si>
  <si>
    <t xml:space="preserve">C057</t>
  </si>
  <si>
    <t xml:space="preserve">22:00</t>
  </si>
  <si>
    <t xml:space="preserve">Bijapur</t>
  </si>
  <si>
    <t xml:space="preserve">C058</t>
  </si>
  <si>
    <t xml:space="preserve">23:00</t>
  </si>
  <si>
    <t xml:space="preserve">Bikaner</t>
  </si>
  <si>
    <t xml:space="preserve">C059</t>
  </si>
  <si>
    <t xml:space="preserve">Bilaspur</t>
  </si>
  <si>
    <t xml:space="preserve">C060</t>
  </si>
  <si>
    <t xml:space="preserve">Bokaro</t>
  </si>
  <si>
    <t xml:space="preserve">C061</t>
  </si>
  <si>
    <t xml:space="preserve">Orders by weekday</t>
  </si>
  <si>
    <t xml:space="preserve">Bongaigaon</t>
  </si>
  <si>
    <t xml:space="preserve">C062</t>
  </si>
  <si>
    <t xml:space="preserve">Mon</t>
  </si>
  <si>
    <t xml:space="preserve">Bulandshahr</t>
  </si>
  <si>
    <t xml:space="preserve">C063</t>
  </si>
  <si>
    <t xml:space="preserve">Tue</t>
  </si>
  <si>
    <t xml:space="preserve">Burhanpur</t>
  </si>
  <si>
    <t xml:space="preserve">C064</t>
  </si>
  <si>
    <t xml:space="preserve">Wed</t>
  </si>
  <si>
    <t xml:space="preserve">Buxar</t>
  </si>
  <si>
    <t xml:space="preserve">C065</t>
  </si>
  <si>
    <t xml:space="preserve">Thu</t>
  </si>
  <si>
    <t xml:space="preserve">Chandigarh</t>
  </si>
  <si>
    <t xml:space="preserve">C066</t>
  </si>
  <si>
    <t xml:space="preserve">Fri</t>
  </si>
  <si>
    <t xml:space="preserve">Chandrapur</t>
  </si>
  <si>
    <t xml:space="preserve">C067</t>
  </si>
  <si>
    <t xml:space="preserve">Sat</t>
  </si>
  <si>
    <t xml:space="preserve">Chapra</t>
  </si>
  <si>
    <t xml:space="preserve">C068</t>
  </si>
  <si>
    <t xml:space="preserve">Sun</t>
  </si>
  <si>
    <t xml:space="preserve">Chennai</t>
  </si>
  <si>
    <t xml:space="preserve">C069</t>
  </si>
  <si>
    <t xml:space="preserve">Chinsurah</t>
  </si>
  <si>
    <t xml:space="preserve">C070</t>
  </si>
  <si>
    <t xml:space="preserve">Chittoor</t>
  </si>
  <si>
    <t xml:space="preserve">C071</t>
  </si>
  <si>
    <t xml:space="preserve">Order-to-delivery time</t>
  </si>
  <si>
    <t xml:space="preserve">Cuttack</t>
  </si>
  <si>
    <t xml:space="preserve">C072</t>
  </si>
  <si>
    <t xml:space="preserve">0 - 2 days</t>
  </si>
  <si>
    <t xml:space="preserve">Danapur</t>
  </si>
  <si>
    <t xml:space="preserve">C073</t>
  </si>
  <si>
    <t xml:space="preserve">2 - 4 days</t>
  </si>
  <si>
    <t xml:space="preserve">Darbhanga</t>
  </si>
  <si>
    <t xml:space="preserve">C074</t>
  </si>
  <si>
    <t xml:space="preserve">4 - 6 days</t>
  </si>
  <si>
    <t xml:space="preserve">Davanagere</t>
  </si>
  <si>
    <t xml:space="preserve">C075</t>
  </si>
  <si>
    <t xml:space="preserve">6 - 8 days</t>
  </si>
  <si>
    <t xml:space="preserve">Dehradun</t>
  </si>
  <si>
    <t xml:space="preserve">C076</t>
  </si>
  <si>
    <t xml:space="preserve">8 - 10 days</t>
  </si>
  <si>
    <t xml:space="preserve">Dehri</t>
  </si>
  <si>
    <t xml:space="preserve">C077</t>
  </si>
  <si>
    <t xml:space="preserve">Over 10 days</t>
  </si>
  <si>
    <t xml:space="preserve">Delhi</t>
  </si>
  <si>
    <t xml:space="preserve">C078</t>
  </si>
  <si>
    <t xml:space="preserve">Deoghar</t>
  </si>
  <si>
    <t xml:space="preserve">C079</t>
  </si>
  <si>
    <t xml:space="preserve">Dewas</t>
  </si>
  <si>
    <t xml:space="preserve">C080</t>
  </si>
  <si>
    <t xml:space="preserve">Revenue by price band</t>
  </si>
  <si>
    <t xml:space="preserve">Dhanbad</t>
  </si>
  <si>
    <t xml:space="preserve">C081</t>
  </si>
  <si>
    <t xml:space="preserve">₹0 - 499</t>
  </si>
  <si>
    <t xml:space="preserve">Dharmavaram</t>
  </si>
  <si>
    <t xml:space="preserve">C082</t>
  </si>
  <si>
    <t xml:space="preserve">₹500 - 999</t>
  </si>
  <si>
    <t xml:space="preserve">Dhule</t>
  </si>
  <si>
    <t xml:space="preserve">C083</t>
  </si>
  <si>
    <t xml:space="preserve">₹1,000 - 1,499</t>
  </si>
  <si>
    <t xml:space="preserve">Dibrugarh</t>
  </si>
  <si>
    <t xml:space="preserve">C084</t>
  </si>
  <si>
    <t xml:space="preserve">₹1,500 - 2,000</t>
  </si>
  <si>
    <t xml:space="preserve">Dindigul</t>
  </si>
  <si>
    <t xml:space="preserve">C085</t>
  </si>
  <si>
    <t xml:space="preserve">Durg</t>
  </si>
  <si>
    <t xml:space="preserve">C086</t>
  </si>
  <si>
    <t xml:space="preserve">Durgapur</t>
  </si>
  <si>
    <t xml:space="preserve">C087</t>
  </si>
  <si>
    <t xml:space="preserve">Basket size (units per order)</t>
  </si>
  <si>
    <t xml:space="preserve">Eluru</t>
  </si>
  <si>
    <t xml:space="preserve">C088</t>
  </si>
  <si>
    <t xml:space="preserve">1 unit</t>
  </si>
  <si>
    <t xml:space="preserve">Erode</t>
  </si>
  <si>
    <t xml:space="preserve">C089</t>
  </si>
  <si>
    <t xml:space="preserve">2 units</t>
  </si>
  <si>
    <t xml:space="preserve">Etawah</t>
  </si>
  <si>
    <t xml:space="preserve">C090</t>
  </si>
  <si>
    <t xml:space="preserve">3 units</t>
  </si>
  <si>
    <t xml:space="preserve">Faridabad</t>
  </si>
  <si>
    <t xml:space="preserve">C091</t>
  </si>
  <si>
    <t xml:space="preserve">4 units</t>
  </si>
  <si>
    <t xml:space="preserve">Farrukhabad</t>
  </si>
  <si>
    <t xml:space="preserve">C092</t>
  </si>
  <si>
    <t xml:space="preserve">5 units</t>
  </si>
  <si>
    <t xml:space="preserve">Fatehpur</t>
  </si>
  <si>
    <t xml:space="preserve">C093</t>
  </si>
  <si>
    <t xml:space="preserve">Gandhidham</t>
  </si>
  <si>
    <t xml:space="preserve">C094</t>
  </si>
  <si>
    <t xml:space="preserve">Gandhinagar</t>
  </si>
  <si>
    <t xml:space="preserve">C095</t>
  </si>
  <si>
    <t xml:space="preserve">Revenue by buyer gender</t>
  </si>
  <si>
    <t xml:space="preserve">Gangtok</t>
  </si>
  <si>
    <t xml:space="preserve">C096</t>
  </si>
  <si>
    <t xml:space="preserve">Female</t>
  </si>
  <si>
    <t xml:space="preserve">Gaya</t>
  </si>
  <si>
    <t xml:space="preserve">C097</t>
  </si>
  <si>
    <t xml:space="preserve">Male</t>
  </si>
  <si>
    <t xml:space="preserve">Ghaziabad</t>
  </si>
  <si>
    <t xml:space="preserve">C098</t>
  </si>
  <si>
    <t xml:space="preserve">Giridih</t>
  </si>
  <si>
    <t xml:space="preserve">C099</t>
  </si>
  <si>
    <t xml:space="preserve">Gopalpur</t>
  </si>
  <si>
    <t xml:space="preserve">C100</t>
  </si>
  <si>
    <t xml:space="preserve">Category × occasion revenue</t>
  </si>
  <si>
    <t xml:space="preserve">Gorakhpur</t>
  </si>
  <si>
    <t xml:space="preserve">Gudivada</t>
  </si>
  <si>
    <t xml:space="preserve">Gulbarga</t>
  </si>
  <si>
    <t xml:space="preserve">Guna</t>
  </si>
  <si>
    <t xml:space="preserve">Guntakal</t>
  </si>
  <si>
    <t xml:space="preserve">Guntur</t>
  </si>
  <si>
    <t xml:space="preserve">Gurgaon</t>
  </si>
  <si>
    <t xml:space="preserve">Guwahati</t>
  </si>
  <si>
    <t xml:space="preserve">Gwalior</t>
  </si>
  <si>
    <t xml:space="preserve">Hajipur</t>
  </si>
  <si>
    <t xml:space="preserve">Haldia</t>
  </si>
  <si>
    <t xml:space="preserve">Headline metrics (feed the Dashboard tiles)</t>
  </si>
  <si>
    <t xml:space="preserve">Hapur</t>
  </si>
  <si>
    <t xml:space="preserve">Total revenue</t>
  </si>
  <si>
    <t xml:space="preserve">Hazaribagh</t>
  </si>
  <si>
    <t xml:space="preserve">Orders</t>
  </si>
  <si>
    <t xml:space="preserve">Hindupur</t>
  </si>
  <si>
    <t xml:space="preserve">Units shipped</t>
  </si>
  <si>
    <t xml:space="preserve">Hospet</t>
  </si>
  <si>
    <t xml:space="preserve">Average order value</t>
  </si>
  <si>
    <t xml:space="preserve">Hosur</t>
  </si>
  <si>
    <t xml:space="preserve">Average delivery days</t>
  </si>
  <si>
    <t xml:space="preserve">Howrah</t>
  </si>
  <si>
    <t xml:space="preserve">Delivered within 7 days</t>
  </si>
  <si>
    <t xml:space="preserve">Hyderabad</t>
  </si>
  <si>
    <t xml:space="preserve">Active customers</t>
  </si>
  <si>
    <t xml:space="preserve">Ichalkaranji</t>
  </si>
  <si>
    <t xml:space="preserve">Delivery cities served</t>
  </si>
  <si>
    <t xml:space="preserve">Imphal</t>
  </si>
  <si>
    <t xml:space="preserve">Revenue per customer</t>
  </si>
  <si>
    <t xml:space="preserve">Indore</t>
  </si>
  <si>
    <t xml:space="preserve">Peak month</t>
  </si>
  <si>
    <t xml:space="preserve">Jabalpur</t>
  </si>
  <si>
    <t xml:space="preserve">Peak month revenue</t>
  </si>
  <si>
    <t xml:space="preserve">Jaipur</t>
  </si>
  <si>
    <t xml:space="preserve">Festival share of revenue</t>
  </si>
  <si>
    <t xml:space="preserve">Jalandhar</t>
  </si>
  <si>
    <t xml:space="preserve">Festival month average</t>
  </si>
  <si>
    <t xml:space="preserve">Jalgaon</t>
  </si>
  <si>
    <t xml:space="preserve">Quiet month average</t>
  </si>
  <si>
    <t xml:space="preserve">Jalna</t>
  </si>
  <si>
    <t xml:space="preserve">Festival uplift (x)</t>
  </si>
  <si>
    <t xml:space="preserve">Jamalpur</t>
  </si>
  <si>
    <t xml:space="preserve">Jammu</t>
  </si>
  <si>
    <t xml:space="preserve">Jaunpur</t>
  </si>
  <si>
    <t xml:space="preserve">Jehanabad</t>
  </si>
  <si>
    <t xml:space="preserve">Jhansi</t>
  </si>
  <si>
    <t xml:space="preserve">Jodhpur</t>
  </si>
  <si>
    <t xml:space="preserve">Jorhat</t>
  </si>
  <si>
    <t xml:space="preserve">Junagadh</t>
  </si>
  <si>
    <t xml:space="preserve">Kadapa</t>
  </si>
  <si>
    <t xml:space="preserve">Kakinada</t>
  </si>
  <si>
    <t xml:space="preserve">Kalyan-Dombivli</t>
  </si>
  <si>
    <t xml:space="preserve">Kamarhati</t>
  </si>
  <si>
    <t xml:space="preserve">Kanpur</t>
  </si>
  <si>
    <t xml:space="preserve">Karaikudi</t>
  </si>
  <si>
    <t xml:space="preserve">Karimnagar</t>
  </si>
  <si>
    <t xml:space="preserve">Karnal</t>
  </si>
  <si>
    <t xml:space="preserve">Katni</t>
  </si>
  <si>
    <t xml:space="preserve">Kavali</t>
  </si>
  <si>
    <t xml:space="preserve">Khammam</t>
  </si>
  <si>
    <t xml:space="preserve">Khandwa</t>
  </si>
  <si>
    <t xml:space="preserve">Kharagpur</t>
  </si>
  <si>
    <t xml:space="preserve">Khora </t>
  </si>
  <si>
    <t xml:space="preserve">Kirari Suleman Nagar</t>
  </si>
  <si>
    <t xml:space="preserve">Kishanganj</t>
  </si>
  <si>
    <t xml:space="preserve">Kochi</t>
  </si>
  <si>
    <t xml:space="preserve">Kolhapur</t>
  </si>
  <si>
    <t xml:space="preserve">Kolkata</t>
  </si>
  <si>
    <t xml:space="preserve">Kollam</t>
  </si>
  <si>
    <t xml:space="preserve">Korba</t>
  </si>
  <si>
    <t xml:space="preserve">Kota</t>
  </si>
  <si>
    <t xml:space="preserve">Kottayam</t>
  </si>
  <si>
    <t xml:space="preserve">Kozhikode</t>
  </si>
  <si>
    <t xml:space="preserve">Kulti</t>
  </si>
  <si>
    <t xml:space="preserve">Kumbakonam</t>
  </si>
  <si>
    <t xml:space="preserve">Kurnool</t>
  </si>
  <si>
    <t xml:space="preserve">Latur</t>
  </si>
  <si>
    <t xml:space="preserve">Loni</t>
  </si>
  <si>
    <t xml:space="preserve">Lucknow</t>
  </si>
  <si>
    <t xml:space="preserve">Ludhiana</t>
  </si>
  <si>
    <t xml:space="preserve">Machilipatnam</t>
  </si>
  <si>
    <t xml:space="preserve">Madanapalle</t>
  </si>
  <si>
    <t xml:space="preserve">Madurai</t>
  </si>
  <si>
    <t xml:space="preserve">Mahbubnagar</t>
  </si>
  <si>
    <t xml:space="preserve">Maheshtala</t>
  </si>
  <si>
    <t xml:space="preserve">Malda</t>
  </si>
  <si>
    <t xml:space="preserve">Malegaon</t>
  </si>
  <si>
    <t xml:space="preserve">Mangalore</t>
  </si>
  <si>
    <t xml:space="preserve">Mango</t>
  </si>
  <si>
    <t xml:space="preserve">Mathura</t>
  </si>
  <si>
    <t xml:space="preserve">Mau</t>
  </si>
  <si>
    <t xml:space="preserve">Medininagar</t>
  </si>
  <si>
    <t xml:space="preserve">Meerut</t>
  </si>
  <si>
    <t xml:space="preserve">Mehsana</t>
  </si>
  <si>
    <t xml:space="preserve">Mira-Bhayandar</t>
  </si>
  <si>
    <t xml:space="preserve">Miryalaguda</t>
  </si>
  <si>
    <t xml:space="preserve">Mirzapur</t>
  </si>
  <si>
    <t xml:space="preserve">Moradabad</t>
  </si>
  <si>
    <t xml:space="preserve">Morbi</t>
  </si>
  <si>
    <t xml:space="preserve">Morena</t>
  </si>
  <si>
    <t xml:space="preserve">Motihari</t>
  </si>
  <si>
    <t xml:space="preserve">Munger</t>
  </si>
  <si>
    <t xml:space="preserve">Muzaffarnagar</t>
  </si>
  <si>
    <t xml:space="preserve">Muzaffarpur</t>
  </si>
  <si>
    <t xml:space="preserve">Mysore</t>
  </si>
  <si>
    <t xml:space="preserve">Nadiad</t>
  </si>
  <si>
    <t xml:space="preserve">Nagpur</t>
  </si>
  <si>
    <t xml:space="preserve">Naihati</t>
  </si>
  <si>
    <t xml:space="preserve">Nanded</t>
  </si>
  <si>
    <t xml:space="preserve">Nandyal</t>
  </si>
  <si>
    <t xml:space="preserve">Nangloi Jat</t>
  </si>
  <si>
    <t xml:space="preserve">Narasaraopet</t>
  </si>
  <si>
    <t xml:space="preserve">Nashik</t>
  </si>
  <si>
    <t xml:space="preserve">Navi Mumbai</t>
  </si>
  <si>
    <t xml:space="preserve">Nellore</t>
  </si>
  <si>
    <t xml:space="preserve">New Delhi</t>
  </si>
  <si>
    <t xml:space="preserve">Nizamabad</t>
  </si>
  <si>
    <t xml:space="preserve">Noida</t>
  </si>
  <si>
    <t xml:space="preserve">North Dumdum</t>
  </si>
  <si>
    <t xml:space="preserve">Ongole</t>
  </si>
  <si>
    <t xml:space="preserve">Orai</t>
  </si>
  <si>
    <t xml:space="preserve">Ozhukarai</t>
  </si>
  <si>
    <t xml:space="preserve">Pali</t>
  </si>
  <si>
    <t xml:space="preserve">Pallavaram</t>
  </si>
  <si>
    <t xml:space="preserve">Panchkula</t>
  </si>
  <si>
    <t xml:space="preserve">Panihati</t>
  </si>
  <si>
    <t xml:space="preserve">Panipat</t>
  </si>
  <si>
    <t xml:space="preserve">Panvel</t>
  </si>
  <si>
    <t xml:space="preserve">Parbhani</t>
  </si>
  <si>
    <t xml:space="preserve">Patiala</t>
  </si>
  <si>
    <t xml:space="preserve">Patna</t>
  </si>
  <si>
    <t xml:space="preserve">Phagwara</t>
  </si>
  <si>
    <t xml:space="preserve">Phusro</t>
  </si>
  <si>
    <t xml:space="preserve">Pimpri-Chinchwad</t>
  </si>
  <si>
    <t xml:space="preserve">Pondicherry</t>
  </si>
  <si>
    <t xml:space="preserve">Proddatur</t>
  </si>
  <si>
    <t xml:space="preserve">Pudukkottai</t>
  </si>
  <si>
    <t xml:space="preserve">Pune</t>
  </si>
  <si>
    <t xml:space="preserve">Purnia</t>
  </si>
  <si>
    <t xml:space="preserve">Raebareli</t>
  </si>
  <si>
    <t xml:space="preserve">Raichur</t>
  </si>
  <si>
    <t xml:space="preserve">Raiganj</t>
  </si>
  <si>
    <t xml:space="preserve">Raipur</t>
  </si>
  <si>
    <t xml:space="preserve">Rajahmundry</t>
  </si>
  <si>
    <t xml:space="preserve">Rajkot</t>
  </si>
  <si>
    <t xml:space="preserve">Rajpur Sonarpur</t>
  </si>
  <si>
    <t xml:space="preserve">Ramagundam</t>
  </si>
  <si>
    <t xml:space="preserve">Ramgarh</t>
  </si>
  <si>
    <t xml:space="preserve">Rampur</t>
  </si>
  <si>
    <t xml:space="preserve">Ranchi</t>
  </si>
  <si>
    <t xml:space="preserve">Ratlam</t>
  </si>
  <si>
    <t xml:space="preserve">Raurkela Industrial Township</t>
  </si>
  <si>
    <t xml:space="preserve">Rewa</t>
  </si>
  <si>
    <t xml:space="preserve">Rohtak</t>
  </si>
  <si>
    <t xml:space="preserve">Rourkela</t>
  </si>
  <si>
    <t xml:space="preserve">Sagar</t>
  </si>
  <si>
    <t xml:space="preserve">Saharanpur</t>
  </si>
  <si>
    <t xml:space="preserve">Saharsa</t>
  </si>
  <si>
    <t xml:space="preserve">Salem</t>
  </si>
  <si>
    <t xml:space="preserve">Sambalpur</t>
  </si>
  <si>
    <t xml:space="preserve">Sambhal</t>
  </si>
  <si>
    <t xml:space="preserve">Sangli-Miraj &amp; Kupwad</t>
  </si>
  <si>
    <t xml:space="preserve">Sasaram</t>
  </si>
  <si>
    <t xml:space="preserve">Satara</t>
  </si>
  <si>
    <t xml:space="preserve">Satna</t>
  </si>
  <si>
    <t xml:space="preserve">Secunderabad</t>
  </si>
  <si>
    <t xml:space="preserve">Serampore</t>
  </si>
  <si>
    <t xml:space="preserve">Shahjahanpur</t>
  </si>
  <si>
    <t xml:space="preserve">Shimla</t>
  </si>
  <si>
    <t xml:space="preserve">Shimoga</t>
  </si>
  <si>
    <t xml:space="preserve">Shivpuri</t>
  </si>
  <si>
    <t xml:space="preserve">Sikar</t>
  </si>
  <si>
    <t xml:space="preserve">Silchar</t>
  </si>
  <si>
    <t xml:space="preserve">Siliguri</t>
  </si>
  <si>
    <t xml:space="preserve">Singrauli</t>
  </si>
  <si>
    <t xml:space="preserve">Sirsa</t>
  </si>
  <si>
    <t xml:space="preserve">Siwan</t>
  </si>
  <si>
    <t xml:space="preserve">Solapur</t>
  </si>
  <si>
    <t xml:space="preserve">Sonipat</t>
  </si>
  <si>
    <t xml:space="preserve">South Dumdum</t>
  </si>
  <si>
    <t xml:space="preserve">Sri Ganganagar</t>
  </si>
  <si>
    <t xml:space="preserve">Srikakulam</t>
  </si>
  <si>
    <t xml:space="preserve">Srinagar</t>
  </si>
  <si>
    <t xml:space="preserve">Sultan Pur Majra</t>
  </si>
  <si>
    <t xml:space="preserve">Surat</t>
  </si>
  <si>
    <t xml:space="preserve">Surendranagar Dudhrej</t>
  </si>
  <si>
    <t xml:space="preserve">Suryapet</t>
  </si>
  <si>
    <t xml:space="preserve">Tadepalligudem</t>
  </si>
  <si>
    <t xml:space="preserve">Tadipatri</t>
  </si>
  <si>
    <t xml:space="preserve">Tenali</t>
  </si>
  <si>
    <t xml:space="preserve">Tezpur</t>
  </si>
  <si>
    <t xml:space="preserve">Thane</t>
  </si>
  <si>
    <t xml:space="preserve">Thiruvananthapuram</t>
  </si>
  <si>
    <t xml:space="preserve">Thoothukudi</t>
  </si>
  <si>
    <t xml:space="preserve">Thrissur</t>
  </si>
  <si>
    <t xml:space="preserve">Tinsukia</t>
  </si>
  <si>
    <t xml:space="preserve">Tiruchirappalli</t>
  </si>
  <si>
    <t xml:space="preserve">Tirunelveli</t>
  </si>
  <si>
    <t xml:space="preserve">Tirupati</t>
  </si>
  <si>
    <t xml:space="preserve">Tiruppur</t>
  </si>
  <si>
    <t xml:space="preserve">Tiruvottiyur</t>
  </si>
  <si>
    <t xml:space="preserve">Tumkur</t>
  </si>
  <si>
    <t xml:space="preserve">Udaipur</t>
  </si>
  <si>
    <t xml:space="preserve">Udupi</t>
  </si>
  <si>
    <t xml:space="preserve">Ujjain</t>
  </si>
  <si>
    <t xml:space="preserve">Ulhasnagar</t>
  </si>
  <si>
    <t xml:space="preserve">Uluberia</t>
  </si>
  <si>
    <t xml:space="preserve">Unnao</t>
  </si>
  <si>
    <t xml:space="preserve">Varanasi</t>
  </si>
  <si>
    <t xml:space="preserve">Vasai-Virar</t>
  </si>
  <si>
    <t xml:space="preserve">Vellore</t>
  </si>
  <si>
    <t xml:space="preserve">Vijayanagaram</t>
  </si>
  <si>
    <t xml:space="preserve">Vijayawada</t>
  </si>
  <si>
    <t xml:space="preserve">Visakhapatnam</t>
  </si>
  <si>
    <t xml:space="preserve">Warangal</t>
  </si>
  <si>
    <t xml:space="preserve">Yamunanagar</t>
  </si>
  <si>
    <t xml:space="preserve">Unit_Price</t>
  </si>
  <si>
    <t xml:space="preserve">Revenue</t>
  </si>
  <si>
    <t xml:space="preserve">Buyer_City</t>
  </si>
  <si>
    <t xml:space="preserve">Customer_Name</t>
  </si>
  <si>
    <t xml:space="preserve">Month_No</t>
  </si>
  <si>
    <t xml:space="preserve">Month</t>
  </si>
  <si>
    <t xml:space="preserve">Hour</t>
  </si>
  <si>
    <t xml:space="preserve">Day_No</t>
  </si>
  <si>
    <t xml:space="preserve">Weekday</t>
  </si>
  <si>
    <t xml:space="preserve">Lead_Days</t>
  </si>
  <si>
    <t xml:space="preserve">Price_Band</t>
  </si>
  <si>
    <t xml:space="preserve">Lead_Bucket</t>
  </si>
  <si>
    <t xml:space="preserve">Magnam Set</t>
  </si>
  <si>
    <t xml:space="preserve">Quam numquam iste sunt nemo.</t>
  </si>
  <si>
    <t xml:space="preserve">Voluptas Box</t>
  </si>
  <si>
    <t xml:space="preserve">At quaerat animi nemo.</t>
  </si>
  <si>
    <t xml:space="preserve">Eius Gift</t>
  </si>
  <si>
    <t xml:space="preserve">Deserunt pariatur mollitia voluptatem.</t>
  </si>
  <si>
    <t xml:space="preserve">Accusantium Set</t>
  </si>
  <si>
    <t xml:space="preserve">Corporis odio consequatur perferendis repellendus laudantium deserunt.</t>
  </si>
  <si>
    <t xml:space="preserve">Natus Gift</t>
  </si>
  <si>
    <t xml:space="preserve">Quis occaecati reprehenderit facere tenetur illum exercitationem.</t>
  </si>
  <si>
    <t xml:space="preserve">Quos Box</t>
  </si>
  <si>
    <t xml:space="preserve">Eum deleniti adipisci vero neque.</t>
  </si>
  <si>
    <t xml:space="preserve">Quos Set</t>
  </si>
  <si>
    <t xml:space="preserve">Sint accusamus veritatis exercitationem corporis.</t>
  </si>
  <si>
    <t xml:space="preserve">Qui Box</t>
  </si>
  <si>
    <t xml:space="preserve">Praesentium necessitatibus quos esse neque.</t>
  </si>
  <si>
    <t xml:space="preserve">Aperiam Box</t>
  </si>
  <si>
    <t xml:space="preserve">Explicabo totam quaerat a quaerat ducimus officia.</t>
  </si>
  <si>
    <t xml:space="preserve">Accusantium Gift</t>
  </si>
  <si>
    <t xml:space="preserve">Minima nobis repellendus distinctio a veritatis voluptate eaque.</t>
  </si>
  <si>
    <t xml:space="preserve">Maxime Set</t>
  </si>
  <si>
    <t xml:space="preserve">Sapiente exercitationem illo sed ea.</t>
  </si>
  <si>
    <t xml:space="preserve">Non Set</t>
  </si>
  <si>
    <t xml:space="preserve">Fugiat id similique minima corrupti ut sint sapiente.</t>
  </si>
  <si>
    <t xml:space="preserve">Et Set</t>
  </si>
  <si>
    <t xml:space="preserve">Eius praesentium ipsum autem.</t>
  </si>
  <si>
    <t xml:space="preserve">Deserunt Box</t>
  </si>
  <si>
    <t xml:space="preserve">Incidunt hic vero esse saepe illum.</t>
  </si>
  <si>
    <t xml:space="preserve">Repudiandae Box</t>
  </si>
  <si>
    <t xml:space="preserve">Consequuntur placeat quia voluptate esse consectetur accusamus nemo.</t>
  </si>
  <si>
    <t xml:space="preserve">Ut Pack</t>
  </si>
  <si>
    <t xml:space="preserve">Quae occaecati laborum expedita perspiciatis consequatur ad.</t>
  </si>
  <si>
    <t xml:space="preserve">Delectus Gift</t>
  </si>
  <si>
    <t xml:space="preserve">Architecto beatae ullam ad sed dolorem voluptates est.</t>
  </si>
  <si>
    <t xml:space="preserve">Nemo Set</t>
  </si>
  <si>
    <t xml:space="preserve">Perspiciatis nemo dolorem perspiciatis aspernatur.</t>
  </si>
  <si>
    <t xml:space="preserve">Iure Gift</t>
  </si>
  <si>
    <t xml:space="preserve">Autem quaerat tempore quasi ipsam.</t>
  </si>
  <si>
    <t xml:space="preserve">Reiciendis Box</t>
  </si>
  <si>
    <t xml:space="preserve">Molestias earum quam dolor.</t>
  </si>
  <si>
    <t xml:space="preserve">Quia Gift</t>
  </si>
  <si>
    <t xml:space="preserve">Autem necessitatibus perferendis consequatur suscipit iste harum sint.</t>
  </si>
  <si>
    <t xml:space="preserve">Exercitationem Pack</t>
  </si>
  <si>
    <t xml:space="preserve">Iusto cum nostrum quasi dicta totam error.</t>
  </si>
  <si>
    <t xml:space="preserve">Dignissimos Pack</t>
  </si>
  <si>
    <t xml:space="preserve">Sunt laborum incidunt ad asperiores itaque minus placeat.</t>
  </si>
  <si>
    <t xml:space="preserve">Ad Box</t>
  </si>
  <si>
    <t xml:space="preserve">Possimus perspiciatis nesciunt modi molestias.</t>
  </si>
  <si>
    <t xml:space="preserve">Qui Gift</t>
  </si>
  <si>
    <t xml:space="preserve">Maxime culpa earum blanditiis.</t>
  </si>
  <si>
    <t xml:space="preserve">Aliquam Box</t>
  </si>
  <si>
    <t xml:space="preserve">Sunt repellendus quidem laborum provident voluptas ut nisi.</t>
  </si>
  <si>
    <t xml:space="preserve">Architecto Gift</t>
  </si>
  <si>
    <t xml:space="preserve">Odio quisquam inventore esse sed recusandae autem.</t>
  </si>
  <si>
    <t xml:space="preserve">Velit Set</t>
  </si>
  <si>
    <t xml:space="preserve">Quidem sit facilis consequuntur iusto dignissimos exercitationem.</t>
  </si>
  <si>
    <t xml:space="preserve">In Set</t>
  </si>
  <si>
    <t xml:space="preserve">Occaecati impedit incidunt qui.</t>
  </si>
  <si>
    <t xml:space="preserve">Recusandae Pack</t>
  </si>
  <si>
    <t xml:space="preserve">Maxime exercitationem repellat veritatis a dolorem.</t>
  </si>
  <si>
    <t xml:space="preserve">Nihil Box</t>
  </si>
  <si>
    <t xml:space="preserve">Eveniet sint molestiae.</t>
  </si>
  <si>
    <t xml:space="preserve">Fuga Set</t>
  </si>
  <si>
    <t xml:space="preserve">Modi veniam vero dolores.</t>
  </si>
  <si>
    <t xml:space="preserve">Earum Set</t>
  </si>
  <si>
    <t xml:space="preserve">Nisi quis nam ipsa molestias vel totam.</t>
  </si>
  <si>
    <t xml:space="preserve">Placeat Pack</t>
  </si>
  <si>
    <t xml:space="preserve">Illo in quas at rem.</t>
  </si>
  <si>
    <t xml:space="preserve">Nam Gift</t>
  </si>
  <si>
    <t xml:space="preserve">Ab possimus tempore maiores nesciunt enim placeat excepturi.</t>
  </si>
  <si>
    <t xml:space="preserve">Cum Gift</t>
  </si>
  <si>
    <t xml:space="preserve">Magni maiores ullam fugiat.</t>
  </si>
  <si>
    <t xml:space="preserve">Officiis Pack</t>
  </si>
  <si>
    <t xml:space="preserve">Error facere quae cupiditate provident.</t>
  </si>
  <si>
    <t xml:space="preserve">Mollitia Set</t>
  </si>
  <si>
    <t xml:space="preserve">Eaque deserunt possimus alias sint odit facere.</t>
  </si>
  <si>
    <t xml:space="preserve">Voluptate Set</t>
  </si>
  <si>
    <t xml:space="preserve">Voluptates nostrum ratione sint odit dolore consectetur.</t>
  </si>
  <si>
    <t xml:space="preserve">Provident Pack</t>
  </si>
  <si>
    <t xml:space="preserve">Voluptate eaque accusamus nobis voluptatem accusamus.</t>
  </si>
  <si>
    <t xml:space="preserve">Aut Box</t>
  </si>
  <si>
    <t xml:space="preserve">Ab quisquam nobis ducimus.</t>
  </si>
  <si>
    <t xml:space="preserve">Expedita Gift</t>
  </si>
  <si>
    <t xml:space="preserve">Necessitatibus cum dolores alias sed.</t>
  </si>
  <si>
    <t xml:space="preserve">Quisquam Pack</t>
  </si>
  <si>
    <t xml:space="preserve">Odio incidunt tempore nesciunt.</t>
  </si>
  <si>
    <t xml:space="preserve">Dolorum Set</t>
  </si>
  <si>
    <t xml:space="preserve">Nam quod aliquid.</t>
  </si>
  <si>
    <t xml:space="preserve">Iusto Set</t>
  </si>
  <si>
    <t xml:space="preserve">Adipisci quo laboriosam.</t>
  </si>
  <si>
    <t xml:space="preserve">Pariatur Set</t>
  </si>
  <si>
    <t xml:space="preserve">In nesciunt maxime nobis officiis dicta.</t>
  </si>
  <si>
    <t xml:space="preserve">Harum Pack</t>
  </si>
  <si>
    <t xml:space="preserve">Maiores voluptates quam aspernatur magni distinctio provident.</t>
  </si>
  <si>
    <t xml:space="preserve">Maiores Gift</t>
  </si>
  <si>
    <t xml:space="preserve">Repellendus quae iusto nostrum commodi adipisci.</t>
  </si>
  <si>
    <t xml:space="preserve">Voluptate Pack</t>
  </si>
  <si>
    <t xml:space="preserve">Saepe ratione ab inventore dignissimos.</t>
  </si>
  <si>
    <t xml:space="preserve">Eligendi Set</t>
  </si>
  <si>
    <t xml:space="preserve">Consectetur illum pariatur totam fugit eum eaque.</t>
  </si>
  <si>
    <t xml:space="preserve">Fugit Set</t>
  </si>
  <si>
    <t xml:space="preserve">Maiores hic veritatis corporis modi.</t>
  </si>
  <si>
    <t xml:space="preserve">Dolorum Box</t>
  </si>
  <si>
    <t xml:space="preserve">Amet accusamus natus magni non recusandae.</t>
  </si>
  <si>
    <t xml:space="preserve">Ipsam Set</t>
  </si>
  <si>
    <t xml:space="preserve">Deleniti aspernatur pariatur laudantium nihil at.</t>
  </si>
  <si>
    <t xml:space="preserve">Occaecati Gift</t>
  </si>
  <si>
    <t xml:space="preserve">Ducimus possimus saepe totam impedit amet reprehenderit.</t>
  </si>
  <si>
    <t xml:space="preserve">Dolores Gift</t>
  </si>
  <si>
    <t xml:space="preserve">Nobis sed corrupti cupiditate fugiat unde.</t>
  </si>
  <si>
    <t xml:space="preserve">Veniam expedita odit esse.</t>
  </si>
  <si>
    <t xml:space="preserve">Voluptatem Box</t>
  </si>
  <si>
    <t xml:space="preserve">Similique dolor saepe molestiae.</t>
  </si>
  <si>
    <t xml:space="preserve">Sed Pack</t>
  </si>
  <si>
    <t xml:space="preserve">Reiciendis nam omnis vel explicabo amet perferendis.</t>
  </si>
  <si>
    <t xml:space="preserve">Pariatur Box</t>
  </si>
  <si>
    <t xml:space="preserve">Exercitationem occaecati quam aperiam.</t>
  </si>
  <si>
    <t xml:space="preserve">Ea Set</t>
  </si>
  <si>
    <t xml:space="preserve">Ex omnis sit quibusdam.</t>
  </si>
  <si>
    <t xml:space="preserve">Iusto Box</t>
  </si>
  <si>
    <t xml:space="preserve">Sequi numquam rerum aspernatur aspernatur in.</t>
  </si>
  <si>
    <t xml:space="preserve">Sed Set</t>
  </si>
  <si>
    <t xml:space="preserve">Sequi et dolore et consectetur odit deleniti.</t>
  </si>
  <si>
    <t xml:space="preserve">Adipisci Set</t>
  </si>
  <si>
    <t xml:space="preserve">Recusandae voluptate eaque blanditiis harum in facere consequuntur.</t>
  </si>
  <si>
    <t xml:space="preserve">Nostrum Box</t>
  </si>
  <si>
    <t xml:space="preserve">Illo laboriosam at delectus.</t>
  </si>
  <si>
    <t xml:space="preserve">Error Gift</t>
  </si>
  <si>
    <t xml:space="preserve">Ratione alias nam dignissimos ullam.</t>
  </si>
  <si>
    <t xml:space="preserve">Quas Box</t>
  </si>
  <si>
    <t xml:space="preserve">Architecto debitis repellendus error ducimus quod quo.</t>
  </si>
  <si>
    <t xml:space="preserve">Maiores Box</t>
  </si>
  <si>
    <t xml:space="preserve">Earum quos enim minima.</t>
  </si>
  <si>
    <t xml:space="preserve">Quas Gift</t>
  </si>
  <si>
    <t xml:space="preserve">Enim non fugit reprehenderit minima.</t>
  </si>
  <si>
    <t xml:space="preserve">Id Box</t>
  </si>
  <si>
    <t xml:space="preserve">Earum odio vitae mollitia autem.</t>
  </si>
  <si>
    <t xml:space="preserve">Debitis provident illo aliquam debitis.</t>
  </si>
  <si>
    <t xml:space="preserve">Tara Krishnan</t>
  </si>
  <si>
    <t xml:space="preserve">mandrati@chad.org</t>
  </si>
  <si>
    <t xml:space="preserve">65/04, Dhawan Marg, Rajpur Sonarpur 590551</t>
  </si>
  <si>
    <t xml:space="preserve">Myra Edwin</t>
  </si>
  <si>
    <t xml:space="preserve">yshukla@hotmail.com</t>
  </si>
  <si>
    <t xml:space="preserve">H.No. 78, Sharaf Ganj, Indore 928261</t>
  </si>
  <si>
    <t xml:space="preserve">Jayesh Lanka</t>
  </si>
  <si>
    <t xml:space="preserve">kavyabarad@hotmail.com</t>
  </si>
  <si>
    <t xml:space="preserve">H.No. 53, Krishna Ganj, Dhule-346480</t>
  </si>
  <si>
    <t xml:space="preserve">Tarini Bava</t>
  </si>
  <si>
    <t xml:space="preserve">vsen@hotmail.com</t>
  </si>
  <si>
    <t xml:space="preserve">145, Sibal, Rourkela-650344</t>
  </si>
  <si>
    <t xml:space="preserve">Hiran Kaul</t>
  </si>
  <si>
    <t xml:space="preserve">hanshkapur@buch.biz</t>
  </si>
  <si>
    <t xml:space="preserve">34/168, Sachar Street, Bhatpara 002691</t>
  </si>
  <si>
    <t xml:space="preserve">Rania Mann</t>
  </si>
  <si>
    <t xml:space="preserve">evaswamy@biswas-sekhon.com</t>
  </si>
  <si>
    <t xml:space="preserve">15/89, Dayal Chowk, Rohtak 586046</t>
  </si>
  <si>
    <t xml:space="preserve">Jayant Kamdar</t>
  </si>
  <si>
    <t xml:space="preserve">pcontractor@hotmail.com</t>
  </si>
  <si>
    <t xml:space="preserve">H.No. 501, Goswami Path, Bhilwara 482554</t>
  </si>
  <si>
    <t xml:space="preserve">Veer Ray</t>
  </si>
  <si>
    <t xml:space="preserve">uthkarshjohal@yahoo.com</t>
  </si>
  <si>
    <t xml:space="preserve">H.No. 589, Gala Circle, Nandyal-774484</t>
  </si>
  <si>
    <t xml:space="preserve">Ritvik Borah</t>
  </si>
  <si>
    <t xml:space="preserve">daliajivika@yahoo.com</t>
  </si>
  <si>
    <t xml:space="preserve">28/64, Lanka Marg, Ramgarh 141634</t>
  </si>
  <si>
    <t xml:space="preserve">Darshit Dave</t>
  </si>
  <si>
    <t xml:space="preserve">fateh26@hotmail.com</t>
  </si>
  <si>
    <t xml:space="preserve">H.No. 21, Singhal Path, Hindupur 170985</t>
  </si>
  <si>
    <t xml:space="preserve">Lagan Kapoor</t>
  </si>
  <si>
    <t xml:space="preserve">rsidhu@gmail.com</t>
  </si>
  <si>
    <t xml:space="preserve">53/710, Tailor Ganj, Gorakhpur-030540</t>
  </si>
  <si>
    <t xml:space="preserve">Onkar Mangat</t>
  </si>
  <si>
    <t xml:space="preserve">oorjabassi@wali.com</t>
  </si>
  <si>
    <t xml:space="preserve">H.No. 460, Sankar Ganj, Tadipatri 227246</t>
  </si>
  <si>
    <t xml:space="preserve">Manikya Goswami</t>
  </si>
  <si>
    <t xml:space="preserve">settytara@gmail.com</t>
  </si>
  <si>
    <t xml:space="preserve">382, Banerjee Ganj, Patna 002103</t>
  </si>
  <si>
    <t xml:space="preserve">Indrans Shukla</t>
  </si>
  <si>
    <t xml:space="preserve">rajagopalfateh@dhingra.info</t>
  </si>
  <si>
    <t xml:space="preserve">67/61, Balan Nagar, Dehri-162882</t>
  </si>
  <si>
    <t xml:space="preserve">Romil Bajwa</t>
  </si>
  <si>
    <t xml:space="preserve">taimurkashyap@halder.com</t>
  </si>
  <si>
    <t xml:space="preserve">890, Sathe Circle, Moradabad 800838</t>
  </si>
  <si>
    <t xml:space="preserve">Amani Ganesh</t>
  </si>
  <si>
    <t xml:space="preserve">sumerkaur@yahoo.com</t>
  </si>
  <si>
    <t xml:space="preserve">667, Som Marg, Rajkot 238865</t>
  </si>
  <si>
    <t xml:space="preserve">Advika Dhar</t>
  </si>
  <si>
    <t xml:space="preserve">pmaster@deol.com</t>
  </si>
  <si>
    <t xml:space="preserve">80/81, Varghese Chowk, Bidhannagar-928710</t>
  </si>
  <si>
    <t xml:space="preserve">Eva Vaidya</t>
  </si>
  <si>
    <t xml:space="preserve">drishya20@kapadia.com</t>
  </si>
  <si>
    <t xml:space="preserve">34/29, Manne Circle, Ahmedabad 929297</t>
  </si>
  <si>
    <t xml:space="preserve">Amira Sengupta</t>
  </si>
  <si>
    <t xml:space="preserve">purab20@dhar.com</t>
  </si>
  <si>
    <t xml:space="preserve">77, Dass Street, Sasaram-948992</t>
  </si>
  <si>
    <t xml:space="preserve">Samaira Ganesh</t>
  </si>
  <si>
    <t xml:space="preserve">golesana@varty-gill.com</t>
  </si>
  <si>
    <t xml:space="preserve">12, Khosla Chowk, Gopalpur-059682</t>
  </si>
  <si>
    <t xml:space="preserve">Siya Talwar</t>
  </si>
  <si>
    <t xml:space="preserve">hsunder@raman.info</t>
  </si>
  <si>
    <t xml:space="preserve">H.No. 617, Brahmbhatt Path, Madanapalle-879728</t>
  </si>
  <si>
    <t xml:space="preserve">Ivana Rout</t>
  </si>
  <si>
    <t xml:space="preserve">adhar@yahoo.com</t>
  </si>
  <si>
    <t xml:space="preserve">24, Babu Nagar, Khammam 703294</t>
  </si>
  <si>
    <t xml:space="preserve">Abram Sandhu</t>
  </si>
  <si>
    <t xml:space="preserve">sibalnitya@bhasin.net</t>
  </si>
  <si>
    <t xml:space="preserve">H.No. 13, Lad Road, Bhiwandi 874382</t>
  </si>
  <si>
    <t xml:space="preserve">Jhanvi Chowdhury</t>
  </si>
  <si>
    <t xml:space="preserve">magarvardaniya@biswas.com</t>
  </si>
  <si>
    <t xml:space="preserve">827, Shere Nagar, Mangalore 084058</t>
  </si>
  <si>
    <t xml:space="preserve">Ira Bava</t>
  </si>
  <si>
    <t xml:space="preserve">rastogizain@yahoo.com</t>
  </si>
  <si>
    <t xml:space="preserve">13/846, Bajaj Road, Nangloi Jat-882740</t>
  </si>
  <si>
    <t xml:space="preserve">Ira Chahal</t>
  </si>
  <si>
    <t xml:space="preserve">ayeshathakkar@yahoo.com</t>
  </si>
  <si>
    <t xml:space="preserve">37, Bhasin Path, Deoghar-816439</t>
  </si>
  <si>
    <t xml:space="preserve">Kashvi Sur</t>
  </si>
  <si>
    <t xml:space="preserve">edwinkeya@gmail.com</t>
  </si>
  <si>
    <t xml:space="preserve">34, Sanghvi Path, Sikar 774265</t>
  </si>
  <si>
    <t xml:space="preserve">Hridaan Rajagopalan</t>
  </si>
  <si>
    <t xml:space="preserve">indrans49@thaman-chopra.net</t>
  </si>
  <si>
    <t xml:space="preserve">01, Kapur Road, Agra-329913</t>
  </si>
  <si>
    <t xml:space="preserve">Badal Sathe</t>
  </si>
  <si>
    <t xml:space="preserve">Haridwar</t>
  </si>
  <si>
    <t xml:space="preserve">lavanya23@yahoo.com</t>
  </si>
  <si>
    <t xml:space="preserve">H.No. 78, Suresh, Hapur-924072</t>
  </si>
  <si>
    <t xml:space="preserve">Vardaniya Contractor</t>
  </si>
  <si>
    <t xml:space="preserve">choprakavya@dugar.org</t>
  </si>
  <si>
    <t xml:space="preserve">H.No. 904, Dave Zila, Pimpri-Chinchwad 244227</t>
  </si>
  <si>
    <t xml:space="preserve">Madhup Wable</t>
  </si>
  <si>
    <t xml:space="preserve">priyansh11@dua-tella.com</t>
  </si>
  <si>
    <t xml:space="preserve">H.No. 69, Shere, Durgapur 474507</t>
  </si>
  <si>
    <t xml:space="preserve">Mannat Anand</t>
  </si>
  <si>
    <t xml:space="preserve">advika02@gmail.com</t>
  </si>
  <si>
    <t xml:space="preserve">81/76, Khanna Nagar, Vasai-Virar-913106</t>
  </si>
  <si>
    <t xml:space="preserve">Suhana Kurian</t>
  </si>
  <si>
    <t xml:space="preserve">nbains@hotmail.com</t>
  </si>
  <si>
    <t xml:space="preserve">56/734, Som Marg, Bhimavaram 598548</t>
  </si>
  <si>
    <t xml:space="preserve">Hridaan Sood</t>
  </si>
  <si>
    <t xml:space="preserve">drishyabalan@yahoo.com</t>
  </si>
  <si>
    <t xml:space="preserve">H.No. 60, Deep Street, Phusro 320629</t>
  </si>
  <si>
    <t xml:space="preserve">Ira Sarna</t>
  </si>
  <si>
    <t xml:space="preserve">zben@cherian.org</t>
  </si>
  <si>
    <t xml:space="preserve">63, Baria Circle, Siliguri 399443</t>
  </si>
  <si>
    <t xml:space="preserve">Biju Bajwa</t>
  </si>
  <si>
    <t xml:space="preserve">choudhryrohan@hotmail.com</t>
  </si>
  <si>
    <t xml:space="preserve">373, Ganguly Street, Kurnool 041608</t>
  </si>
  <si>
    <t xml:space="preserve">Aradhya Kumar</t>
  </si>
  <si>
    <t xml:space="preserve">faiyaz10@yahoo.com</t>
  </si>
  <si>
    <t xml:space="preserve">123, Sagar Road, Dharmavaram-048740</t>
  </si>
  <si>
    <t xml:space="preserve">Yakshit Shah</t>
  </si>
  <si>
    <t xml:space="preserve">kthaker@gmail.com</t>
  </si>
  <si>
    <t xml:space="preserve">H.No. 77, Kalita Circle, Muzaffarnagar-768793</t>
  </si>
  <si>
    <t xml:space="preserve">Kaira Bahl</t>
  </si>
  <si>
    <t xml:space="preserve">keerzara@deshpande-sandhu.net</t>
  </si>
  <si>
    <t xml:space="preserve">318, Chokshi Road, Miryalaguda-997025</t>
  </si>
  <si>
    <t xml:space="preserve">Hazel Mangat</t>
  </si>
  <si>
    <t xml:space="preserve">aarnakrishna@chokshi.org</t>
  </si>
  <si>
    <t xml:space="preserve">H.No. 07, Lad Ganj, Jaipur-750706</t>
  </si>
  <si>
    <t xml:space="preserve">Rati Dhingra</t>
  </si>
  <si>
    <t xml:space="preserve">nirvisekhon@yahoo.com</t>
  </si>
  <si>
    <t xml:space="preserve">71/531, Kibe Circle, Indore-971559</t>
  </si>
  <si>
    <t xml:space="preserve">Eshani Sharma</t>
  </si>
  <si>
    <t xml:space="preserve">waliavaibhav@yahoo.com</t>
  </si>
  <si>
    <t xml:space="preserve">85/523, Raval Path, Bhind-188340</t>
  </si>
  <si>
    <t xml:space="preserve">Yasmin Sheth</t>
  </si>
  <si>
    <t xml:space="preserve">aliavasa@chakraborty-koshy.com</t>
  </si>
  <si>
    <t xml:space="preserve">80, Vala Ganj, Dindigul-437862</t>
  </si>
  <si>
    <t xml:space="preserve">Seher Mann</t>
  </si>
  <si>
    <t xml:space="preserve">vardaniyakaran@krishnamurthy.com</t>
  </si>
  <si>
    <t xml:space="preserve">H.No. 146, Ram Chowk, Meerut-776118</t>
  </si>
  <si>
    <t xml:space="preserve">Divit Mahajan</t>
  </si>
  <si>
    <t xml:space="preserve">krishchoudhury@kakar.com</t>
  </si>
  <si>
    <t xml:space="preserve">25/685, Kannan Street, Erode-345276</t>
  </si>
  <si>
    <t xml:space="preserve">Tara Kannan</t>
  </si>
  <si>
    <t xml:space="preserve">madanheer@gmail.com</t>
  </si>
  <si>
    <t xml:space="preserve">H.No. 26, Khurana, Kharagpur-183176</t>
  </si>
  <si>
    <t xml:space="preserve">Bhamini Ravi</t>
  </si>
  <si>
    <t xml:space="preserve">ramachandranraghav@uppal-bhandari.com</t>
  </si>
  <si>
    <t xml:space="preserve">56, Tak Street, Giridih 114150</t>
  </si>
  <si>
    <t xml:space="preserve">Aradhya Kale</t>
  </si>
  <si>
    <t xml:space="preserve">gkhanna@tripathi.biz</t>
  </si>
  <si>
    <t xml:space="preserve">H.No. 60, Dhingra Marg, Jalna 036174</t>
  </si>
  <si>
    <t xml:space="preserve">Aarush Balasubramanian</t>
  </si>
  <si>
    <t xml:space="preserve">divijsheth@doshi.com</t>
  </si>
  <si>
    <t xml:space="preserve">60, Loke Circle, Kadapa 528564</t>
  </si>
  <si>
    <t xml:space="preserve">Chirag Srinivas</t>
  </si>
  <si>
    <t xml:space="preserve">xmand@hotmail.com</t>
  </si>
  <si>
    <t xml:space="preserve">80/683, Gandhi Zila, Amravati-523734</t>
  </si>
  <si>
    <t xml:space="preserve">Aradhya Batta</t>
  </si>
  <si>
    <t xml:space="preserve">diyakapadia@gmail.com</t>
  </si>
  <si>
    <t xml:space="preserve">25, Vaidya Street, Deoghar-807286</t>
  </si>
  <si>
    <t xml:space="preserve">Vardaniya Apte</t>
  </si>
  <si>
    <t xml:space="preserve">ysoman@thaman.com</t>
  </si>
  <si>
    <t xml:space="preserve">H.No. 78, Tara Nagar, Narasaraopet-260778</t>
  </si>
  <si>
    <t xml:space="preserve">Kismat Kapadia</t>
  </si>
  <si>
    <t xml:space="preserve">aniruddhbhatia@apte-ramaswamy.net</t>
  </si>
  <si>
    <t xml:space="preserve">592, Sachar Circle, Thoothukudi 513426</t>
  </si>
  <si>
    <t xml:space="preserve">Umang Ahuja</t>
  </si>
  <si>
    <t xml:space="preserve">saksham09@hotmail.com</t>
  </si>
  <si>
    <t xml:space="preserve">06/32, Kade, Mehsana-061743</t>
  </si>
  <si>
    <t xml:space="preserve">Umang Luthra</t>
  </si>
  <si>
    <t xml:space="preserve">manikya74@bava.com</t>
  </si>
  <si>
    <t xml:space="preserve">H.No. 728, Datta Chowk, Kumbakonam-380227</t>
  </si>
  <si>
    <t xml:space="preserve">Pihu Choudhury</t>
  </si>
  <si>
    <t xml:space="preserve">dhanuksastry@yahoo.com</t>
  </si>
  <si>
    <t xml:space="preserve">H.No. 029, Grover, Kadapa-492513</t>
  </si>
  <si>
    <t xml:space="preserve">Zain Hegde</t>
  </si>
  <si>
    <t xml:space="preserve">faiyazsagar@thakur-chakrabarti.com</t>
  </si>
  <si>
    <t xml:space="preserve">63/17, Bal Circle, Dehradun 365978</t>
  </si>
  <si>
    <t xml:space="preserve">Charvi Kanda</t>
  </si>
  <si>
    <t xml:space="preserve">miraan05@gmail.com</t>
  </si>
  <si>
    <t xml:space="preserve">25, Srinivasan Ganj, Mira-Bhayandar-341661</t>
  </si>
  <si>
    <t xml:space="preserve">Nirvi Wagle</t>
  </si>
  <si>
    <t xml:space="preserve">mandalbhamini@gmail.com</t>
  </si>
  <si>
    <t xml:space="preserve">77, Walla Ganj, Ambarnath-616114</t>
  </si>
  <si>
    <t xml:space="preserve">Riya Wagle</t>
  </si>
  <si>
    <t xml:space="preserve">veercheema@khosla.com</t>
  </si>
  <si>
    <t xml:space="preserve">H.No. 775, Sha Circle, Mumbai 290110</t>
  </si>
  <si>
    <t xml:space="preserve">Akarsh Ramesh</t>
  </si>
  <si>
    <t xml:space="preserve">tsaini@johal-char.com</t>
  </si>
  <si>
    <t xml:space="preserve">078, Ghose Nagar, Bikaner 211920</t>
  </si>
  <si>
    <t xml:space="preserve">Inaaya  Sarraf</t>
  </si>
  <si>
    <t xml:space="preserve">kotharilakshay@cherian.com</t>
  </si>
  <si>
    <t xml:space="preserve">78/08, Dyal Ganj, Satara-877913</t>
  </si>
  <si>
    <t xml:space="preserve">Arhaan Ahluwalia</t>
  </si>
  <si>
    <t xml:space="preserve">Jamnagar</t>
  </si>
  <si>
    <t xml:space="preserve">pihu31@edwin-bawa.com</t>
  </si>
  <si>
    <t xml:space="preserve">70/415, Sarna Road, Junagadh-305320</t>
  </si>
  <si>
    <t xml:space="preserve">Indrajit Kale</t>
  </si>
  <si>
    <t xml:space="preserve">sabharwalmamooty@tella.com</t>
  </si>
  <si>
    <t xml:space="preserve">191, Bera Path, Bhimavaram 502334</t>
  </si>
  <si>
    <t xml:space="preserve">Badal Vora</t>
  </si>
  <si>
    <t xml:space="preserve">kbobal@hotmail.com</t>
  </si>
  <si>
    <t xml:space="preserve">413, Ram Circle, Dhanbad-458174</t>
  </si>
  <si>
    <t xml:space="preserve">Eshani Buch</t>
  </si>
  <si>
    <t xml:space="preserve">traval@ratta-bumb.net</t>
  </si>
  <si>
    <t xml:space="preserve">209, Lad Street, Ludhiana-431855</t>
  </si>
  <si>
    <t xml:space="preserve">Eva Sankaran</t>
  </si>
  <si>
    <t xml:space="preserve">zdhar@gmail.com</t>
  </si>
  <si>
    <t xml:space="preserve">538, Doctor Street, Machilipatnam 092427</t>
  </si>
  <si>
    <t xml:space="preserve">Ritvik Garde</t>
  </si>
  <si>
    <t xml:space="preserve">parinaaz89@varty-gaba.com</t>
  </si>
  <si>
    <t xml:space="preserve">59/845, Kade Path, Barasat 294473</t>
  </si>
  <si>
    <t xml:space="preserve">Hunar Tripathi</t>
  </si>
  <si>
    <t xml:space="preserve">Madhyamgram</t>
  </si>
  <si>
    <t xml:space="preserve">gabainaaya@chhabra.info</t>
  </si>
  <si>
    <t xml:space="preserve">H.No. 637, Walla Zila, Begusarai 750201</t>
  </si>
  <si>
    <t xml:space="preserve">Emir Gokhale</t>
  </si>
  <si>
    <t xml:space="preserve">emirlala@sethi-kari.com</t>
  </si>
  <si>
    <t xml:space="preserve">49/10, Sengupta Marg, Madhyamgram 629284</t>
  </si>
  <si>
    <t xml:space="preserve">Purab Sheth</t>
  </si>
  <si>
    <t xml:space="preserve">suhana89@yahoo.com</t>
  </si>
  <si>
    <t xml:space="preserve">H.No. 12, Dua Zila, Thrissur 303124</t>
  </si>
  <si>
    <t xml:space="preserve">Charvi Karnik</t>
  </si>
  <si>
    <t xml:space="preserve">mishti69@cheema.info</t>
  </si>
  <si>
    <t xml:space="preserve">99/790, Subramanian Chowk, Bhagalpur 125926</t>
  </si>
  <si>
    <t xml:space="preserve">Zeeshan Tailor</t>
  </si>
  <si>
    <t xml:space="preserve">vardaniya27@yahoo.com</t>
  </si>
  <si>
    <t xml:space="preserve">63/76, Karan Street, Kanpur 487263</t>
  </si>
  <si>
    <t xml:space="preserve">Vanya Apte</t>
  </si>
  <si>
    <t xml:space="preserve">gdoshi@gmail.com</t>
  </si>
  <si>
    <t xml:space="preserve">509, Shah Road, Medininagar 212721</t>
  </si>
  <si>
    <t xml:space="preserve">Yashvi Bansal</t>
  </si>
  <si>
    <t xml:space="preserve">indranilsastry@gmail.com</t>
  </si>
  <si>
    <t xml:space="preserve">62, Dash Street, Pondicherry-945886</t>
  </si>
  <si>
    <t xml:space="preserve">Oorja Dayal</t>
  </si>
  <si>
    <t xml:space="preserve">indrajit78@balay-ravi.com</t>
  </si>
  <si>
    <t xml:space="preserve">49, Sami, Dibrugarh-768751</t>
  </si>
  <si>
    <t xml:space="preserve">Gokul Ahluwalia</t>
  </si>
  <si>
    <t xml:space="preserve">khalsatarini@bora.com</t>
  </si>
  <si>
    <t xml:space="preserve">645, Grewal Street, Bardhaman-621911</t>
  </si>
  <si>
    <t xml:space="preserve">Jivika Rajan</t>
  </si>
  <si>
    <t xml:space="preserve">hunar08@hotmail.com</t>
  </si>
  <si>
    <t xml:space="preserve">67, Cheema, Bardhaman 968232</t>
  </si>
  <si>
    <t xml:space="preserve">Vedika Sankaran</t>
  </si>
  <si>
    <t xml:space="preserve">advikakrishnan@hotmail.com</t>
  </si>
  <si>
    <t xml:space="preserve">89, Srivastava Circle, Solapur 947664</t>
  </si>
  <si>
    <t xml:space="preserve">Mohanlal Garde</t>
  </si>
  <si>
    <t xml:space="preserve">shroffzaina@hotmail.com</t>
  </si>
  <si>
    <t xml:space="preserve">80/990, Yogi Road, Anantapuram-218176</t>
  </si>
  <si>
    <t xml:space="preserve">Kaira Ramachandran</t>
  </si>
  <si>
    <t xml:space="preserve">baradnirvi@yahoo.com</t>
  </si>
  <si>
    <t xml:space="preserve">H.No. 717, Warrior Circle, Etawah-124622</t>
  </si>
  <si>
    <t xml:space="preserve">Anya Chaudhari</t>
  </si>
  <si>
    <t xml:space="preserve">subramanianojas@gmail.com</t>
  </si>
  <si>
    <t xml:space="preserve">64/161, Kaur Ganj, Kadapa 257529</t>
  </si>
  <si>
    <t xml:space="preserve">Aaryahi Sodhi</t>
  </si>
  <si>
    <t xml:space="preserve">devanromil@hotmail.com</t>
  </si>
  <si>
    <t xml:space="preserve">H.No. 256, Sami Street, Lucknow-283322</t>
  </si>
  <si>
    <t xml:space="preserve">Anahita Shankar</t>
  </si>
  <si>
    <t xml:space="preserve">jchada@hotmail.com</t>
  </si>
  <si>
    <t xml:space="preserve">537, Bahl Nagar, Tinsukia 000008</t>
  </si>
  <si>
    <t xml:space="preserve">Bhamini Johal</t>
  </si>
  <si>
    <t xml:space="preserve">prisha85@gaba.com</t>
  </si>
  <si>
    <t xml:space="preserve">53/88, Soni Chowk, Etawah-422592</t>
  </si>
  <si>
    <t xml:space="preserve">Ivana Amble</t>
  </si>
  <si>
    <t xml:space="preserve">sundarampari@garg-khurana.biz</t>
  </si>
  <si>
    <t xml:space="preserve">54/216, Tak Ganj, Mangalore 180959</t>
  </si>
  <si>
    <t xml:space="preserve">Rania Bhatt</t>
  </si>
  <si>
    <t xml:space="preserve">dishanithaker@dey-choudhry.info</t>
  </si>
  <si>
    <t xml:space="preserve">H.No. 782, Dey Circle, Jalna 640789</t>
  </si>
  <si>
    <t xml:space="preserve">Shalv Kulkarni</t>
  </si>
  <si>
    <t xml:space="preserve">uthkarsh12@yahoo.com</t>
  </si>
  <si>
    <t xml:space="preserve">H.No. 82, Kala Road, Moradabad-953360</t>
  </si>
  <si>
    <t xml:space="preserve">Oorja Dey</t>
  </si>
  <si>
    <t xml:space="preserve">shanaya87@gmail.com</t>
  </si>
  <si>
    <t xml:space="preserve">91, Handa Circle, Baranagar-841504</t>
  </si>
  <si>
    <t xml:space="preserve">Drishya De</t>
  </si>
  <si>
    <t xml:space="preserve">kakarazad@sura.com</t>
  </si>
  <si>
    <t xml:space="preserve">12, Wali Ganj, Secunderabad 891177</t>
  </si>
  <si>
    <t xml:space="preserve">Adira Rajan</t>
  </si>
  <si>
    <t xml:space="preserve">indrans79@gmail.com</t>
  </si>
  <si>
    <t xml:space="preserve">H.No. 85, Bora Road, Rajpur Sonarpur-156686</t>
  </si>
  <si>
    <t xml:space="preserve">Zoya Mani</t>
  </si>
  <si>
    <t xml:space="preserve">obose@gmail.com</t>
  </si>
  <si>
    <t xml:space="preserve">H.No. 319, Mandal Ganj, Vijayawada-709890</t>
  </si>
  <si>
    <t xml:space="preserve">Mamooty Bawa</t>
  </si>
  <si>
    <t xml:space="preserve">veer55@chaudhari.net</t>
  </si>
  <si>
    <t xml:space="preserve">499, Apte Street, Gorakhpur 610533</t>
  </si>
  <si>
    <t xml:space="preserve">Raghav Babu</t>
  </si>
  <si>
    <t xml:space="preserve">shenoynirvaan@chawla.com</t>
  </si>
  <si>
    <t xml:space="preserve">83/108, Goyal Chowk, Bhusawal-294899</t>
  </si>
  <si>
    <t xml:space="preserve">Mahika Cherian</t>
  </si>
  <si>
    <t xml:space="preserve">pgala@yahoo.com</t>
  </si>
  <si>
    <t xml:space="preserve">765, Srinivasan Ganj, Gangtok-960690</t>
  </si>
  <si>
    <t xml:space="preserve">Kavya Reddy</t>
  </si>
  <si>
    <t xml:space="preserve">balakrishnanzaina@gmail.com</t>
  </si>
  <si>
    <t xml:space="preserve">88/80, Sheth Chowk, Dewas 052601</t>
  </si>
  <si>
    <t xml:space="preserve">Nakul Randhawa</t>
  </si>
  <si>
    <t xml:space="preserve">tlall@ramanathan.info</t>
  </si>
  <si>
    <t xml:space="preserve">376, Tiwari Zila, Munger-178543</t>
  </si>
  <si>
    <t xml:space="preserve">Navya Golla</t>
  </si>
  <si>
    <t xml:space="preserve">tellamadhup@bhatt-bhasin.info</t>
  </si>
  <si>
    <t xml:space="preserve">910, Rastogi Circle, Tiruppur 102771</t>
  </si>
  <si>
    <t xml:space="preserve">Ranbir Loyal</t>
  </si>
  <si>
    <t xml:space="preserve">reyanshghosh@rajagopalan.com</t>
  </si>
  <si>
    <t xml:space="preserve">496, Kumer Zila, Raurkela Industrial Township-618990</t>
  </si>
  <si>
    <t xml:space="preserve">Pranay Chaudhary</t>
  </si>
  <si>
    <t xml:space="preserve">prisha77@loke.org</t>
  </si>
  <si>
    <t xml:space="preserve">H.No. 58, Sem Street, Amravati 316691</t>
  </si>
  <si>
    <t xml:space="preserve">Month No</t>
  </si>
  <si>
    <t xml:space="preserve">Short</t>
  </si>
  <si>
    <t xml:space="preserve">Festival</t>
  </si>
  <si>
    <t xml:space="preserve">Day No</t>
  </si>
  <si>
    <t xml:space="preserve">Price From</t>
  </si>
  <si>
    <t xml:space="preserve">Price Band</t>
  </si>
  <si>
    <t xml:space="preserve">Lead From</t>
  </si>
  <si>
    <t xml:space="preserve">Lead Bucket</t>
  </si>
  <si>
    <t xml:space="preserve">Occasion filter list</t>
  </si>
  <si>
    <t xml:space="preserve">Category filter list</t>
  </si>
  <si>
    <t xml:space="preserve">January</t>
  </si>
  <si>
    <t xml:space="preserve">Monday</t>
  </si>
  <si>
    <t xml:space="preserve">February</t>
  </si>
  <si>
    <t xml:space="preserve">Tuesday</t>
  </si>
  <si>
    <t xml:space="preserve">March</t>
  </si>
  <si>
    <t xml:space="preserve">Wednesday</t>
  </si>
  <si>
    <t xml:space="preserve">April</t>
  </si>
  <si>
    <t xml:space="preserve">Thursday</t>
  </si>
  <si>
    <t xml:space="preserve">Friday</t>
  </si>
  <si>
    <t xml:space="preserve">June</t>
  </si>
  <si>
    <t xml:space="preserve">Saturday</t>
  </si>
  <si>
    <t xml:space="preserve">July</t>
  </si>
  <si>
    <t xml:space="preserve">Sunday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</si>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</sst>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[&gt;=100000]\₹##\,##\,##0;\₹##,##0"/>
    <numFmt numFmtId="166" formatCode="0.0&quot; days&quot;"/>
    <numFmt numFmtId="167" formatCode="0%"/>
    <numFmt numFmtId="168" formatCode="#,##0"/>
    <numFmt numFmtId="169" formatCode="#,##0;;\–"/>
    <numFmt numFmtId="170" formatCode="0.000000"/>
    <numFmt numFmtId="171" formatCode="0.000000000000"/>
    <numFmt numFmtId="172" formatCode="0.0"/>
    <numFmt numFmtId="173" formatCode="0.0%"/>
    <numFmt numFmtId="174" formatCode="0.0\×"/>
    <numFmt numFmtId="175" formatCode="dd\-mmm\-yyyy"/>
    <numFmt numFmtId="176" formatCode="hh:mm"/>
    <numFmt numFmtId="177" formatCode="0.00"/>
    <numFmt numFmtId="178" formatCode="hh:mm:ss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F4F0FB"/>
      <name val="Arial"/>
      <family val="0"/>
      <charset val="1"/>
    </font>
    <font>
      <b val="true"/>
      <sz val="9"/>
      <color rgb="FFF5C451"/>
      <name val="Arial"/>
      <family val="0"/>
      <charset val="1"/>
    </font>
    <font>
      <sz val="9"/>
      <color rgb="FF9C94BA"/>
      <name val="Arial"/>
      <family val="0"/>
      <charset val="1"/>
    </font>
    <font>
      <b val="true"/>
      <sz val="18"/>
      <color rgb="FFF4F0FB"/>
      <name val="Arial"/>
      <family val="0"/>
      <charset val="1"/>
    </font>
    <font>
      <sz val="9"/>
      <color rgb="FF6D6595"/>
      <name val="Arial"/>
      <family val="0"/>
      <charset val="1"/>
    </font>
    <font>
      <b val="true"/>
      <sz val="9"/>
      <color rgb="FF9C94BA"/>
      <name val="Arial"/>
      <family val="0"/>
      <charset val="1"/>
    </font>
    <font>
      <b val="true"/>
      <sz val="11"/>
      <color rgb="FFF5C451"/>
      <name val="Arial"/>
      <family val="0"/>
      <charset val="1"/>
    </font>
    <font>
      <b val="true"/>
      <sz val="8"/>
      <color rgb="FF9C94BA"/>
      <name val="Arial"/>
      <family val="0"/>
      <charset val="1"/>
    </font>
    <font>
      <b val="true"/>
      <sz val="16"/>
      <color rgb="FFF4F0FB"/>
      <name val="Arial"/>
      <family val="0"/>
      <charset val="1"/>
    </font>
    <font>
      <sz val="8"/>
      <color rgb="FF9C94BA"/>
      <name val="Arial"/>
      <family val="0"/>
      <charset val="1"/>
    </font>
    <font>
      <b val="true"/>
      <sz val="8"/>
      <color rgb="FFF5C451"/>
      <name val="Arial"/>
      <family val="0"/>
      <charset val="1"/>
    </font>
    <font>
      <b val="true"/>
      <sz val="13"/>
      <color rgb="FFF4F0FB"/>
      <name val="Arial"/>
      <family val="0"/>
      <charset val="1"/>
    </font>
    <font>
      <b val="true"/>
      <sz val="10"/>
      <color rgb="FFF4F0FB"/>
      <name val="Arial"/>
      <family val="0"/>
      <charset val="1"/>
    </font>
    <font>
      <sz val="9"/>
      <color rgb="FFF5C451"/>
      <name val="Arial"/>
      <family val="0"/>
      <charset val="1"/>
    </font>
    <font>
      <sz val="8"/>
      <color rgb="FFF4F0FB"/>
      <name val="Arial"/>
      <family val="0"/>
      <charset val="1"/>
    </font>
    <font>
      <b val="true"/>
      <sz val="10"/>
      <color rgb="FFF4F0FB"/>
      <name val="Arial"/>
      <family val="2"/>
    </font>
    <font>
      <sz val="7.5"/>
      <color rgb="FF9C94BA"/>
      <name val="Arial"/>
      <family val="2"/>
    </font>
    <font>
      <sz val="7"/>
      <color rgb="FFF4F0FB"/>
      <name val="Arial"/>
      <family val="2"/>
    </font>
    <font>
      <b val="true"/>
      <sz val="15"/>
      <color rgb="FFF4F0FB"/>
      <name val="Arial"/>
      <family val="0"/>
      <charset val="1"/>
    </font>
    <font>
      <b val="true"/>
      <sz val="12"/>
      <color rgb="FFF5C451"/>
      <name val="Arial"/>
      <family val="0"/>
      <charset val="1"/>
    </font>
    <font>
      <b val="true"/>
      <sz val="10"/>
      <color rgb="FFF5C451"/>
      <name val="Arial"/>
      <family val="0"/>
      <charset val="1"/>
    </font>
    <font>
      <b val="true"/>
      <sz val="9"/>
      <color rgb="FFF4F0F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41020"/>
        <bgColor rgb="FF1B1630"/>
      </patternFill>
    </fill>
    <fill>
      <patternFill patternType="solid">
        <fgColor rgb="FF1B1630"/>
        <bgColor rgb="FF141020"/>
      </patternFill>
    </fill>
    <fill>
      <patternFill patternType="solid">
        <fgColor rgb="FF241D3E"/>
        <bgColor rgb="FF1B1630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F5C451"/>
      </bottom>
      <diagonal/>
    </border>
    <border diagonalUp="false" diagonalDown="false">
      <left style="thick">
        <color rgb="FFF5C451"/>
      </left>
      <right/>
      <top/>
      <bottom/>
      <diagonal/>
    </border>
    <border diagonalUp="false" diagonalDown="false">
      <left style="thick">
        <color rgb="FFFF3D8B"/>
      </left>
      <right/>
      <top/>
      <bottom/>
      <diagonal/>
    </border>
    <border diagonalUp="false" diagonalDown="false">
      <left style="thick">
        <color rgb="FF8B6BFF"/>
      </left>
      <right/>
      <top/>
      <bottom/>
      <diagonal/>
    </border>
    <border diagonalUp="false" diagonalDown="false">
      <left style="thick">
        <color rgb="FF22D3C5"/>
      </left>
      <right/>
      <top/>
      <bottom/>
      <diagonal/>
    </border>
    <border diagonalUp="false" diagonalDown="false">
      <left style="thick">
        <color rgb="FFFF8A1E"/>
      </left>
      <right/>
      <top/>
      <bottom/>
      <diagonal/>
    </border>
    <border diagonalUp="false" diagonalDown="false">
      <left style="thick">
        <color rgb="FFFF4D6D"/>
      </left>
      <right/>
      <top/>
      <bottom/>
      <diagonal/>
    </border>
    <border diagonalUp="false" diagonalDown="false">
      <left/>
      <right/>
      <top style="thin">
        <color rgb="FF332A52"/>
      </top>
      <bottom/>
      <diagonal/>
    </border>
    <border diagonalUp="false" diagonalDown="false">
      <left/>
      <right/>
      <top/>
      <bottom style="hair">
        <color rgb="FF332A52"/>
      </bottom>
      <diagonal/>
    </border>
    <border diagonalUp="false" diagonalDown="false">
      <left/>
      <right/>
      <top/>
      <bottom style="thin">
        <color rgb="FF332A5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3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3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7" fillId="2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4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4" fillId="4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4" fillId="4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4" fillId="4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4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4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5" fillId="4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0FB"/>
      <rgbColor rgb="FFFF0000"/>
      <rgbColor rgb="FF00FF00"/>
      <rgbColor rgb="FF0000FF"/>
      <rgbColor rgb="FFEFD34A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E88B0"/>
      <rgbColor rgb="FF8B6BFF"/>
      <rgbColor rgb="FFFF3D8B"/>
      <rgbColor rgb="FFFFFFCC"/>
      <rgbColor rgb="FFCCFFFF"/>
      <rgbColor rgb="FF660066"/>
      <rgbColor rgb="FFFF6FA5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3DDC97"/>
      <rgbColor rgb="FFCCFFFF"/>
      <rgbColor rgb="FFCCFFCC"/>
      <rgbColor rgb="FFFFFF99"/>
      <rgbColor rgb="FF4EA8FF"/>
      <rgbColor rgb="FFFF99CC"/>
      <rgbColor rgb="FFCC99FF"/>
      <rgbColor rgb="FFF5C451"/>
      <rgbColor rgb="FF4F81BD"/>
      <rgbColor rgb="FF22D3C5"/>
      <rgbColor rgb="FF99CC00"/>
      <rgbColor rgb="FFFFB020"/>
      <rgbColor rgb="FFFF8A1E"/>
      <rgbColor rgb="FFE85D45"/>
      <rgbColor rgb="FF6D6595"/>
      <rgbColor rgb="FF9C94BA"/>
      <rgbColor rgb="FF1B1630"/>
      <rgbColor rgb="FF339966"/>
      <rgbColor rgb="FF141020"/>
      <rgbColor rgb="FF241D3E"/>
      <rgbColor rgb="FF993300"/>
      <rgbColor rgb="FFFF4D6D"/>
      <rgbColor rgb="FF333399"/>
      <rgbColor rgb="FF332A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f4f0fb"/>
                </a:solidFill>
                <a:latin typeface="Arial"/>
              </a:defRPr>
            </a:pPr>
            <a:r>
              <a:rPr b="1" sz="1000" spc="-1" strike="noStrike">
                <a:solidFill>
                  <a:srgbClr val="f4f0fb"/>
                </a:solidFill>
                <a:latin typeface="Arial"/>
              </a:rPr>
              <a:t>Revenue by month  —  festival months in colour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749867044850204"/>
          <c:y val="0.170031760435572"/>
          <c:w val="0.799976363528925"/>
          <c:h val="0.6999773139745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Calcs!C6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8e88b0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ff4d6d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8b6bff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8e88b0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8e88b0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8e88b0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8e88b0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f5c451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8e88b0"/>
              </a:solidFill>
              <a:ln w="0">
                <a:noFill/>
              </a:ln>
            </c:spPr>
          </c:dPt>
          <c:dPt>
            <c:idx val="9"/>
            <c:invertIfNegative val="0"/>
            <c:spPr>
              <a:solidFill>
                <a:srgbClr val="8e88b0"/>
              </a:solidFill>
              <a:ln w="0">
                <a:noFill/>
              </a:ln>
            </c:spPr>
          </c:dPt>
          <c:dPt>
            <c:idx val="10"/>
            <c:invertIfNegative val="0"/>
            <c:spPr>
              <a:solidFill>
                <a:srgbClr val="ff8a1e"/>
              </a:solidFill>
              <a:ln w="0">
                <a:noFill/>
              </a:ln>
            </c:spPr>
          </c:dPt>
          <c:dPt>
            <c:idx val="11"/>
            <c:invertIfNegative val="0"/>
            <c:spPr>
              <a:solidFill>
                <a:srgbClr val="8e88b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Calcs!$A$7:$A$18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Calcs!$C$7:$C$18</c:f>
              <c:numCache>
                <c:formatCode>[&gt;=100000]\₹##\,##\,##0;\₹##,##0</c:formatCode>
                <c:ptCount val="12"/>
                <c:pt idx="0">
                  <c:v>95468</c:v>
                </c:pt>
                <c:pt idx="1">
                  <c:v>704509</c:v>
                </c:pt>
                <c:pt idx="2">
                  <c:v>511823</c:v>
                </c:pt>
                <c:pt idx="3">
                  <c:v>140393</c:v>
                </c:pt>
                <c:pt idx="4">
                  <c:v>150346</c:v>
                </c:pt>
                <c:pt idx="5">
                  <c:v>157913</c:v>
                </c:pt>
                <c:pt idx="6">
                  <c:v>135826</c:v>
                </c:pt>
                <c:pt idx="7">
                  <c:v>737389</c:v>
                </c:pt>
                <c:pt idx="8">
                  <c:v>136938</c:v>
                </c:pt>
                <c:pt idx="9">
                  <c:v>151619</c:v>
                </c:pt>
                <c:pt idx="10">
                  <c:v>449169</c:v>
                </c:pt>
                <c:pt idx="11">
                  <c:v>149591</c:v>
                </c:pt>
              </c:numCache>
            </c:numRef>
          </c:val>
        </c:ser>
        <c:gapWidth val="55"/>
        <c:overlap val="0"/>
        <c:axId val="51438149"/>
        <c:axId val="52908315"/>
      </c:barChart>
      <c:catAx>
        <c:axId val="514381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332a52"/>
            </a:solidFill>
            <a:round/>
          </a:ln>
        </c:spPr>
        <c:txPr>
          <a:bodyPr/>
          <a:lstStyle/>
          <a:p>
            <a:pPr>
              <a:defRPr b="0" sz="750" spc="-1" strike="noStrike">
                <a:solidFill>
                  <a:srgbClr val="9c94ba"/>
                </a:solidFill>
                <a:latin typeface="Arial"/>
              </a:defRPr>
            </a:pPr>
          </a:p>
        </c:txPr>
        <c:crossAx val="52908315"/>
        <c:crosses val="autoZero"/>
        <c:auto val="1"/>
        <c:lblAlgn val="ctr"/>
        <c:lblOffset val="100"/>
        <c:noMultiLvlLbl val="0"/>
      </c:catAx>
      <c:valAx>
        <c:axId val="52908315"/>
        <c:scaling>
          <c:orientation val="minMax"/>
        </c:scaling>
        <c:delete val="0"/>
        <c:axPos val="l"/>
        <c:majorGridlines>
          <c:spPr>
            <a:ln w="6480">
              <a:solidFill>
                <a:srgbClr val="332a52"/>
              </a:solidFill>
              <a:round/>
            </a:ln>
          </c:spPr>
        </c:majorGridlines>
        <c:numFmt formatCode="[&gt;=100000]\₹##\,##\,##0;\₹##,##0" sourceLinked="0"/>
        <c:majorTickMark val="none"/>
        <c:minorTickMark val="none"/>
        <c:tickLblPos val="nextTo"/>
        <c:spPr>
          <a:ln w="6480">
            <a:solidFill>
              <a:srgbClr val="332a52"/>
            </a:solidFill>
            <a:round/>
          </a:ln>
        </c:spPr>
        <c:txPr>
          <a:bodyPr/>
          <a:lstStyle/>
          <a:p>
            <a:pPr>
              <a:defRPr b="0" sz="750" spc="-1" strike="noStrike">
                <a:solidFill>
                  <a:srgbClr val="9c94ba"/>
                </a:solidFill>
                <a:latin typeface="Arial"/>
              </a:defRPr>
            </a:pPr>
          </a:p>
        </c:txPr>
        <c:crossAx val="51438149"/>
        <c:crosses val="autoZero"/>
        <c:crossBetween val="between"/>
      </c:valAx>
      <c:spPr>
        <a:solidFill>
          <a:srgbClr val="1b1630"/>
        </a:solidFill>
        <a:ln w="0">
          <a:noFill/>
        </a:ln>
      </c:spPr>
    </c:plotArea>
    <c:plotVisOnly val="1"/>
    <c:dispBlanksAs val="gap"/>
  </c:chart>
  <c:spPr>
    <a:solidFill>
      <a:srgbClr val="1b1630"/>
    </a:solidFill>
    <a:ln w="6480">
      <a:solidFill>
        <a:srgbClr val="332a52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f4f0fb"/>
                </a:solidFill>
                <a:latin typeface="Arial"/>
              </a:defRPr>
            </a:pPr>
            <a:r>
              <a:rPr b="1" sz="1000" spc="-1" strike="noStrike">
                <a:solidFill>
                  <a:srgbClr val="f4f0fb"/>
                </a:solidFill>
                <a:latin typeface="Arial"/>
              </a:rPr>
              <a:t>The year as a wheel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Calcs!C6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8e88b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d6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b6bf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e88b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8e88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e88b0"/>
              </a:solidFill>
              <a:ln w="0">
                <a:noFill/>
              </a:ln>
            </c:spPr>
          </c:dPt>
          <c:dPt>
            <c:idx val="6"/>
            <c:spPr>
              <a:solidFill>
                <a:srgbClr val="8e88b0"/>
              </a:solidFill>
              <a:ln w="0">
                <a:noFill/>
              </a:ln>
            </c:spPr>
          </c:dPt>
          <c:dPt>
            <c:idx val="7"/>
            <c:spPr>
              <a:solidFill>
                <a:srgbClr val="f5c451"/>
              </a:solidFill>
              <a:ln w="0">
                <a:noFill/>
              </a:ln>
            </c:spPr>
          </c:dPt>
          <c:dPt>
            <c:idx val="8"/>
            <c:spPr>
              <a:solidFill>
                <a:srgbClr val="8e88b0"/>
              </a:solidFill>
              <a:ln w="0">
                <a:noFill/>
              </a:ln>
            </c:spPr>
          </c:dPt>
          <c:dPt>
            <c:idx val="9"/>
            <c:spPr>
              <a:solidFill>
                <a:srgbClr val="8e88b0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ff8a1e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8e88b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f4f0fb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f4f0fb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f4f0fb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f4f0fb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f4f0fb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f4f0fb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f4f0fb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f4f0fb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f4f0fb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f4f0fb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f4f0fb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f4f0fb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700" spc="-1" strike="noStrike">
                    <a:solidFill>
                      <a:srgbClr val="f4f0fb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0"/>
            <c:separator>; </c:separator>
            <c:showLeaderLines val="1"/>
          </c:dLbls>
          <c:cat>
            <c:strRef>
              <c:f>Calcs!$A$7:$A$18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Calcs!$C$7:$C$18</c:f>
              <c:numCache>
                <c:formatCode>[&gt;=100000]\₹##\,##\,##0;\₹##,##0</c:formatCode>
                <c:ptCount val="12"/>
                <c:pt idx="0">
                  <c:v>95468</c:v>
                </c:pt>
                <c:pt idx="1">
                  <c:v>704509</c:v>
                </c:pt>
                <c:pt idx="2">
                  <c:v>511823</c:v>
                </c:pt>
                <c:pt idx="3">
                  <c:v>140393</c:v>
                </c:pt>
                <c:pt idx="4">
                  <c:v>150346</c:v>
                </c:pt>
                <c:pt idx="5">
                  <c:v>157913</c:v>
                </c:pt>
                <c:pt idx="6">
                  <c:v>135826</c:v>
                </c:pt>
                <c:pt idx="7">
                  <c:v>737389</c:v>
                </c:pt>
                <c:pt idx="8">
                  <c:v>136938</c:v>
                </c:pt>
                <c:pt idx="9">
                  <c:v>151619</c:v>
                </c:pt>
                <c:pt idx="10">
                  <c:v>449169</c:v>
                </c:pt>
                <c:pt idx="11">
                  <c:v>149591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1"/>
    <c:dispBlanksAs val="gap"/>
  </c:chart>
  <c:spPr>
    <a:solidFill>
      <a:srgbClr val="1b1630"/>
    </a:solidFill>
    <a:ln w="6480">
      <a:solidFill>
        <a:srgbClr val="332a52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f4f0fb"/>
                </a:solidFill>
                <a:latin typeface="Arial"/>
              </a:defRPr>
            </a:pPr>
            <a:r>
              <a:rPr b="1" sz="1000" spc="-1" strike="noStrike">
                <a:solidFill>
                  <a:srgbClr val="f4f0fb"/>
                </a:solidFill>
                <a:latin typeface="Arial"/>
              </a:rPr>
              <a:t>Revenue by hour of order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ndard"/>
        <c:ser>
          <c:idx val="0"/>
          <c:order val="0"/>
          <c:tx>
            <c:strRef>
              <c:f>Calcs!B41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b6bff"/>
            </a:solidFill>
            <a:ln w="19080">
              <a:solidFill>
                <a:srgbClr val="8b6bff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Calcs!$A$42:$A$65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Calcs!$B$42:$B$65</c:f>
              <c:numCache>
                <c:formatCode>[&gt;=100000]\₹##\,##\,##0;\₹##,##0</c:formatCode>
                <c:ptCount val="24"/>
                <c:pt idx="0">
                  <c:v>99400</c:v>
                </c:pt>
                <c:pt idx="1">
                  <c:v>129309</c:v>
                </c:pt>
                <c:pt idx="2">
                  <c:v>152940</c:v>
                </c:pt>
                <c:pt idx="3">
                  <c:v>146810</c:v>
                </c:pt>
                <c:pt idx="4">
                  <c:v>114700</c:v>
                </c:pt>
                <c:pt idx="5">
                  <c:v>156198</c:v>
                </c:pt>
                <c:pt idx="6">
                  <c:v>177211</c:v>
                </c:pt>
                <c:pt idx="7">
                  <c:v>147749</c:v>
                </c:pt>
                <c:pt idx="8">
                  <c:v>133617</c:v>
                </c:pt>
                <c:pt idx="9">
                  <c:v>153678</c:v>
                </c:pt>
                <c:pt idx="10">
                  <c:v>94985</c:v>
                </c:pt>
                <c:pt idx="11">
                  <c:v>130287</c:v>
                </c:pt>
                <c:pt idx="12">
                  <c:v>162394</c:v>
                </c:pt>
                <c:pt idx="13">
                  <c:v>152340</c:v>
                </c:pt>
                <c:pt idx="14">
                  <c:v>126406</c:v>
                </c:pt>
                <c:pt idx="15">
                  <c:v>163586</c:v>
                </c:pt>
                <c:pt idx="16">
                  <c:v>128797</c:v>
                </c:pt>
                <c:pt idx="17">
                  <c:v>155373</c:v>
                </c:pt>
                <c:pt idx="18">
                  <c:v>173118</c:v>
                </c:pt>
                <c:pt idx="19">
                  <c:v>185771</c:v>
                </c:pt>
                <c:pt idx="20">
                  <c:v>186426</c:v>
                </c:pt>
                <c:pt idx="21">
                  <c:v>155466</c:v>
                </c:pt>
                <c:pt idx="22">
                  <c:v>125912</c:v>
                </c:pt>
                <c:pt idx="23">
                  <c:v>168511</c:v>
                </c:pt>
              </c:numCache>
            </c:numRef>
          </c:val>
        </c:ser>
        <c:axId val="41354690"/>
        <c:axId val="23822094"/>
      </c:areaChart>
      <c:catAx>
        <c:axId val="413546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332a52"/>
            </a:solidFill>
            <a:round/>
          </a:ln>
        </c:spPr>
        <c:txPr>
          <a:bodyPr/>
          <a:lstStyle/>
          <a:p>
            <a:pPr>
              <a:defRPr b="0" sz="750" spc="-1" strike="noStrike">
                <a:solidFill>
                  <a:srgbClr val="9c94ba"/>
                </a:solidFill>
                <a:latin typeface="Arial"/>
              </a:defRPr>
            </a:pPr>
          </a:p>
        </c:txPr>
        <c:crossAx val="23822094"/>
        <c:crosses val="autoZero"/>
        <c:auto val="1"/>
        <c:lblAlgn val="ctr"/>
        <c:lblOffset val="100"/>
        <c:noMultiLvlLbl val="0"/>
      </c:catAx>
      <c:valAx>
        <c:axId val="23822094"/>
        <c:scaling>
          <c:orientation val="minMax"/>
        </c:scaling>
        <c:delete val="0"/>
        <c:axPos val="l"/>
        <c:majorGridlines>
          <c:spPr>
            <a:ln w="6480">
              <a:solidFill>
                <a:srgbClr val="332a52"/>
              </a:solidFill>
              <a:round/>
            </a:ln>
          </c:spPr>
        </c:majorGridlines>
        <c:numFmt formatCode="[&gt;=100000]\₹##\,##\,##0;\₹##,##0" sourceLinked="0"/>
        <c:majorTickMark val="none"/>
        <c:minorTickMark val="none"/>
        <c:tickLblPos val="nextTo"/>
        <c:spPr>
          <a:ln w="6480">
            <a:solidFill>
              <a:srgbClr val="332a52"/>
            </a:solidFill>
            <a:round/>
          </a:ln>
        </c:spPr>
        <c:txPr>
          <a:bodyPr/>
          <a:lstStyle/>
          <a:p>
            <a:pPr>
              <a:defRPr b="0" sz="750" spc="-1" strike="noStrike">
                <a:solidFill>
                  <a:srgbClr val="9c94ba"/>
                </a:solidFill>
                <a:latin typeface="Arial"/>
              </a:defRPr>
            </a:pPr>
          </a:p>
        </c:txPr>
        <c:crossAx val="41354690"/>
        <c:crosses val="autoZero"/>
        <c:crossBetween val="midCat"/>
      </c:valAx>
      <c:spPr>
        <a:solidFill>
          <a:srgbClr val="1b1630"/>
        </a:solidFill>
        <a:ln w="0">
          <a:noFill/>
        </a:ln>
      </c:spPr>
    </c:plotArea>
    <c:plotVisOnly val="1"/>
    <c:dispBlanksAs val="gap"/>
  </c:chart>
  <c:spPr>
    <a:solidFill>
      <a:srgbClr val="1b1630"/>
    </a:solidFill>
    <a:ln w="6480">
      <a:solidFill>
        <a:srgbClr val="332a52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f4f0fb"/>
                </a:solidFill>
                <a:latin typeface="Arial"/>
              </a:defRPr>
            </a:pPr>
            <a:r>
              <a:rPr b="1" sz="1000" spc="-1" strike="noStrike">
                <a:solidFill>
                  <a:srgbClr val="f4f0fb"/>
                </a:solidFill>
                <a:latin typeface="Arial"/>
              </a:rPr>
              <a:t>Orders by weekday  —  weekend in pink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Calcs!C68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8b6bff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8b6bff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8b6bff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8b6bff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8b6bff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ff3d8b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ff3d8b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Calcs!$A$69:$A$75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Calcs!$C$69:$C$75</c:f>
              <c:numCache>
                <c:formatCode>#,##0</c:formatCode>
                <c:ptCount val="7"/>
                <c:pt idx="0">
                  <c:v>141</c:v>
                </c:pt>
                <c:pt idx="1">
                  <c:v>165</c:v>
                </c:pt>
                <c:pt idx="2">
                  <c:v>112</c:v>
                </c:pt>
                <c:pt idx="3">
                  <c:v>130</c:v>
                </c:pt>
                <c:pt idx="4">
                  <c:v>143</c:v>
                </c:pt>
                <c:pt idx="5">
                  <c:v>133</c:v>
                </c:pt>
                <c:pt idx="6">
                  <c:v>176</c:v>
                </c:pt>
              </c:numCache>
            </c:numRef>
          </c:val>
        </c:ser>
        <c:gapWidth val="60"/>
        <c:overlap val="0"/>
        <c:axId val="20639146"/>
        <c:axId val="18886730"/>
      </c:barChart>
      <c:catAx>
        <c:axId val="206391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332a52"/>
            </a:solidFill>
            <a:round/>
          </a:ln>
        </c:spPr>
        <c:txPr>
          <a:bodyPr/>
          <a:lstStyle/>
          <a:p>
            <a:pPr>
              <a:defRPr b="0" sz="750" spc="-1" strike="noStrike">
                <a:solidFill>
                  <a:srgbClr val="9c94ba"/>
                </a:solidFill>
                <a:latin typeface="Arial"/>
              </a:defRPr>
            </a:pPr>
          </a:p>
        </c:txPr>
        <c:crossAx val="18886730"/>
        <c:crosses val="autoZero"/>
        <c:auto val="1"/>
        <c:lblAlgn val="ctr"/>
        <c:lblOffset val="100"/>
        <c:noMultiLvlLbl val="0"/>
      </c:catAx>
      <c:valAx>
        <c:axId val="18886730"/>
        <c:scaling>
          <c:orientation val="minMax"/>
        </c:scaling>
        <c:delete val="0"/>
        <c:axPos val="l"/>
        <c:majorGridlines>
          <c:spPr>
            <a:ln w="6480">
              <a:solidFill>
                <a:srgbClr val="332a52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solidFill>
              <a:srgbClr val="332a52"/>
            </a:solidFill>
            <a:round/>
          </a:ln>
        </c:spPr>
        <c:txPr>
          <a:bodyPr/>
          <a:lstStyle/>
          <a:p>
            <a:pPr>
              <a:defRPr b="0" sz="750" spc="-1" strike="noStrike">
                <a:solidFill>
                  <a:srgbClr val="9c94ba"/>
                </a:solidFill>
                <a:latin typeface="Arial"/>
              </a:defRPr>
            </a:pPr>
          </a:p>
        </c:txPr>
        <c:crossAx val="20639146"/>
        <c:crosses val="autoZero"/>
        <c:crossBetween val="between"/>
      </c:valAx>
      <c:spPr>
        <a:solidFill>
          <a:srgbClr val="1b1630"/>
        </a:solidFill>
        <a:ln w="0">
          <a:noFill/>
        </a:ln>
      </c:spPr>
    </c:plotArea>
    <c:plotVisOnly val="1"/>
    <c:dispBlanksAs val="gap"/>
  </c:chart>
  <c:spPr>
    <a:solidFill>
      <a:srgbClr val="1b1630"/>
    </a:solidFill>
    <a:ln w="6480">
      <a:solidFill>
        <a:srgbClr val="332a52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f4f0fb"/>
                </a:solidFill>
                <a:latin typeface="Arial"/>
              </a:defRPr>
            </a:pPr>
            <a:r>
              <a:rPr b="1" sz="1000" spc="-1" strike="noStrike">
                <a:solidFill>
                  <a:srgbClr val="f4f0fb"/>
                </a:solidFill>
                <a:latin typeface="Arial"/>
              </a:rPr>
              <a:t>Order-to-delivery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Calcs!B78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22d3c5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22d3c5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22d3c5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22d3c5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ff4d6d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ff4d6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Calcs!$A$79:$A$84</c:f>
              <c:strCache>
                <c:ptCount val="6"/>
                <c:pt idx="0">
                  <c:v>0 - 2 days</c:v>
                </c:pt>
                <c:pt idx="1">
                  <c:v>2 - 4 days</c:v>
                </c:pt>
                <c:pt idx="2">
                  <c:v>4 - 6 days</c:v>
                </c:pt>
                <c:pt idx="3">
                  <c:v>6 - 8 days</c:v>
                </c:pt>
                <c:pt idx="4">
                  <c:v>8 - 10 days</c:v>
                </c:pt>
                <c:pt idx="5">
                  <c:v>Over 10 days</c:v>
                </c:pt>
              </c:strCache>
            </c:strRef>
          </c:cat>
          <c:val>
            <c:numRef>
              <c:f>Calcs!$B$79:$B$84</c:f>
              <c:numCache>
                <c:formatCode>#,##0</c:formatCode>
                <c:ptCount val="6"/>
                <c:pt idx="0">
                  <c:v>148</c:v>
                </c:pt>
                <c:pt idx="1">
                  <c:v>199</c:v>
                </c:pt>
                <c:pt idx="2">
                  <c:v>214</c:v>
                </c:pt>
                <c:pt idx="3">
                  <c:v>180</c:v>
                </c:pt>
                <c:pt idx="4">
                  <c:v>213</c:v>
                </c:pt>
                <c:pt idx="5">
                  <c:v>46</c:v>
                </c:pt>
              </c:numCache>
            </c:numRef>
          </c:val>
        </c:ser>
        <c:gapWidth val="45"/>
        <c:overlap val="0"/>
        <c:axId val="45271067"/>
        <c:axId val="36818833"/>
      </c:barChart>
      <c:catAx>
        <c:axId val="452710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332a52"/>
            </a:solidFill>
            <a:round/>
          </a:ln>
        </c:spPr>
        <c:txPr>
          <a:bodyPr rot="-2700000"/>
          <a:lstStyle/>
          <a:p>
            <a:pPr>
              <a:defRPr b="0" sz="750" spc="-1" strike="noStrike">
                <a:solidFill>
                  <a:srgbClr val="9c94ba"/>
                </a:solidFill>
                <a:latin typeface="Arial"/>
              </a:defRPr>
            </a:pPr>
          </a:p>
        </c:txPr>
        <c:crossAx val="36818833"/>
        <c:crosses val="autoZero"/>
        <c:auto val="1"/>
        <c:lblAlgn val="ctr"/>
        <c:lblOffset val="100"/>
        <c:noMultiLvlLbl val="0"/>
      </c:catAx>
      <c:valAx>
        <c:axId val="36818833"/>
        <c:scaling>
          <c:orientation val="minMax"/>
        </c:scaling>
        <c:delete val="0"/>
        <c:axPos val="l"/>
        <c:majorGridlines>
          <c:spPr>
            <a:ln w="6480">
              <a:solidFill>
                <a:srgbClr val="332a52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solidFill>
              <a:srgbClr val="332a52"/>
            </a:solidFill>
            <a:round/>
          </a:ln>
        </c:spPr>
        <c:txPr>
          <a:bodyPr/>
          <a:lstStyle/>
          <a:p>
            <a:pPr>
              <a:defRPr b="0" sz="750" spc="-1" strike="noStrike">
                <a:solidFill>
                  <a:srgbClr val="9c94ba"/>
                </a:solidFill>
                <a:latin typeface="Arial"/>
              </a:defRPr>
            </a:pPr>
          </a:p>
        </c:txPr>
        <c:crossAx val="45271067"/>
        <c:crosses val="autoZero"/>
        <c:crossBetween val="between"/>
      </c:valAx>
      <c:spPr>
        <a:solidFill>
          <a:srgbClr val="1b1630"/>
        </a:solidFill>
        <a:ln w="0">
          <a:noFill/>
        </a:ln>
      </c:spPr>
    </c:plotArea>
    <c:plotVisOnly val="1"/>
    <c:dispBlanksAs val="gap"/>
  </c:chart>
  <c:spPr>
    <a:solidFill>
      <a:srgbClr val="1b1630"/>
    </a:solidFill>
    <a:ln w="6480">
      <a:solidFill>
        <a:srgbClr val="332a52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f4f0fb"/>
                </a:solidFill>
                <a:latin typeface="Arial"/>
              </a:defRPr>
            </a:pPr>
            <a:r>
              <a:rPr b="1" sz="1000" spc="-1" strike="noStrike">
                <a:solidFill>
                  <a:srgbClr val="f4f0fb"/>
                </a:solidFill>
                <a:latin typeface="Arial"/>
              </a:rPr>
              <a:t>Revenue by occasion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Calcs!B21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8e88b0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ff3d8b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22d3c5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ff8a1e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8b6bff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f5c451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ff4d6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Calcs!$A$22:$A$28</c:f>
              <c:strCache>
                <c:ptCount val="7"/>
                <c:pt idx="0">
                  <c:v>All Occasions</c:v>
                </c:pt>
                <c:pt idx="1">
                  <c:v>Anniversary</c:v>
                </c:pt>
                <c:pt idx="2">
                  <c:v>Birthday</c:v>
                </c:pt>
                <c:pt idx="3">
                  <c:v>Diwali</c:v>
                </c:pt>
                <c:pt idx="4">
                  <c:v>Holi</c:v>
                </c:pt>
                <c:pt idx="5">
                  <c:v>Raksha Bandhan</c:v>
                </c:pt>
                <c:pt idx="6">
                  <c:v>Valentine's Day</c:v>
                </c:pt>
              </c:strCache>
            </c:strRef>
          </c:cat>
          <c:val>
            <c:numRef>
              <c:f>Calcs!$B$22:$B$28</c:f>
              <c:numCache>
                <c:formatCode>[&gt;=100000]\₹##\,##\,##0;\₹##,##0</c:formatCode>
                <c:ptCount val="7"/>
                <c:pt idx="0">
                  <c:v>586176</c:v>
                </c:pt>
                <c:pt idx="1">
                  <c:v>674634</c:v>
                </c:pt>
                <c:pt idx="2">
                  <c:v>408194</c:v>
                </c:pt>
                <c:pt idx="3">
                  <c:v>313783</c:v>
                </c:pt>
                <c:pt idx="4">
                  <c:v>574682</c:v>
                </c:pt>
                <c:pt idx="5">
                  <c:v>631585</c:v>
                </c:pt>
                <c:pt idx="6">
                  <c:v>331930</c:v>
                </c:pt>
              </c:numCache>
            </c:numRef>
          </c:val>
        </c:ser>
        <c:gapWidth val="45"/>
        <c:overlap val="0"/>
        <c:axId val="7230149"/>
        <c:axId val="68694079"/>
      </c:barChart>
      <c:catAx>
        <c:axId val="723014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332a52"/>
            </a:solidFill>
            <a:round/>
          </a:ln>
        </c:spPr>
        <c:txPr>
          <a:bodyPr/>
          <a:lstStyle/>
          <a:p>
            <a:pPr>
              <a:defRPr b="0" sz="750" spc="-1" strike="noStrike">
                <a:solidFill>
                  <a:srgbClr val="9c94ba"/>
                </a:solidFill>
                <a:latin typeface="Arial"/>
              </a:defRPr>
            </a:pPr>
          </a:p>
        </c:txPr>
        <c:crossAx val="68694079"/>
        <c:crosses val="autoZero"/>
        <c:auto val="1"/>
        <c:lblAlgn val="ctr"/>
        <c:lblOffset val="100"/>
        <c:noMultiLvlLbl val="0"/>
      </c:catAx>
      <c:valAx>
        <c:axId val="68694079"/>
        <c:scaling>
          <c:orientation val="minMax"/>
        </c:scaling>
        <c:delete val="0"/>
        <c:axPos val="l"/>
        <c:majorGridlines>
          <c:spPr>
            <a:ln w="6480">
              <a:solidFill>
                <a:srgbClr val="332a52"/>
              </a:solidFill>
              <a:round/>
            </a:ln>
          </c:spPr>
        </c:majorGridlines>
        <c:numFmt formatCode="[&gt;=100000]\₹##\,##\,##0;\₹##,##0" sourceLinked="0"/>
        <c:majorTickMark val="none"/>
        <c:minorTickMark val="none"/>
        <c:tickLblPos val="nextTo"/>
        <c:spPr>
          <a:ln w="6480">
            <a:solidFill>
              <a:srgbClr val="332a52"/>
            </a:solidFill>
            <a:round/>
          </a:ln>
        </c:spPr>
        <c:txPr>
          <a:bodyPr/>
          <a:lstStyle/>
          <a:p>
            <a:pPr>
              <a:defRPr b="0" sz="750" spc="-1" strike="noStrike">
                <a:solidFill>
                  <a:srgbClr val="9c94ba"/>
                </a:solidFill>
                <a:latin typeface="Arial"/>
              </a:defRPr>
            </a:pPr>
          </a:p>
        </c:txPr>
        <c:crossAx val="7230149"/>
        <c:crosses val="autoZero"/>
        <c:crossBetween val="between"/>
      </c:valAx>
      <c:spPr>
        <a:solidFill>
          <a:srgbClr val="1b1630"/>
        </a:solidFill>
        <a:ln w="0">
          <a:noFill/>
        </a:ln>
      </c:spPr>
    </c:plotArea>
    <c:plotVisOnly val="1"/>
    <c:dispBlanksAs val="gap"/>
  </c:chart>
  <c:spPr>
    <a:solidFill>
      <a:srgbClr val="1b1630"/>
    </a:solidFill>
    <a:ln w="6480">
      <a:solidFill>
        <a:srgbClr val="332a52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f4f0fb"/>
                </a:solidFill>
                <a:latin typeface="Arial"/>
              </a:defRPr>
            </a:pPr>
            <a:r>
              <a:rPr b="1" sz="1000" spc="-1" strike="noStrike">
                <a:solidFill>
                  <a:srgbClr val="f4f0fb"/>
                </a:solidFill>
                <a:latin typeface="Arial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Calcs!B31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ff6fa5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8b6bff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4ea8ff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3ddc97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e85d45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ffb020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efd34a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Calcs!$A$32:$A$38</c:f>
              <c:strCache>
                <c:ptCount val="7"/>
                <c:pt idx="0">
                  <c:v>Cake</c:v>
                </c:pt>
                <c:pt idx="1">
                  <c:v>Colors</c:v>
                </c:pt>
                <c:pt idx="2">
                  <c:v>Mugs</c:v>
                </c:pt>
                <c:pt idx="3">
                  <c:v>Plants</c:v>
                </c:pt>
                <c:pt idx="4">
                  <c:v>Raksha Bandhan</c:v>
                </c:pt>
                <c:pt idx="5">
                  <c:v>Soft Toys</c:v>
                </c:pt>
                <c:pt idx="6">
                  <c:v>Sweets</c:v>
                </c:pt>
              </c:strCache>
            </c:strRef>
          </c:cat>
          <c:val>
            <c:numRef>
              <c:f>Calcs!$B$32:$B$38</c:f>
              <c:numCache>
                <c:formatCode>[&gt;=100000]\₹##\,##\,##0;\₹##,##0</c:formatCode>
                <c:ptCount val="7"/>
                <c:pt idx="0">
                  <c:v>329862</c:v>
                </c:pt>
                <c:pt idx="1">
                  <c:v>1005645</c:v>
                </c:pt>
                <c:pt idx="2">
                  <c:v>201151</c:v>
                </c:pt>
                <c:pt idx="3">
                  <c:v>212281</c:v>
                </c:pt>
                <c:pt idx="4">
                  <c:v>297372</c:v>
                </c:pt>
                <c:pt idx="5">
                  <c:v>740831</c:v>
                </c:pt>
                <c:pt idx="6">
                  <c:v>733842</c:v>
                </c:pt>
              </c:numCache>
            </c:numRef>
          </c:val>
        </c:ser>
        <c:gapWidth val="45"/>
        <c:overlap val="0"/>
        <c:axId val="12752131"/>
        <c:axId val="57109561"/>
      </c:barChart>
      <c:catAx>
        <c:axId val="1275213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332a52"/>
            </a:solidFill>
            <a:round/>
          </a:ln>
        </c:spPr>
        <c:txPr>
          <a:bodyPr/>
          <a:lstStyle/>
          <a:p>
            <a:pPr>
              <a:defRPr b="0" sz="750" spc="-1" strike="noStrike">
                <a:solidFill>
                  <a:srgbClr val="9c94ba"/>
                </a:solidFill>
                <a:latin typeface="Arial"/>
              </a:defRPr>
            </a:pPr>
          </a:p>
        </c:txPr>
        <c:crossAx val="57109561"/>
        <c:crosses val="autoZero"/>
        <c:auto val="1"/>
        <c:lblAlgn val="ctr"/>
        <c:lblOffset val="100"/>
        <c:noMultiLvlLbl val="0"/>
      </c:catAx>
      <c:valAx>
        <c:axId val="57109561"/>
        <c:scaling>
          <c:orientation val="minMax"/>
        </c:scaling>
        <c:delete val="0"/>
        <c:axPos val="l"/>
        <c:majorGridlines>
          <c:spPr>
            <a:ln w="6480">
              <a:solidFill>
                <a:srgbClr val="332a52"/>
              </a:solidFill>
              <a:round/>
            </a:ln>
          </c:spPr>
        </c:majorGridlines>
        <c:numFmt formatCode="[&gt;=100000]\₹##\,##\,##0;\₹##,##0" sourceLinked="0"/>
        <c:majorTickMark val="none"/>
        <c:minorTickMark val="none"/>
        <c:tickLblPos val="nextTo"/>
        <c:spPr>
          <a:ln w="6480">
            <a:solidFill>
              <a:srgbClr val="332a52"/>
            </a:solidFill>
            <a:round/>
          </a:ln>
        </c:spPr>
        <c:txPr>
          <a:bodyPr/>
          <a:lstStyle/>
          <a:p>
            <a:pPr>
              <a:defRPr b="0" sz="750" spc="-1" strike="noStrike">
                <a:solidFill>
                  <a:srgbClr val="9c94ba"/>
                </a:solidFill>
                <a:latin typeface="Arial"/>
              </a:defRPr>
            </a:pPr>
          </a:p>
        </c:txPr>
        <c:crossAx val="12752131"/>
        <c:crosses val="autoZero"/>
        <c:crossBetween val="between"/>
      </c:valAx>
      <c:spPr>
        <a:solidFill>
          <a:srgbClr val="1b1630"/>
        </a:solidFill>
        <a:ln w="0">
          <a:noFill/>
        </a:ln>
      </c:spPr>
    </c:plotArea>
    <c:plotVisOnly val="1"/>
    <c:dispBlanksAs val="gap"/>
  </c:chart>
  <c:spPr>
    <a:solidFill>
      <a:srgbClr val="1b1630"/>
    </a:solidFill>
    <a:ln w="6480">
      <a:solidFill>
        <a:srgbClr val="332a52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f4f0fb"/>
                </a:solidFill>
                <a:latin typeface="Arial"/>
              </a:defRPr>
            </a:pPr>
            <a:r>
              <a:rPr b="1" sz="1000" spc="-1" strike="noStrike">
                <a:solidFill>
                  <a:srgbClr val="f4f0fb"/>
                </a:solidFill>
                <a:latin typeface="Arial"/>
              </a:rPr>
              <a:t>Top 10 products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Calcs!R6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b0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Calcs!$Q$7:$Q$16</c:f>
              <c:strCache>
                <c:ptCount val="10"/>
                <c:pt idx="0">
                  <c:v>Magnam Set</c:v>
                </c:pt>
                <c:pt idx="1">
                  <c:v>Dolores Gift</c:v>
                </c:pt>
                <c:pt idx="2">
                  <c:v>Harum Pack</c:v>
                </c:pt>
                <c:pt idx="3">
                  <c:v>Deserunt Box</c:v>
                </c:pt>
                <c:pt idx="4">
                  <c:v>Nostrum Box</c:v>
                </c:pt>
                <c:pt idx="5">
                  <c:v>Exercitationem Pack</c:v>
                </c:pt>
                <c:pt idx="6">
                  <c:v>Nam Gift</c:v>
                </c:pt>
                <c:pt idx="7">
                  <c:v>Dignissimos Pack</c:v>
                </c:pt>
                <c:pt idx="8">
                  <c:v>Aperiam Box</c:v>
                </c:pt>
                <c:pt idx="9">
                  <c:v>Expedita Gift</c:v>
                </c:pt>
              </c:strCache>
            </c:strRef>
          </c:cat>
          <c:val>
            <c:numRef>
              <c:f>Calcs!$R$7:$R$16</c:f>
              <c:numCache>
                <c:formatCode>[&gt;=100000]\₹##\,##\,##0;\₹##,##0</c:formatCode>
                <c:ptCount val="10"/>
                <c:pt idx="0">
                  <c:v>121905</c:v>
                </c:pt>
                <c:pt idx="1">
                  <c:v>106624</c:v>
                </c:pt>
                <c:pt idx="2">
                  <c:v>101556</c:v>
                </c:pt>
                <c:pt idx="3">
                  <c:v>97665</c:v>
                </c:pt>
                <c:pt idx="4">
                  <c:v>97656</c:v>
                </c:pt>
                <c:pt idx="5">
                  <c:v>96701</c:v>
                </c:pt>
                <c:pt idx="6">
                  <c:v>91385</c:v>
                </c:pt>
                <c:pt idx="7">
                  <c:v>90036</c:v>
                </c:pt>
                <c:pt idx="8">
                  <c:v>89880</c:v>
                </c:pt>
                <c:pt idx="9">
                  <c:v>88944</c:v>
                </c:pt>
              </c:numCache>
            </c:numRef>
          </c:val>
        </c:ser>
        <c:gapWidth val="45"/>
        <c:overlap val="0"/>
        <c:axId val="93105062"/>
        <c:axId val="30094734"/>
      </c:barChart>
      <c:catAx>
        <c:axId val="9310506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332a52"/>
            </a:solidFill>
            <a:round/>
          </a:ln>
        </c:spPr>
        <c:txPr>
          <a:bodyPr/>
          <a:lstStyle/>
          <a:p>
            <a:pPr>
              <a:defRPr b="0" sz="750" spc="-1" strike="noStrike">
                <a:solidFill>
                  <a:srgbClr val="9c94ba"/>
                </a:solidFill>
                <a:latin typeface="Arial"/>
              </a:defRPr>
            </a:pPr>
          </a:p>
        </c:txPr>
        <c:crossAx val="30094734"/>
        <c:crosses val="autoZero"/>
        <c:auto val="1"/>
        <c:lblAlgn val="ctr"/>
        <c:lblOffset val="100"/>
        <c:noMultiLvlLbl val="0"/>
      </c:catAx>
      <c:valAx>
        <c:axId val="30094734"/>
        <c:scaling>
          <c:orientation val="minMax"/>
        </c:scaling>
        <c:delete val="0"/>
        <c:axPos val="l"/>
        <c:majorGridlines>
          <c:spPr>
            <a:ln w="6480">
              <a:solidFill>
                <a:srgbClr val="332a52"/>
              </a:solidFill>
              <a:round/>
            </a:ln>
          </c:spPr>
        </c:majorGridlines>
        <c:numFmt formatCode="[&gt;=100000]\₹##\,##\,##0;\₹##,##0" sourceLinked="0"/>
        <c:majorTickMark val="none"/>
        <c:minorTickMark val="none"/>
        <c:tickLblPos val="nextTo"/>
        <c:spPr>
          <a:ln w="6480">
            <a:solidFill>
              <a:srgbClr val="332a52"/>
            </a:solidFill>
            <a:round/>
          </a:ln>
        </c:spPr>
        <c:txPr>
          <a:bodyPr/>
          <a:lstStyle/>
          <a:p>
            <a:pPr>
              <a:defRPr b="0" sz="750" spc="-1" strike="noStrike">
                <a:solidFill>
                  <a:srgbClr val="9c94ba"/>
                </a:solidFill>
                <a:latin typeface="Arial"/>
              </a:defRPr>
            </a:pPr>
          </a:p>
        </c:txPr>
        <c:crossAx val="93105062"/>
        <c:crosses val="autoZero"/>
        <c:crossBetween val="between"/>
      </c:valAx>
      <c:spPr>
        <a:solidFill>
          <a:srgbClr val="1b1630"/>
        </a:solidFill>
        <a:ln w="0">
          <a:noFill/>
        </a:ln>
      </c:spPr>
    </c:plotArea>
    <c:plotVisOnly val="1"/>
    <c:dispBlanksAs val="gap"/>
  </c:chart>
  <c:spPr>
    <a:solidFill>
      <a:srgbClr val="1b1630"/>
    </a:solidFill>
    <a:ln w="6480">
      <a:solidFill>
        <a:srgbClr val="332a52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f4f0fb"/>
                </a:solidFill>
                <a:latin typeface="Arial"/>
              </a:defRPr>
            </a:pPr>
            <a:r>
              <a:rPr b="1" sz="1000" spc="-1" strike="noStrike">
                <a:solidFill>
                  <a:srgbClr val="f4f0fb"/>
                </a:solidFill>
                <a:latin typeface="Arial"/>
              </a:rPr>
              <a:t>Revenue by price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Calcs!B87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4ea8ff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3ddc97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ffb020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ff4d6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Calcs!$A$88:$A$91</c:f>
              <c:strCache>
                <c:ptCount val="4"/>
                <c:pt idx="0">
                  <c:v>₹0 - 499</c:v>
                </c:pt>
                <c:pt idx="1">
                  <c:v>₹500 - 999</c:v>
                </c:pt>
                <c:pt idx="2">
                  <c:v>₹1,000 - 1,499</c:v>
                </c:pt>
                <c:pt idx="3">
                  <c:v>₹1,500 - 2,000</c:v>
                </c:pt>
              </c:strCache>
            </c:strRef>
          </c:cat>
          <c:val>
            <c:numRef>
              <c:f>Calcs!$B$88:$B$91</c:f>
              <c:numCache>
                <c:formatCode>[&gt;=100000]\₹##\,##\,##0;\₹##,##0</c:formatCode>
                <c:ptCount val="4"/>
                <c:pt idx="0">
                  <c:v>142345</c:v>
                </c:pt>
                <c:pt idx="1">
                  <c:v>572374</c:v>
                </c:pt>
                <c:pt idx="2">
                  <c:v>1029016</c:v>
                </c:pt>
                <c:pt idx="3">
                  <c:v>1777249</c:v>
                </c:pt>
              </c:numCache>
            </c:numRef>
          </c:val>
        </c:ser>
        <c:gapWidth val="55"/>
        <c:overlap val="0"/>
        <c:axId val="95101408"/>
        <c:axId val="84452530"/>
      </c:barChart>
      <c:catAx>
        <c:axId val="9510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332a52"/>
            </a:solidFill>
            <a:round/>
          </a:ln>
        </c:spPr>
        <c:txPr>
          <a:bodyPr rot="-2700000"/>
          <a:lstStyle/>
          <a:p>
            <a:pPr>
              <a:defRPr b="0" sz="750" spc="-1" strike="noStrike">
                <a:solidFill>
                  <a:srgbClr val="9c94ba"/>
                </a:solidFill>
                <a:latin typeface="Arial"/>
              </a:defRPr>
            </a:pPr>
          </a:p>
        </c:txPr>
        <c:crossAx val="84452530"/>
        <c:crosses val="autoZero"/>
        <c:auto val="1"/>
        <c:lblAlgn val="ctr"/>
        <c:lblOffset val="100"/>
        <c:noMultiLvlLbl val="0"/>
      </c:catAx>
      <c:valAx>
        <c:axId val="84452530"/>
        <c:scaling>
          <c:orientation val="minMax"/>
        </c:scaling>
        <c:delete val="0"/>
        <c:axPos val="l"/>
        <c:majorGridlines>
          <c:spPr>
            <a:ln w="6480">
              <a:solidFill>
                <a:srgbClr val="332a52"/>
              </a:solidFill>
              <a:round/>
            </a:ln>
          </c:spPr>
        </c:majorGridlines>
        <c:numFmt formatCode="[&gt;=100000]\₹##\,##\,##0;\₹##,##0" sourceLinked="0"/>
        <c:majorTickMark val="none"/>
        <c:minorTickMark val="none"/>
        <c:tickLblPos val="nextTo"/>
        <c:spPr>
          <a:ln w="6480">
            <a:solidFill>
              <a:srgbClr val="332a52"/>
            </a:solidFill>
            <a:round/>
          </a:ln>
        </c:spPr>
        <c:txPr>
          <a:bodyPr/>
          <a:lstStyle/>
          <a:p>
            <a:pPr>
              <a:defRPr b="0" sz="750" spc="-1" strike="noStrike">
                <a:solidFill>
                  <a:srgbClr val="9c94ba"/>
                </a:solidFill>
                <a:latin typeface="Arial"/>
              </a:defRPr>
            </a:pPr>
          </a:p>
        </c:txPr>
        <c:crossAx val="95101408"/>
        <c:crosses val="autoZero"/>
        <c:crossBetween val="between"/>
      </c:valAx>
      <c:spPr>
        <a:solidFill>
          <a:srgbClr val="1b1630"/>
        </a:solidFill>
        <a:ln w="0">
          <a:noFill/>
        </a:ln>
      </c:spPr>
    </c:plotArea>
    <c:plotVisOnly val="1"/>
    <c:dispBlanksAs val="gap"/>
  </c:chart>
  <c:spPr>
    <a:solidFill>
      <a:srgbClr val="1b1630"/>
    </a:solidFill>
    <a:ln w="6480">
      <a:solidFill>
        <a:srgbClr val="332a52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f4f0fb"/>
                </a:solidFill>
                <a:latin typeface="Arial"/>
              </a:defRPr>
            </a:pPr>
            <a:r>
              <a:rPr b="1" sz="1000" spc="-1" strike="noStrike">
                <a:solidFill>
                  <a:srgbClr val="f4f0fb"/>
                </a:solidFill>
                <a:latin typeface="Arial"/>
              </a:rPr>
              <a:t>Revenue by basket size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Calcs!C94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8e88b0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8e88b0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8b6bff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ffb020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f5c45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Calcs!$A$95:$A$99</c:f>
              <c:strCache>
                <c:ptCount val="5"/>
                <c:pt idx="0">
                  <c:v>1 unit</c:v>
                </c:pt>
                <c:pt idx="1">
                  <c:v>2 units</c:v>
                </c:pt>
                <c:pt idx="2">
                  <c:v>3 units</c:v>
                </c:pt>
                <c:pt idx="3">
                  <c:v>4 units</c:v>
                </c:pt>
                <c:pt idx="4">
                  <c:v>5 units</c:v>
                </c:pt>
              </c:strCache>
            </c:strRef>
          </c:cat>
          <c:val>
            <c:numRef>
              <c:f>Calcs!$C$95:$C$99</c:f>
              <c:numCache>
                <c:formatCode>[&gt;=100000]\₹##\,##\,##0;\₹##,##0</c:formatCode>
                <c:ptCount val="5"/>
                <c:pt idx="0">
                  <c:v>224620</c:v>
                </c:pt>
                <c:pt idx="1">
                  <c:v>462264</c:v>
                </c:pt>
                <c:pt idx="2">
                  <c:v>659625</c:v>
                </c:pt>
                <c:pt idx="3">
                  <c:v>911720</c:v>
                </c:pt>
                <c:pt idx="4">
                  <c:v>1262755</c:v>
                </c:pt>
              </c:numCache>
            </c:numRef>
          </c:val>
        </c:ser>
        <c:gapWidth val="55"/>
        <c:overlap val="0"/>
        <c:axId val="17069945"/>
        <c:axId val="61892556"/>
      </c:barChart>
      <c:catAx>
        <c:axId val="170699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332a52"/>
            </a:solidFill>
            <a:round/>
          </a:ln>
        </c:spPr>
        <c:txPr>
          <a:bodyPr/>
          <a:lstStyle/>
          <a:p>
            <a:pPr>
              <a:defRPr b="0" sz="750" spc="-1" strike="noStrike">
                <a:solidFill>
                  <a:srgbClr val="9c94ba"/>
                </a:solidFill>
                <a:latin typeface="Arial"/>
              </a:defRPr>
            </a:pPr>
          </a:p>
        </c:txPr>
        <c:crossAx val="61892556"/>
        <c:crosses val="autoZero"/>
        <c:auto val="1"/>
        <c:lblAlgn val="ctr"/>
        <c:lblOffset val="100"/>
        <c:noMultiLvlLbl val="0"/>
      </c:catAx>
      <c:valAx>
        <c:axId val="61892556"/>
        <c:scaling>
          <c:orientation val="minMax"/>
        </c:scaling>
        <c:delete val="0"/>
        <c:axPos val="l"/>
        <c:majorGridlines>
          <c:spPr>
            <a:ln w="6480">
              <a:solidFill>
                <a:srgbClr val="332a52"/>
              </a:solidFill>
              <a:round/>
            </a:ln>
          </c:spPr>
        </c:majorGridlines>
        <c:numFmt formatCode="[&gt;=100000]\₹##\,##\,##0;\₹##,##0" sourceLinked="0"/>
        <c:majorTickMark val="none"/>
        <c:minorTickMark val="none"/>
        <c:tickLblPos val="nextTo"/>
        <c:spPr>
          <a:ln w="6480">
            <a:solidFill>
              <a:srgbClr val="332a52"/>
            </a:solidFill>
            <a:round/>
          </a:ln>
        </c:spPr>
        <c:txPr>
          <a:bodyPr/>
          <a:lstStyle/>
          <a:p>
            <a:pPr>
              <a:defRPr b="0" sz="750" spc="-1" strike="noStrike">
                <a:solidFill>
                  <a:srgbClr val="9c94ba"/>
                </a:solidFill>
                <a:latin typeface="Arial"/>
              </a:defRPr>
            </a:pPr>
          </a:p>
        </c:txPr>
        <c:crossAx val="17069945"/>
        <c:crosses val="autoZero"/>
        <c:crossBetween val="between"/>
      </c:valAx>
      <c:spPr>
        <a:solidFill>
          <a:srgbClr val="1b1630"/>
        </a:solidFill>
        <a:ln w="0">
          <a:noFill/>
        </a:ln>
      </c:spPr>
    </c:plotArea>
    <c:plotVisOnly val="1"/>
    <c:dispBlanksAs val="gap"/>
  </c:chart>
  <c:spPr>
    <a:solidFill>
      <a:srgbClr val="1b1630"/>
    </a:solidFill>
    <a:ln w="6480">
      <a:solidFill>
        <a:srgbClr val="332a52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f4f0fb"/>
                </a:solidFill>
                <a:latin typeface="Arial"/>
              </a:defRPr>
            </a:pPr>
            <a:r>
              <a:rPr b="1" sz="1000" spc="-1" strike="noStrike">
                <a:solidFill>
                  <a:srgbClr val="f4f0fb"/>
                </a:solidFill>
                <a:latin typeface="Arial"/>
              </a:rPr>
              <a:t>Top 10 delivery cities by orders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Calcs!Z6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22d3c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Calcs!$Y$7:$Y$16</c:f>
              <c:strCache>
                <c:ptCount val="10"/>
                <c:pt idx="0">
                  <c:v>Ghaziabad</c:v>
                </c:pt>
                <c:pt idx="1">
                  <c:v>Bareilly</c:v>
                </c:pt>
                <c:pt idx="2">
                  <c:v>Bhilai</c:v>
                </c:pt>
                <c:pt idx="3">
                  <c:v>Hazaribagh</c:v>
                </c:pt>
                <c:pt idx="4">
                  <c:v>Satara</c:v>
                </c:pt>
                <c:pt idx="5">
                  <c:v>Khammam</c:v>
                </c:pt>
                <c:pt idx="6">
                  <c:v>Darbhanga</c:v>
                </c:pt>
                <c:pt idx="7">
                  <c:v>Lucknow</c:v>
                </c:pt>
                <c:pt idx="8">
                  <c:v>Ozhukarai</c:v>
                </c:pt>
                <c:pt idx="9">
                  <c:v>Sirsa</c:v>
                </c:pt>
              </c:strCache>
            </c:strRef>
          </c:cat>
          <c:val>
            <c:numRef>
              <c:f>Calcs!$Z$7:$Z$16</c:f>
              <c:numCache>
                <c:formatCode>#,##0</c:formatCode>
                <c:ptCount val="10"/>
                <c:pt idx="0">
                  <c:v>9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gapWidth val="45"/>
        <c:overlap val="0"/>
        <c:axId val="77922123"/>
        <c:axId val="13637220"/>
      </c:barChart>
      <c:catAx>
        <c:axId val="77922123"/>
        <c:scaling>
          <c:orientation val="maxMin"/>
        </c:scaling>
        <c:delete val="0"/>
        <c:axPos val="b"/>
        <c:majorGridlines>
          <c:spPr>
            <a:ln w="6480">
              <a:solidFill>
                <a:srgbClr val="332a52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solidFill>
              <a:srgbClr val="332a52"/>
            </a:solidFill>
            <a:round/>
          </a:ln>
        </c:spPr>
        <c:txPr>
          <a:bodyPr/>
          <a:lstStyle/>
          <a:p>
            <a:pPr>
              <a:defRPr b="0" sz="750" spc="-1" strike="noStrike">
                <a:solidFill>
                  <a:srgbClr val="9c94ba"/>
                </a:solidFill>
                <a:latin typeface="Arial"/>
              </a:defRPr>
            </a:pPr>
          </a:p>
        </c:txPr>
        <c:crossAx val="13637220"/>
        <c:crosses val="autoZero"/>
        <c:auto val="1"/>
        <c:lblAlgn val="ctr"/>
        <c:lblOffset val="100"/>
        <c:noMultiLvlLbl val="0"/>
      </c:catAx>
      <c:valAx>
        <c:axId val="13637220"/>
        <c:scaling>
          <c:orientation val="minMax"/>
        </c:scaling>
        <c:delete val="0"/>
        <c:axPos val="l"/>
        <c:majorGridlines>
          <c:spPr>
            <a:ln w="6480">
              <a:solidFill>
                <a:srgbClr val="332a52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solidFill>
              <a:srgbClr val="332a52"/>
            </a:solidFill>
            <a:round/>
          </a:ln>
        </c:spPr>
        <c:txPr>
          <a:bodyPr/>
          <a:lstStyle/>
          <a:p>
            <a:pPr>
              <a:defRPr b="0" sz="750" spc="-1" strike="noStrike">
                <a:solidFill>
                  <a:srgbClr val="9c94ba"/>
                </a:solidFill>
                <a:latin typeface="Arial"/>
              </a:defRPr>
            </a:pPr>
          </a:p>
        </c:txPr>
        <c:crossAx val="77922123"/>
        <c:crosses val="autoZero"/>
        <c:crossBetween val="between"/>
      </c:valAx>
      <c:spPr>
        <a:solidFill>
          <a:srgbClr val="1b1630"/>
        </a:solidFill>
        <a:ln w="0">
          <a:noFill/>
        </a:ln>
      </c:spPr>
    </c:plotArea>
    <c:plotVisOnly val="1"/>
    <c:dispBlanksAs val="gap"/>
  </c:chart>
  <c:spPr>
    <a:solidFill>
      <a:srgbClr val="1b1630"/>
    </a:solidFill>
    <a:ln w="6480">
      <a:solidFill>
        <a:srgbClr val="332a52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0</xdr:rowOff>
    </xdr:from>
    <xdr:to>
      <xdr:col>44</xdr:col>
      <xdr:colOff>30240</xdr:colOff>
      <xdr:row>34</xdr:row>
      <xdr:rowOff>125280</xdr:rowOff>
    </xdr:to>
    <xdr:graphicFrame>
      <xdr:nvGraphicFramePr>
        <xdr:cNvPr id="0" name="Chart 1"/>
        <xdr:cNvGraphicFramePr/>
      </xdr:nvGraphicFramePr>
      <xdr:xfrm>
        <a:off x="98280" y="3429000"/>
        <a:ext cx="6091920" cy="317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41</xdr:col>
      <xdr:colOff>0</xdr:colOff>
      <xdr:row>18</xdr:row>
      <xdr:rowOff>0</xdr:rowOff>
    </xdr:from>
    <xdr:to>
      <xdr:col>62</xdr:col>
      <xdr:colOff>7200</xdr:colOff>
      <xdr:row>34</xdr:row>
      <xdr:rowOff>125280</xdr:rowOff>
    </xdr:to>
    <xdr:graphicFrame>
      <xdr:nvGraphicFramePr>
        <xdr:cNvPr id="1" name="Chart 2"/>
        <xdr:cNvGraphicFramePr/>
      </xdr:nvGraphicFramePr>
      <xdr:xfrm>
        <a:off x="5737320" y="3429000"/>
        <a:ext cx="2967480" cy="317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39</xdr:row>
      <xdr:rowOff>0</xdr:rowOff>
    </xdr:from>
    <xdr:to>
      <xdr:col>22</xdr:col>
      <xdr:colOff>6840</xdr:colOff>
      <xdr:row>54</xdr:row>
      <xdr:rowOff>129240</xdr:rowOff>
    </xdr:to>
    <xdr:graphicFrame>
      <xdr:nvGraphicFramePr>
        <xdr:cNvPr id="2" name="Chart 3"/>
        <xdr:cNvGraphicFramePr/>
      </xdr:nvGraphicFramePr>
      <xdr:xfrm>
        <a:off x="98280" y="7429680"/>
        <a:ext cx="2967480" cy="298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21</xdr:col>
      <xdr:colOff>0</xdr:colOff>
      <xdr:row>39</xdr:row>
      <xdr:rowOff>0</xdr:rowOff>
    </xdr:from>
    <xdr:to>
      <xdr:col>42</xdr:col>
      <xdr:colOff>7200</xdr:colOff>
      <xdr:row>54</xdr:row>
      <xdr:rowOff>129240</xdr:rowOff>
    </xdr:to>
    <xdr:graphicFrame>
      <xdr:nvGraphicFramePr>
        <xdr:cNvPr id="3" name="Chart 4"/>
        <xdr:cNvGraphicFramePr/>
      </xdr:nvGraphicFramePr>
      <xdr:xfrm>
        <a:off x="2917800" y="7429680"/>
        <a:ext cx="2967480" cy="298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41</xdr:col>
      <xdr:colOff>0</xdr:colOff>
      <xdr:row>39</xdr:row>
      <xdr:rowOff>0</xdr:rowOff>
    </xdr:from>
    <xdr:to>
      <xdr:col>62</xdr:col>
      <xdr:colOff>7200</xdr:colOff>
      <xdr:row>54</xdr:row>
      <xdr:rowOff>129240</xdr:rowOff>
    </xdr:to>
    <xdr:graphicFrame>
      <xdr:nvGraphicFramePr>
        <xdr:cNvPr id="4" name="Chart 5"/>
        <xdr:cNvGraphicFramePr/>
      </xdr:nvGraphicFramePr>
      <xdr:xfrm>
        <a:off x="5737320" y="7429680"/>
        <a:ext cx="2967480" cy="298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59</xdr:row>
      <xdr:rowOff>0</xdr:rowOff>
    </xdr:from>
    <xdr:to>
      <xdr:col>22</xdr:col>
      <xdr:colOff>6840</xdr:colOff>
      <xdr:row>74</xdr:row>
      <xdr:rowOff>129240</xdr:rowOff>
    </xdr:to>
    <xdr:graphicFrame>
      <xdr:nvGraphicFramePr>
        <xdr:cNvPr id="5" name="Chart 6"/>
        <xdr:cNvGraphicFramePr/>
      </xdr:nvGraphicFramePr>
      <xdr:xfrm>
        <a:off x="98280" y="11239560"/>
        <a:ext cx="2967480" cy="298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21</xdr:col>
      <xdr:colOff>0</xdr:colOff>
      <xdr:row>59</xdr:row>
      <xdr:rowOff>0</xdr:rowOff>
    </xdr:from>
    <xdr:to>
      <xdr:col>42</xdr:col>
      <xdr:colOff>7200</xdr:colOff>
      <xdr:row>74</xdr:row>
      <xdr:rowOff>129240</xdr:rowOff>
    </xdr:to>
    <xdr:graphicFrame>
      <xdr:nvGraphicFramePr>
        <xdr:cNvPr id="6" name="Chart 7"/>
        <xdr:cNvGraphicFramePr/>
      </xdr:nvGraphicFramePr>
      <xdr:xfrm>
        <a:off x="2917800" y="11239560"/>
        <a:ext cx="2967480" cy="298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41</xdr:col>
      <xdr:colOff>0</xdr:colOff>
      <xdr:row>59</xdr:row>
      <xdr:rowOff>0</xdr:rowOff>
    </xdr:from>
    <xdr:to>
      <xdr:col>62</xdr:col>
      <xdr:colOff>7200</xdr:colOff>
      <xdr:row>74</xdr:row>
      <xdr:rowOff>129240</xdr:rowOff>
    </xdr:to>
    <xdr:graphicFrame>
      <xdr:nvGraphicFramePr>
        <xdr:cNvPr id="7" name="Chart 8"/>
        <xdr:cNvGraphicFramePr/>
      </xdr:nvGraphicFramePr>
      <xdr:xfrm>
        <a:off x="5737320" y="11239560"/>
        <a:ext cx="2967480" cy="298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0</xdr:colOff>
      <xdr:row>79</xdr:row>
      <xdr:rowOff>0</xdr:rowOff>
    </xdr:from>
    <xdr:to>
      <xdr:col>22</xdr:col>
      <xdr:colOff>6840</xdr:colOff>
      <xdr:row>94</xdr:row>
      <xdr:rowOff>128880</xdr:rowOff>
    </xdr:to>
    <xdr:graphicFrame>
      <xdr:nvGraphicFramePr>
        <xdr:cNvPr id="8" name="Chart 9"/>
        <xdr:cNvGraphicFramePr/>
      </xdr:nvGraphicFramePr>
      <xdr:xfrm>
        <a:off x="98280" y="15049440"/>
        <a:ext cx="2967480" cy="298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21</xdr:col>
      <xdr:colOff>0</xdr:colOff>
      <xdr:row>79</xdr:row>
      <xdr:rowOff>0</xdr:rowOff>
    </xdr:from>
    <xdr:to>
      <xdr:col>42</xdr:col>
      <xdr:colOff>7200</xdr:colOff>
      <xdr:row>94</xdr:row>
      <xdr:rowOff>128880</xdr:rowOff>
    </xdr:to>
    <xdr:graphicFrame>
      <xdr:nvGraphicFramePr>
        <xdr:cNvPr id="9" name="Chart 10"/>
        <xdr:cNvGraphicFramePr/>
      </xdr:nvGraphicFramePr>
      <xdr:xfrm>
        <a:off x="2917800" y="15049440"/>
        <a:ext cx="2967480" cy="298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41</xdr:col>
      <xdr:colOff>0</xdr:colOff>
      <xdr:row>79</xdr:row>
      <xdr:rowOff>0</xdr:rowOff>
    </xdr:from>
    <xdr:to>
      <xdr:col>62</xdr:col>
      <xdr:colOff>7200</xdr:colOff>
      <xdr:row>94</xdr:row>
      <xdr:rowOff>128880</xdr:rowOff>
    </xdr:to>
    <xdr:graphicFrame>
      <xdr:nvGraphicFramePr>
        <xdr:cNvPr id="10" name="Chart 11"/>
        <xdr:cNvGraphicFramePr/>
      </xdr:nvGraphicFramePr>
      <xdr:xfrm>
        <a:off x="5737320" y="15049440"/>
        <a:ext cx="2967480" cy="298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118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39"/>
    <col collapsed="false" customWidth="true" hidden="false" outlineLevel="0" max="64" min="2" style="0" width="2"/>
  </cols>
  <sheetData>
    <row r="1" customFormat="false" ht="1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customFormat="false" ht="15" hidden="false" customHeight="true" outlineLevel="0" collapsed="false">
      <c r="A2" s="1"/>
      <c r="B2" s="2"/>
      <c r="C2" s="3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2"/>
      <c r="AF2" s="4" t="s">
        <v>1</v>
      </c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1"/>
      <c r="BJ2" s="1"/>
      <c r="BK2" s="1"/>
      <c r="BL2" s="1"/>
    </row>
    <row r="3" customFormat="false" ht="15" hidden="false" customHeight="true" outlineLevel="0" collapsed="false">
      <c r="A3" s="1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2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1"/>
      <c r="BJ3" s="1"/>
      <c r="BK3" s="1"/>
      <c r="BL3" s="1"/>
    </row>
    <row r="4" customFormat="false" ht="15" hidden="false" customHeight="true" outlineLevel="0" collapsed="false">
      <c r="A4" s="1"/>
      <c r="B4" s="2"/>
      <c r="C4" s="5" t="s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2"/>
      <c r="AM4" s="6" t="s">
        <v>3</v>
      </c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1"/>
      <c r="BJ4" s="1"/>
      <c r="BK4" s="1"/>
      <c r="BL4" s="1"/>
    </row>
    <row r="5" customFormat="false" ht="15" hidden="false" customHeight="true" outlineLevel="0" collapsed="false">
      <c r="A5" s="1"/>
      <c r="B5" s="2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2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1"/>
      <c r="BJ5" s="1"/>
      <c r="BK5" s="1"/>
      <c r="BL5" s="1"/>
    </row>
    <row r="6" customFormat="false" ht="1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</row>
    <row r="7" customFormat="false" ht="15" hidden="false" customHeight="true" outlineLevel="0" collapsed="false">
      <c r="A7" s="1"/>
      <c r="B7" s="7"/>
      <c r="C7" s="8" t="s">
        <v>4</v>
      </c>
      <c r="D7" s="8"/>
      <c r="E7" s="8"/>
      <c r="F7" s="8"/>
      <c r="G7" s="8"/>
      <c r="H7" s="8"/>
      <c r="I7" s="9" t="s">
        <v>5</v>
      </c>
      <c r="J7" s="9"/>
      <c r="K7" s="9"/>
      <c r="L7" s="9"/>
      <c r="M7" s="9"/>
      <c r="N7" s="9"/>
      <c r="O7" s="9"/>
      <c r="P7" s="9"/>
      <c r="Q7" s="9"/>
      <c r="R7" s="9"/>
      <c r="S7" s="7"/>
      <c r="T7" s="8" t="s">
        <v>6</v>
      </c>
      <c r="U7" s="8"/>
      <c r="V7" s="8"/>
      <c r="W7" s="8"/>
      <c r="X7" s="8"/>
      <c r="Y7" s="8"/>
      <c r="Z7" s="9" t="s">
        <v>5</v>
      </c>
      <c r="AA7" s="9"/>
      <c r="AB7" s="9"/>
      <c r="AC7" s="9"/>
      <c r="AD7" s="9"/>
      <c r="AE7" s="9"/>
      <c r="AF7" s="9"/>
      <c r="AG7" s="9"/>
      <c r="AH7" s="9"/>
      <c r="AI7" s="9"/>
      <c r="AJ7" s="7"/>
      <c r="AK7" s="10" t="s">
        <v>7</v>
      </c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"/>
      <c r="BJ7" s="1"/>
      <c r="BK7" s="1"/>
      <c r="BL7" s="1"/>
    </row>
    <row r="8" customFormat="false" ht="15" hidden="false" customHeight="true" outlineLevel="0" collapsed="false">
      <c r="A8" s="1"/>
      <c r="B8" s="7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9"/>
      <c r="S8" s="7"/>
      <c r="T8" s="8"/>
      <c r="U8" s="8"/>
      <c r="V8" s="8"/>
      <c r="W8" s="8"/>
      <c r="X8" s="8"/>
      <c r="Y8" s="8"/>
      <c r="Z8" s="9"/>
      <c r="AA8" s="9"/>
      <c r="AB8" s="9"/>
      <c r="AC8" s="9"/>
      <c r="AD8" s="9"/>
      <c r="AE8" s="9"/>
      <c r="AF8" s="9"/>
      <c r="AG8" s="9"/>
      <c r="AH8" s="9"/>
      <c r="AI8" s="9"/>
      <c r="AJ8" s="7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"/>
      <c r="BJ8" s="1"/>
      <c r="BK8" s="1"/>
      <c r="BL8" s="1"/>
    </row>
    <row r="9" customFormat="false" ht="1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</row>
    <row r="10" customFormat="false" ht="15" hidden="false" customHeight="true" outlineLevel="0" collapsed="false">
      <c r="A10" s="1"/>
      <c r="B10" s="11"/>
      <c r="C10" s="12" t="s">
        <v>8</v>
      </c>
      <c r="D10" s="12"/>
      <c r="E10" s="12"/>
      <c r="F10" s="12"/>
      <c r="G10" s="12"/>
      <c r="H10" s="12"/>
      <c r="I10" s="12"/>
      <c r="J10" s="12"/>
      <c r="K10" s="1"/>
      <c r="L10" s="13"/>
      <c r="M10" s="12" t="s">
        <v>9</v>
      </c>
      <c r="N10" s="12"/>
      <c r="O10" s="12"/>
      <c r="P10" s="12"/>
      <c r="Q10" s="12"/>
      <c r="R10" s="12"/>
      <c r="S10" s="12"/>
      <c r="T10" s="12"/>
      <c r="U10" s="1"/>
      <c r="V10" s="14"/>
      <c r="W10" s="12" t="s">
        <v>10</v>
      </c>
      <c r="X10" s="12"/>
      <c r="Y10" s="12"/>
      <c r="Z10" s="12"/>
      <c r="AA10" s="12"/>
      <c r="AB10" s="12"/>
      <c r="AC10" s="12"/>
      <c r="AD10" s="12"/>
      <c r="AE10" s="1"/>
      <c r="AF10" s="15"/>
      <c r="AG10" s="12" t="s">
        <v>11</v>
      </c>
      <c r="AH10" s="12"/>
      <c r="AI10" s="12"/>
      <c r="AJ10" s="12"/>
      <c r="AK10" s="12"/>
      <c r="AL10" s="12"/>
      <c r="AM10" s="12"/>
      <c r="AN10" s="12"/>
      <c r="AO10" s="1"/>
      <c r="AP10" s="16"/>
      <c r="AQ10" s="12" t="s">
        <v>12</v>
      </c>
      <c r="AR10" s="12"/>
      <c r="AS10" s="12"/>
      <c r="AT10" s="12"/>
      <c r="AU10" s="12"/>
      <c r="AV10" s="12"/>
      <c r="AW10" s="12"/>
      <c r="AX10" s="12"/>
      <c r="AY10" s="1"/>
      <c r="AZ10" s="17"/>
      <c r="BA10" s="12" t="s">
        <v>13</v>
      </c>
      <c r="BB10" s="12"/>
      <c r="BC10" s="12"/>
      <c r="BD10" s="12"/>
      <c r="BE10" s="12"/>
      <c r="BF10" s="12"/>
      <c r="BG10" s="12"/>
      <c r="BH10" s="12"/>
      <c r="BI10" s="1"/>
      <c r="BJ10" s="1"/>
      <c r="BK10" s="1"/>
      <c r="BL10" s="1"/>
    </row>
    <row r="11" customFormat="false" ht="15" hidden="false" customHeight="true" outlineLevel="0" collapsed="false">
      <c r="A11" s="1"/>
      <c r="B11" s="11"/>
      <c r="C11" s="18" t="n">
        <f aca="false">Calcs!$B$119</f>
        <v>3520984</v>
      </c>
      <c r="D11" s="18"/>
      <c r="E11" s="18"/>
      <c r="F11" s="18"/>
      <c r="G11" s="18"/>
      <c r="H11" s="18"/>
      <c r="I11" s="18"/>
      <c r="J11" s="18"/>
      <c r="K11" s="1"/>
      <c r="L11" s="13"/>
      <c r="M11" s="18" t="n">
        <f aca="false">Calcs!$B$122</f>
        <v>3520.984</v>
      </c>
      <c r="N11" s="18"/>
      <c r="O11" s="18"/>
      <c r="P11" s="18"/>
      <c r="Q11" s="18"/>
      <c r="R11" s="18"/>
      <c r="S11" s="18"/>
      <c r="T11" s="18"/>
      <c r="U11" s="1"/>
      <c r="V11" s="14"/>
      <c r="W11" s="18" t="n">
        <f aca="false">Calcs!$B$127</f>
        <v>35209.84</v>
      </c>
      <c r="X11" s="18"/>
      <c r="Y11" s="18"/>
      <c r="Z11" s="18"/>
      <c r="AA11" s="18"/>
      <c r="AB11" s="18"/>
      <c r="AC11" s="18"/>
      <c r="AD11" s="18"/>
      <c r="AE11" s="1"/>
      <c r="AF11" s="15"/>
      <c r="AG11" s="19" t="n">
        <f aca="false">Calcs!$B$123</f>
        <v>5.50158673611111</v>
      </c>
      <c r="AH11" s="19"/>
      <c r="AI11" s="19"/>
      <c r="AJ11" s="19"/>
      <c r="AK11" s="19"/>
      <c r="AL11" s="19"/>
      <c r="AM11" s="19"/>
      <c r="AN11" s="19"/>
      <c r="AO11" s="1"/>
      <c r="AP11" s="16"/>
      <c r="AQ11" s="20" t="str">
        <f aca="false">Calcs!$B$128</f>
        <v>Aug</v>
      </c>
      <c r="AR11" s="20"/>
      <c r="AS11" s="20"/>
      <c r="AT11" s="20"/>
      <c r="AU11" s="20"/>
      <c r="AV11" s="20"/>
      <c r="AW11" s="20"/>
      <c r="AX11" s="20"/>
      <c r="AY11" s="1"/>
      <c r="AZ11" s="17"/>
      <c r="BA11" s="21" t="n">
        <f aca="false">Calcs!$B$130</f>
        <v>0.682448429189113</v>
      </c>
      <c r="BB11" s="21"/>
      <c r="BC11" s="21"/>
      <c r="BD11" s="21"/>
      <c r="BE11" s="21"/>
      <c r="BF11" s="21"/>
      <c r="BG11" s="21"/>
      <c r="BH11" s="21"/>
      <c r="BI11" s="1"/>
      <c r="BJ11" s="1"/>
      <c r="BK11" s="1"/>
      <c r="BL11" s="1"/>
    </row>
    <row r="12" customFormat="false" ht="15" hidden="false" customHeight="true" outlineLevel="0" collapsed="false">
      <c r="A12" s="1"/>
      <c r="B12" s="11"/>
      <c r="C12" s="18"/>
      <c r="D12" s="18"/>
      <c r="E12" s="18"/>
      <c r="F12" s="18"/>
      <c r="G12" s="18"/>
      <c r="H12" s="18"/>
      <c r="I12" s="18"/>
      <c r="J12" s="18"/>
      <c r="K12" s="1"/>
      <c r="L12" s="13"/>
      <c r="M12" s="18"/>
      <c r="N12" s="18"/>
      <c r="O12" s="18"/>
      <c r="P12" s="18"/>
      <c r="Q12" s="18"/>
      <c r="R12" s="18"/>
      <c r="S12" s="18"/>
      <c r="T12" s="18"/>
      <c r="U12" s="1"/>
      <c r="V12" s="14"/>
      <c r="W12" s="18"/>
      <c r="X12" s="18"/>
      <c r="Y12" s="18"/>
      <c r="Z12" s="18"/>
      <c r="AA12" s="18"/>
      <c r="AB12" s="18"/>
      <c r="AC12" s="18"/>
      <c r="AD12" s="18"/>
      <c r="AE12" s="1"/>
      <c r="AF12" s="15"/>
      <c r="AG12" s="19"/>
      <c r="AH12" s="19"/>
      <c r="AI12" s="19"/>
      <c r="AJ12" s="19"/>
      <c r="AK12" s="19"/>
      <c r="AL12" s="19"/>
      <c r="AM12" s="19"/>
      <c r="AN12" s="19"/>
      <c r="AO12" s="1"/>
      <c r="AP12" s="16"/>
      <c r="AQ12" s="20"/>
      <c r="AR12" s="20"/>
      <c r="AS12" s="20"/>
      <c r="AT12" s="20"/>
      <c r="AU12" s="20"/>
      <c r="AV12" s="20"/>
      <c r="AW12" s="20"/>
      <c r="AX12" s="20"/>
      <c r="AY12" s="1"/>
      <c r="AZ12" s="17"/>
      <c r="BA12" s="21"/>
      <c r="BB12" s="21"/>
      <c r="BC12" s="21"/>
      <c r="BD12" s="21"/>
      <c r="BE12" s="21"/>
      <c r="BF12" s="21"/>
      <c r="BG12" s="21"/>
      <c r="BH12" s="21"/>
      <c r="BI12" s="1"/>
      <c r="BJ12" s="1"/>
      <c r="BK12" s="1"/>
      <c r="BL12" s="1"/>
    </row>
    <row r="13" customFormat="false" ht="15" hidden="false" customHeight="true" outlineLevel="0" collapsed="false">
      <c r="A13" s="1"/>
      <c r="B13" s="11"/>
      <c r="C13" s="22" t="str">
        <f aca="false">TEXT(Calcs!$B$120,"#,##0")&amp;" orders  ·  "&amp;TEXT(Calcs!$B$121,"#,##0")&amp;" units"</f>
        <v>1,000 orders  ·  3,045 units</v>
      </c>
      <c r="D13" s="22"/>
      <c r="E13" s="22"/>
      <c r="F13" s="22"/>
      <c r="G13" s="22"/>
      <c r="H13" s="22"/>
      <c r="I13" s="22"/>
      <c r="J13" s="22"/>
      <c r="K13" s="1"/>
      <c r="L13" s="13"/>
      <c r="M13" s="22" t="str">
        <f aca="false">"Basket averages "&amp;TEXT(Calcs!$B$121/Calcs!$B$120,"0.00")&amp;" units"</f>
        <v>Basket averages 3.05 units</v>
      </c>
      <c r="N13" s="22"/>
      <c r="O13" s="22"/>
      <c r="P13" s="22"/>
      <c r="Q13" s="22"/>
      <c r="R13" s="22"/>
      <c r="S13" s="22"/>
      <c r="T13" s="22"/>
      <c r="U13" s="1"/>
      <c r="V13" s="14"/>
      <c r="W13" s="22" t="str">
        <f aca="false">TEXT(Calcs!$B$125,"#,##0")&amp;" active buyers"</f>
        <v>100 active buyers</v>
      </c>
      <c r="X13" s="22"/>
      <c r="Y13" s="22"/>
      <c r="Z13" s="22"/>
      <c r="AA13" s="22"/>
      <c r="AB13" s="22"/>
      <c r="AC13" s="22"/>
      <c r="AD13" s="22"/>
      <c r="AE13" s="1"/>
      <c r="AF13" s="15"/>
      <c r="AG13" s="22" t="str">
        <f aca="false">TEXT(Calcs!$B$124,"0%")&amp;" arrive within 7 days"</f>
        <v>64% arrive within 7 days</v>
      </c>
      <c r="AH13" s="22"/>
      <c r="AI13" s="22"/>
      <c r="AJ13" s="22"/>
      <c r="AK13" s="22"/>
      <c r="AL13" s="22"/>
      <c r="AM13" s="22"/>
      <c r="AN13" s="22"/>
      <c r="AO13" s="1"/>
      <c r="AP13" s="16"/>
      <c r="AQ13" s="22" t="str">
        <f aca="false">"₹"&amp;TEXT(Calcs!$B$129,"##\,##\,##0")&amp;"  ·  "&amp;TEXT(Calcs!$B$126,"#,##0")&amp;" cities"</f>
        <v>₹7,37,389  ·  301 cities</v>
      </c>
      <c r="AR13" s="22"/>
      <c r="AS13" s="22"/>
      <c r="AT13" s="22"/>
      <c r="AU13" s="22"/>
      <c r="AV13" s="22"/>
      <c r="AW13" s="22"/>
      <c r="AX13" s="22"/>
      <c r="AY13" s="1"/>
      <c r="AZ13" s="17"/>
      <c r="BA13" s="22" t="str">
        <f aca="false">TEXT(Calcs!$B$133,"0.0")&amp;"× the quiet-month run rate"</f>
        <v>4.3× the quiet-month run rate</v>
      </c>
      <c r="BB13" s="22"/>
      <c r="BC13" s="22"/>
      <c r="BD13" s="22"/>
      <c r="BE13" s="22"/>
      <c r="BF13" s="22"/>
      <c r="BG13" s="22"/>
      <c r="BH13" s="22"/>
      <c r="BI13" s="1"/>
      <c r="BJ13" s="1"/>
      <c r="BK13" s="1"/>
      <c r="BL13" s="1"/>
    </row>
    <row r="14" customFormat="false" ht="15" hidden="false" customHeight="true" outlineLevel="0" collapsed="false">
      <c r="A14" s="1"/>
      <c r="B14" s="11"/>
      <c r="C14" s="22"/>
      <c r="D14" s="22"/>
      <c r="E14" s="22"/>
      <c r="F14" s="22"/>
      <c r="G14" s="22"/>
      <c r="H14" s="22"/>
      <c r="I14" s="22"/>
      <c r="J14" s="22"/>
      <c r="K14" s="1"/>
      <c r="L14" s="13"/>
      <c r="M14" s="22"/>
      <c r="N14" s="22"/>
      <c r="O14" s="22"/>
      <c r="P14" s="22"/>
      <c r="Q14" s="22"/>
      <c r="R14" s="22"/>
      <c r="S14" s="22"/>
      <c r="T14" s="22"/>
      <c r="U14" s="1"/>
      <c r="V14" s="14"/>
      <c r="W14" s="22"/>
      <c r="X14" s="22"/>
      <c r="Y14" s="22"/>
      <c r="Z14" s="22"/>
      <c r="AA14" s="22"/>
      <c r="AB14" s="22"/>
      <c r="AC14" s="22"/>
      <c r="AD14" s="22"/>
      <c r="AE14" s="1"/>
      <c r="AF14" s="15"/>
      <c r="AG14" s="22"/>
      <c r="AH14" s="22"/>
      <c r="AI14" s="22"/>
      <c r="AJ14" s="22"/>
      <c r="AK14" s="22"/>
      <c r="AL14" s="22"/>
      <c r="AM14" s="22"/>
      <c r="AN14" s="22"/>
      <c r="AO14" s="1"/>
      <c r="AP14" s="16"/>
      <c r="AQ14" s="22"/>
      <c r="AR14" s="22"/>
      <c r="AS14" s="22"/>
      <c r="AT14" s="22"/>
      <c r="AU14" s="22"/>
      <c r="AV14" s="22"/>
      <c r="AW14" s="22"/>
      <c r="AX14" s="22"/>
      <c r="AY14" s="1"/>
      <c r="AZ14" s="17"/>
      <c r="BA14" s="22"/>
      <c r="BB14" s="22"/>
      <c r="BC14" s="22"/>
      <c r="BD14" s="22"/>
      <c r="BE14" s="22"/>
      <c r="BF14" s="22"/>
      <c r="BG14" s="22"/>
      <c r="BH14" s="22"/>
      <c r="BI14" s="1"/>
      <c r="BJ14" s="1"/>
      <c r="BK14" s="1"/>
      <c r="BL14" s="1"/>
    </row>
    <row r="15" customFormat="false" ht="1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</row>
    <row r="16" customFormat="false" ht="15" hidden="false" customHeight="true" outlineLevel="0" collapsed="false">
      <c r="A16" s="1"/>
      <c r="B16" s="23" t="s">
        <v>14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4" t="s">
        <v>15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1"/>
      <c r="BJ16" s="1"/>
      <c r="BK16" s="1"/>
      <c r="BL16" s="1"/>
    </row>
    <row r="17" customFormat="false" ht="15" hidden="false" customHeight="true" outlineLevel="0" collapsed="false">
      <c r="A17" s="1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1"/>
      <c r="BJ17" s="1"/>
      <c r="BK17" s="1"/>
      <c r="BL17" s="1"/>
    </row>
    <row r="18" customFormat="false" ht="1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</row>
    <row r="19" customFormat="false" ht="1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</row>
    <row r="20" customFormat="false" ht="1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</row>
    <row r="21" customFormat="false" ht="1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</row>
    <row r="22" customFormat="false" ht="1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</row>
    <row r="23" customFormat="false" ht="1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</row>
    <row r="24" customFormat="false" ht="1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</row>
    <row r="25" customFormat="false" ht="1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</row>
    <row r="26" customFormat="false" ht="1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</row>
    <row r="27" customFormat="false" ht="1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</row>
    <row r="28" customFormat="false" ht="1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</row>
    <row r="29" customFormat="false" ht="1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</row>
    <row r="30" customFormat="false" ht="1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</row>
    <row r="31" customFormat="false" ht="1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</row>
    <row r="32" customFormat="false" ht="1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</row>
    <row r="33" customFormat="false" ht="1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</row>
    <row r="34" customFormat="false" ht="1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</row>
    <row r="35" customFormat="false" ht="1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</row>
    <row r="36" customFormat="false" ht="1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</row>
    <row r="37" customFormat="false" ht="15" hidden="false" customHeight="true" outlineLevel="0" collapsed="false">
      <c r="A37" s="1"/>
      <c r="B37" s="23" t="s">
        <v>16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4" t="s">
        <v>17</v>
      </c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1"/>
      <c r="BJ37" s="1"/>
      <c r="BK37" s="1"/>
      <c r="BL37" s="1"/>
    </row>
    <row r="38" customFormat="false" ht="15" hidden="false" customHeight="true" outlineLevel="0" collapsed="false">
      <c r="A38" s="1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1"/>
      <c r="BJ38" s="1"/>
      <c r="BK38" s="1"/>
      <c r="BL38" s="1"/>
    </row>
    <row r="39" customFormat="false" ht="1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</row>
    <row r="40" customFormat="false" ht="1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</row>
    <row r="41" customFormat="false" ht="1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</row>
    <row r="42" customFormat="false" ht="1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</row>
    <row r="43" customFormat="false" ht="1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</row>
    <row r="44" customFormat="false" ht="1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</row>
    <row r="45" customFormat="false" ht="1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</row>
    <row r="46" customFormat="false" ht="1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</row>
    <row r="47" customFormat="false" ht="1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</row>
    <row r="48" customFormat="false" ht="1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</row>
    <row r="49" customFormat="false" ht="1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</row>
    <row r="50" customFormat="false" ht="1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</row>
    <row r="51" customFormat="false" ht="1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</row>
    <row r="52" customFormat="false" ht="1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</row>
    <row r="53" customFormat="false" ht="1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</row>
    <row r="54" customFormat="false" ht="1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</row>
    <row r="55" customFormat="false" ht="1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</row>
    <row r="56" customFormat="false" ht="1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</row>
    <row r="57" customFormat="false" ht="15" hidden="false" customHeight="true" outlineLevel="0" collapsed="false">
      <c r="A57" s="1"/>
      <c r="B57" s="23" t="s">
        <v>18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4" t="s">
        <v>19</v>
      </c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1"/>
      <c r="BJ57" s="1"/>
      <c r="BK57" s="1"/>
      <c r="BL57" s="1"/>
    </row>
    <row r="58" customFormat="false" ht="15" hidden="false" customHeight="true" outlineLevel="0" collapsed="false">
      <c r="A58" s="1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1"/>
      <c r="BJ58" s="1"/>
      <c r="BK58" s="1"/>
      <c r="BL58" s="1"/>
    </row>
    <row r="59" customFormat="false" ht="1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</row>
    <row r="60" customFormat="false" ht="1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</row>
    <row r="61" customFormat="false" ht="1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</row>
    <row r="62" customFormat="false" ht="1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</row>
    <row r="63" customFormat="false" ht="1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</row>
    <row r="64" customFormat="false" ht="1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</row>
    <row r="65" customFormat="false" ht="1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</row>
    <row r="66" customFormat="false" ht="1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</row>
    <row r="67" customFormat="false" ht="1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</row>
    <row r="68" customFormat="false" ht="1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</row>
    <row r="69" customFormat="false" ht="1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</row>
    <row r="70" customFormat="false" ht="1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</row>
    <row r="71" customFormat="false" ht="1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</row>
    <row r="72" customFormat="false" ht="1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</row>
    <row r="73" customFormat="false" ht="1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</row>
    <row r="74" customFormat="false" ht="1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</row>
    <row r="75" customFormat="false" ht="1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</row>
    <row r="76" customFormat="false" ht="1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</row>
    <row r="77" customFormat="false" ht="15" hidden="false" customHeight="true" outlineLevel="0" collapsed="false">
      <c r="A77" s="1"/>
      <c r="B77" s="23" t="s">
        <v>20</v>
      </c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4" t="s">
        <v>21</v>
      </c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1"/>
      <c r="BJ77" s="1"/>
      <c r="BK77" s="1"/>
      <c r="BL77" s="1"/>
    </row>
    <row r="78" customFormat="false" ht="15" hidden="false" customHeight="true" outlineLevel="0" collapsed="false">
      <c r="A78" s="1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1"/>
      <c r="BJ78" s="1"/>
      <c r="BK78" s="1"/>
      <c r="BL78" s="1"/>
    </row>
    <row r="79" customFormat="false" ht="1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</row>
    <row r="80" customFormat="false" ht="1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</row>
    <row r="81" customFormat="false" ht="1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</row>
    <row r="82" customFormat="false" ht="1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</row>
    <row r="83" customFormat="false" ht="1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</row>
    <row r="84" customFormat="false" ht="1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</row>
    <row r="85" customFormat="false" ht="1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</row>
    <row r="86" customFormat="false" ht="1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</row>
    <row r="87" customFormat="false" ht="1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</row>
    <row r="88" customFormat="false" ht="1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</row>
    <row r="89" customFormat="false" ht="1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</row>
    <row r="90" customFormat="false" ht="1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</row>
    <row r="91" customFormat="false" ht="1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</row>
    <row r="92" customFormat="false" ht="1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</row>
    <row r="93" customFormat="false" ht="1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</row>
    <row r="94" customFormat="false" ht="1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</row>
    <row r="95" customFormat="false" ht="1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</row>
    <row r="96" customFormat="false" ht="1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</row>
    <row r="97" customFormat="false" ht="15" hidden="false" customHeight="true" outlineLevel="0" collapsed="false">
      <c r="A97" s="1"/>
      <c r="B97" s="23" t="s">
        <v>22</v>
      </c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4" t="s">
        <v>23</v>
      </c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1"/>
      <c r="BJ97" s="1"/>
      <c r="BK97" s="1"/>
      <c r="BL97" s="1"/>
    </row>
    <row r="98" customFormat="false" ht="15" hidden="false" customHeight="true" outlineLevel="0" collapsed="false">
      <c r="A98" s="1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1"/>
      <c r="BJ98" s="1"/>
      <c r="BK98" s="1"/>
      <c r="BL98" s="1"/>
    </row>
    <row r="99" customFormat="false" ht="1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</row>
    <row r="100" customFormat="false" ht="15" hidden="false" customHeight="true" outlineLevel="0" collapsed="false">
      <c r="A100" s="1"/>
      <c r="B100" s="2"/>
      <c r="C100" s="26" t="s">
        <v>24</v>
      </c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1"/>
      <c r="V100" s="2"/>
      <c r="W100" s="26" t="s">
        <v>25</v>
      </c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1"/>
      <c r="BJ100" s="1"/>
      <c r="BK100" s="1"/>
      <c r="BL100" s="1"/>
    </row>
    <row r="101" customFormat="false" ht="21.75" hidden="false" customHeight="true" outlineLevel="0" collapsed="false">
      <c r="A101" s="1"/>
      <c r="B101" s="2"/>
      <c r="C101" s="27" t="s">
        <v>26</v>
      </c>
      <c r="D101" s="27"/>
      <c r="E101" s="27"/>
      <c r="F101" s="27"/>
      <c r="G101" s="27"/>
      <c r="H101" s="27"/>
      <c r="I101" s="27"/>
      <c r="J101" s="27"/>
      <c r="K101" s="27"/>
      <c r="L101" s="28" t="s">
        <v>27</v>
      </c>
      <c r="M101" s="28"/>
      <c r="N101" s="28"/>
      <c r="O101" s="28"/>
      <c r="P101" s="28"/>
      <c r="Q101" s="28" t="s">
        <v>28</v>
      </c>
      <c r="R101" s="28"/>
      <c r="S101" s="28"/>
      <c r="T101" s="2"/>
      <c r="U101" s="1"/>
      <c r="V101" s="2"/>
      <c r="W101" s="27"/>
      <c r="X101" s="27"/>
      <c r="Y101" s="27"/>
      <c r="Z101" s="27"/>
      <c r="AA101" s="27"/>
      <c r="AB101" s="27"/>
      <c r="AC101" s="27"/>
      <c r="AD101" s="29" t="s">
        <v>29</v>
      </c>
      <c r="AE101" s="29"/>
      <c r="AF101" s="29"/>
      <c r="AG101" s="29"/>
      <c r="AH101" s="29" t="s">
        <v>30</v>
      </c>
      <c r="AI101" s="29"/>
      <c r="AJ101" s="29"/>
      <c r="AK101" s="29"/>
      <c r="AL101" s="29" t="s">
        <v>31</v>
      </c>
      <c r="AM101" s="29"/>
      <c r="AN101" s="29"/>
      <c r="AO101" s="29"/>
      <c r="AP101" s="29" t="s">
        <v>32</v>
      </c>
      <c r="AQ101" s="29"/>
      <c r="AR101" s="29"/>
      <c r="AS101" s="29"/>
      <c r="AT101" s="29" t="s">
        <v>33</v>
      </c>
      <c r="AU101" s="29"/>
      <c r="AV101" s="29"/>
      <c r="AW101" s="29"/>
      <c r="AX101" s="29" t="s">
        <v>34</v>
      </c>
      <c r="AY101" s="29"/>
      <c r="AZ101" s="29"/>
      <c r="BA101" s="29"/>
      <c r="BB101" s="29" t="s">
        <v>35</v>
      </c>
      <c r="BC101" s="29"/>
      <c r="BD101" s="29"/>
      <c r="BE101" s="29"/>
      <c r="BF101" s="2"/>
      <c r="BG101" s="2"/>
      <c r="BH101" s="2"/>
      <c r="BI101" s="1"/>
      <c r="BJ101" s="1"/>
      <c r="BK101" s="1"/>
      <c r="BL101" s="1"/>
    </row>
    <row r="102" customFormat="false" ht="15" hidden="false" customHeight="true" outlineLevel="0" collapsed="false">
      <c r="A102" s="1"/>
      <c r="B102" s="2"/>
      <c r="C102" s="30" t="str">
        <f aca="false">Calcs!$AI$7</f>
        <v>Samaira Ganesh</v>
      </c>
      <c r="D102" s="30"/>
      <c r="E102" s="30"/>
      <c r="F102" s="30"/>
      <c r="G102" s="30"/>
      <c r="H102" s="30"/>
      <c r="I102" s="30"/>
      <c r="J102" s="30"/>
      <c r="K102" s="30"/>
      <c r="L102" s="30"/>
      <c r="M102" s="31" t="n">
        <f aca="false">Calcs!$AJ$7</f>
        <v>75029</v>
      </c>
      <c r="N102" s="31"/>
      <c r="O102" s="31"/>
      <c r="P102" s="31"/>
      <c r="Q102" s="32" t="n">
        <f aca="false">Calcs!$AK$7</f>
        <v>16</v>
      </c>
      <c r="R102" s="32"/>
      <c r="S102" s="32"/>
      <c r="T102" s="2"/>
      <c r="U102" s="1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1"/>
      <c r="BJ102" s="1"/>
      <c r="BK102" s="1"/>
      <c r="BL102" s="1"/>
    </row>
    <row r="103" customFormat="false" ht="15" hidden="false" customHeight="true" outlineLevel="0" collapsed="false">
      <c r="A103" s="1"/>
      <c r="B103" s="2"/>
      <c r="C103" s="30" t="str">
        <f aca="false">Calcs!$AI$8</f>
        <v>Seher Mann</v>
      </c>
      <c r="D103" s="30"/>
      <c r="E103" s="30"/>
      <c r="F103" s="30"/>
      <c r="G103" s="30"/>
      <c r="H103" s="30"/>
      <c r="I103" s="30"/>
      <c r="J103" s="30"/>
      <c r="K103" s="30"/>
      <c r="L103" s="30"/>
      <c r="M103" s="31" t="n">
        <f aca="false">Calcs!$AJ$8</f>
        <v>70409</v>
      </c>
      <c r="N103" s="31"/>
      <c r="O103" s="31"/>
      <c r="P103" s="31"/>
      <c r="Q103" s="32" t="n">
        <f aca="false">Calcs!$AK$8</f>
        <v>17</v>
      </c>
      <c r="R103" s="32"/>
      <c r="S103" s="32"/>
      <c r="T103" s="2"/>
      <c r="U103" s="1"/>
      <c r="V103" s="2"/>
      <c r="W103" s="33" t="s">
        <v>36</v>
      </c>
      <c r="X103" s="33"/>
      <c r="Y103" s="33"/>
      <c r="Z103" s="33"/>
      <c r="AA103" s="33"/>
      <c r="AB103" s="33"/>
      <c r="AC103" s="33"/>
      <c r="AD103" s="34" t="n">
        <f aca="false">Calcs!B$109/1000</f>
        <v>0</v>
      </c>
      <c r="AE103" s="34"/>
      <c r="AF103" s="34"/>
      <c r="AG103" s="34"/>
      <c r="AH103" s="34" t="n">
        <f aca="false">Calcs!C$109/1000</f>
        <v>87.176</v>
      </c>
      <c r="AI103" s="34"/>
      <c r="AJ103" s="34"/>
      <c r="AK103" s="34"/>
      <c r="AL103" s="34" t="n">
        <f aca="false">Calcs!D$109/1000</f>
        <v>30.289</v>
      </c>
      <c r="AM103" s="34"/>
      <c r="AN103" s="34"/>
      <c r="AO103" s="34"/>
      <c r="AP103" s="34" t="n">
        <f aca="false">Calcs!E$109/1000</f>
        <v>0</v>
      </c>
      <c r="AQ103" s="34"/>
      <c r="AR103" s="34"/>
      <c r="AS103" s="34"/>
      <c r="AT103" s="34" t="n">
        <f aca="false">Calcs!F$109/1000</f>
        <v>91.642</v>
      </c>
      <c r="AU103" s="34"/>
      <c r="AV103" s="34"/>
      <c r="AW103" s="34"/>
      <c r="AX103" s="34" t="n">
        <f aca="false">Calcs!G$109/1000</f>
        <v>53.615</v>
      </c>
      <c r="AY103" s="34"/>
      <c r="AZ103" s="34"/>
      <c r="BA103" s="34"/>
      <c r="BB103" s="34" t="n">
        <f aca="false">Calcs!H$109/1000</f>
        <v>67.14</v>
      </c>
      <c r="BC103" s="34"/>
      <c r="BD103" s="34"/>
      <c r="BE103" s="34"/>
      <c r="BF103" s="2"/>
      <c r="BG103" s="2"/>
      <c r="BH103" s="2"/>
      <c r="BI103" s="1"/>
      <c r="BJ103" s="1"/>
      <c r="BK103" s="1"/>
      <c r="BL103" s="1"/>
    </row>
    <row r="104" customFormat="false" ht="15" hidden="false" customHeight="true" outlineLevel="0" collapsed="false">
      <c r="A104" s="1"/>
      <c r="B104" s="2"/>
      <c r="C104" s="30" t="str">
        <f aca="false">Calcs!$AI$9</f>
        <v>Divit Mahajan</v>
      </c>
      <c r="D104" s="30"/>
      <c r="E104" s="30"/>
      <c r="F104" s="30"/>
      <c r="G104" s="30"/>
      <c r="H104" s="30"/>
      <c r="I104" s="30"/>
      <c r="J104" s="30"/>
      <c r="K104" s="30"/>
      <c r="L104" s="30"/>
      <c r="M104" s="31" t="n">
        <f aca="false">Calcs!$AJ$9</f>
        <v>61294</v>
      </c>
      <c r="N104" s="31"/>
      <c r="O104" s="31"/>
      <c r="P104" s="31"/>
      <c r="Q104" s="32" t="n">
        <f aca="false">Calcs!$AK$9</f>
        <v>15</v>
      </c>
      <c r="R104" s="32"/>
      <c r="S104" s="32"/>
      <c r="T104" s="2"/>
      <c r="U104" s="1"/>
      <c r="V104" s="2"/>
      <c r="W104" s="33" t="s">
        <v>37</v>
      </c>
      <c r="X104" s="33"/>
      <c r="Y104" s="33"/>
      <c r="Z104" s="33"/>
      <c r="AA104" s="33"/>
      <c r="AB104" s="33"/>
      <c r="AC104" s="33"/>
      <c r="AD104" s="34" t="n">
        <f aca="false">Calcs!B$110/1000</f>
        <v>105.732</v>
      </c>
      <c r="AE104" s="34"/>
      <c r="AF104" s="34"/>
      <c r="AG104" s="34"/>
      <c r="AH104" s="34" t="n">
        <f aca="false">Calcs!C$110/1000</f>
        <v>53.954</v>
      </c>
      <c r="AI104" s="34"/>
      <c r="AJ104" s="34"/>
      <c r="AK104" s="34"/>
      <c r="AL104" s="34" t="n">
        <f aca="false">Calcs!D$110/1000</f>
        <v>157.781</v>
      </c>
      <c r="AM104" s="34"/>
      <c r="AN104" s="34"/>
      <c r="AO104" s="34"/>
      <c r="AP104" s="34" t="n">
        <f aca="false">Calcs!E$110/1000</f>
        <v>58.253</v>
      </c>
      <c r="AQ104" s="34"/>
      <c r="AR104" s="34"/>
      <c r="AS104" s="34"/>
      <c r="AT104" s="34" t="n">
        <f aca="false">Calcs!F$110/1000</f>
        <v>320.798</v>
      </c>
      <c r="AU104" s="34"/>
      <c r="AV104" s="34"/>
      <c r="AW104" s="34"/>
      <c r="AX104" s="34" t="n">
        <f aca="false">Calcs!G$110/1000</f>
        <v>158.564</v>
      </c>
      <c r="AY104" s="34"/>
      <c r="AZ104" s="34"/>
      <c r="BA104" s="34"/>
      <c r="BB104" s="34" t="n">
        <f aca="false">Calcs!H$110/1000</f>
        <v>150.563</v>
      </c>
      <c r="BC104" s="34"/>
      <c r="BD104" s="34"/>
      <c r="BE104" s="34"/>
      <c r="BF104" s="2"/>
      <c r="BG104" s="2"/>
      <c r="BH104" s="2"/>
      <c r="BI104" s="1"/>
      <c r="BJ104" s="1"/>
      <c r="BK104" s="1"/>
      <c r="BL104" s="1"/>
    </row>
    <row r="105" customFormat="false" ht="15" hidden="false" customHeight="true" outlineLevel="0" collapsed="false">
      <c r="A105" s="1"/>
      <c r="B105" s="2"/>
      <c r="C105" s="30" t="str">
        <f aca="false">Calcs!$AI$10</f>
        <v>Jhanvi Chowdhury</v>
      </c>
      <c r="D105" s="30"/>
      <c r="E105" s="30"/>
      <c r="F105" s="30"/>
      <c r="G105" s="30"/>
      <c r="H105" s="30"/>
      <c r="I105" s="30"/>
      <c r="J105" s="30"/>
      <c r="K105" s="30"/>
      <c r="L105" s="30"/>
      <c r="M105" s="31" t="n">
        <f aca="false">Calcs!$AJ$10</f>
        <v>59666</v>
      </c>
      <c r="N105" s="31"/>
      <c r="O105" s="31"/>
      <c r="P105" s="31"/>
      <c r="Q105" s="32" t="n">
        <f aca="false">Calcs!$AK$10</f>
        <v>14</v>
      </c>
      <c r="R105" s="32"/>
      <c r="S105" s="32"/>
      <c r="T105" s="2"/>
      <c r="U105" s="1"/>
      <c r="V105" s="2"/>
      <c r="W105" s="33" t="s">
        <v>38</v>
      </c>
      <c r="X105" s="33"/>
      <c r="Y105" s="33"/>
      <c r="Z105" s="33"/>
      <c r="AA105" s="33"/>
      <c r="AB105" s="33"/>
      <c r="AC105" s="33"/>
      <c r="AD105" s="34" t="n">
        <f aca="false">Calcs!B$111/1000</f>
        <v>11.61</v>
      </c>
      <c r="AE105" s="34"/>
      <c r="AF105" s="34"/>
      <c r="AG105" s="34"/>
      <c r="AH105" s="34" t="n">
        <f aca="false">Calcs!C$111/1000</f>
        <v>0</v>
      </c>
      <c r="AI105" s="34"/>
      <c r="AJ105" s="34"/>
      <c r="AK105" s="34"/>
      <c r="AL105" s="34" t="n">
        <f aca="false">Calcs!D$111/1000</f>
        <v>38.52</v>
      </c>
      <c r="AM105" s="34"/>
      <c r="AN105" s="34"/>
      <c r="AO105" s="34"/>
      <c r="AP105" s="34" t="n">
        <f aca="false">Calcs!E$111/1000</f>
        <v>0</v>
      </c>
      <c r="AQ105" s="34"/>
      <c r="AR105" s="34"/>
      <c r="AS105" s="34"/>
      <c r="AT105" s="34" t="n">
        <f aca="false">Calcs!F$111/1000</f>
        <v>69.601</v>
      </c>
      <c r="AU105" s="34"/>
      <c r="AV105" s="34"/>
      <c r="AW105" s="34"/>
      <c r="AX105" s="34" t="n">
        <f aca="false">Calcs!G$111/1000</f>
        <v>0</v>
      </c>
      <c r="AY105" s="34"/>
      <c r="AZ105" s="34"/>
      <c r="BA105" s="34"/>
      <c r="BB105" s="34" t="n">
        <f aca="false">Calcs!H$111/1000</f>
        <v>81.42</v>
      </c>
      <c r="BC105" s="34"/>
      <c r="BD105" s="34"/>
      <c r="BE105" s="34"/>
      <c r="BF105" s="2"/>
      <c r="BG105" s="2"/>
      <c r="BH105" s="2"/>
      <c r="BI105" s="1"/>
      <c r="BJ105" s="1"/>
      <c r="BK105" s="1"/>
      <c r="BL105" s="1"/>
    </row>
    <row r="106" customFormat="false" ht="15" hidden="false" customHeight="true" outlineLevel="0" collapsed="false">
      <c r="A106" s="1"/>
      <c r="B106" s="2"/>
      <c r="C106" s="30" t="str">
        <f aca="false">Calcs!$AI$11</f>
        <v>Ranbir Loyal</v>
      </c>
      <c r="D106" s="30"/>
      <c r="E106" s="30"/>
      <c r="F106" s="30"/>
      <c r="G106" s="30"/>
      <c r="H106" s="30"/>
      <c r="I106" s="30"/>
      <c r="J106" s="30"/>
      <c r="K106" s="30"/>
      <c r="L106" s="30"/>
      <c r="M106" s="31" t="n">
        <f aca="false">Calcs!$AJ$11</f>
        <v>53082</v>
      </c>
      <c r="N106" s="31"/>
      <c r="O106" s="31"/>
      <c r="P106" s="31"/>
      <c r="Q106" s="32" t="n">
        <f aca="false">Calcs!$AK$11</f>
        <v>17</v>
      </c>
      <c r="R106" s="32"/>
      <c r="S106" s="32"/>
      <c r="T106" s="2"/>
      <c r="U106" s="1"/>
      <c r="V106" s="2"/>
      <c r="W106" s="33" t="s">
        <v>39</v>
      </c>
      <c r="X106" s="33"/>
      <c r="Y106" s="33"/>
      <c r="Z106" s="33"/>
      <c r="AA106" s="33"/>
      <c r="AB106" s="33"/>
      <c r="AC106" s="33"/>
      <c r="AD106" s="34" t="n">
        <f aca="false">Calcs!B$112/1000</f>
        <v>0</v>
      </c>
      <c r="AE106" s="34"/>
      <c r="AF106" s="34"/>
      <c r="AG106" s="34"/>
      <c r="AH106" s="34" t="n">
        <f aca="false">Calcs!C$112/1000</f>
        <v>116.936</v>
      </c>
      <c r="AI106" s="34"/>
      <c r="AJ106" s="34"/>
      <c r="AK106" s="34"/>
      <c r="AL106" s="34" t="n">
        <f aca="false">Calcs!D$112/1000</f>
        <v>34.268</v>
      </c>
      <c r="AM106" s="34"/>
      <c r="AN106" s="34"/>
      <c r="AO106" s="34"/>
      <c r="AP106" s="34" t="n">
        <f aca="false">Calcs!E$112/1000</f>
        <v>34.936</v>
      </c>
      <c r="AQ106" s="34"/>
      <c r="AR106" s="34"/>
      <c r="AS106" s="34"/>
      <c r="AT106" s="34" t="n">
        <f aca="false">Calcs!F$112/1000</f>
        <v>16.88</v>
      </c>
      <c r="AU106" s="34"/>
      <c r="AV106" s="34"/>
      <c r="AW106" s="34"/>
      <c r="AX106" s="34" t="n">
        <f aca="false">Calcs!G$112/1000</f>
        <v>0</v>
      </c>
      <c r="AY106" s="34"/>
      <c r="AZ106" s="34"/>
      <c r="BA106" s="34"/>
      <c r="BB106" s="34" t="n">
        <f aca="false">Calcs!H$112/1000</f>
        <v>9.261</v>
      </c>
      <c r="BC106" s="34"/>
      <c r="BD106" s="34"/>
      <c r="BE106" s="34"/>
      <c r="BF106" s="2"/>
      <c r="BG106" s="2"/>
      <c r="BH106" s="2"/>
      <c r="BI106" s="1"/>
      <c r="BJ106" s="1"/>
      <c r="BK106" s="1"/>
      <c r="BL106" s="1"/>
    </row>
    <row r="107" customFormat="false" ht="15" hidden="false" customHeight="true" outlineLevel="0" collapsed="false">
      <c r="A107" s="1"/>
      <c r="B107" s="2"/>
      <c r="C107" s="30" t="str">
        <f aca="false">Calcs!$AI$12</f>
        <v>Aradhya Batta</v>
      </c>
      <c r="D107" s="30"/>
      <c r="E107" s="30"/>
      <c r="F107" s="30"/>
      <c r="G107" s="30"/>
      <c r="H107" s="30"/>
      <c r="I107" s="30"/>
      <c r="J107" s="30"/>
      <c r="K107" s="30"/>
      <c r="L107" s="30"/>
      <c r="M107" s="31" t="n">
        <f aca="false">Calcs!$AJ$12</f>
        <v>50856</v>
      </c>
      <c r="N107" s="31"/>
      <c r="O107" s="31"/>
      <c r="P107" s="31"/>
      <c r="Q107" s="32" t="n">
        <f aca="false">Calcs!$AK$12</f>
        <v>14</v>
      </c>
      <c r="R107" s="32"/>
      <c r="S107" s="32"/>
      <c r="T107" s="2"/>
      <c r="U107" s="1"/>
      <c r="V107" s="2"/>
      <c r="W107" s="33" t="s">
        <v>40</v>
      </c>
      <c r="X107" s="33"/>
      <c r="Y107" s="33"/>
      <c r="Z107" s="33"/>
      <c r="AA107" s="33"/>
      <c r="AB107" s="33"/>
      <c r="AC107" s="33"/>
      <c r="AD107" s="34" t="n">
        <f aca="false">Calcs!B$113/1000</f>
        <v>60.64</v>
      </c>
      <c r="AE107" s="34"/>
      <c r="AF107" s="34"/>
      <c r="AG107" s="34"/>
      <c r="AH107" s="34" t="n">
        <f aca="false">Calcs!C$113/1000</f>
        <v>156.384</v>
      </c>
      <c r="AI107" s="34"/>
      <c r="AJ107" s="34"/>
      <c r="AK107" s="34"/>
      <c r="AL107" s="34" t="n">
        <f aca="false">Calcs!D$113/1000</f>
        <v>30.324</v>
      </c>
      <c r="AM107" s="34"/>
      <c r="AN107" s="34"/>
      <c r="AO107" s="34"/>
      <c r="AP107" s="34" t="n">
        <f aca="false">Calcs!E$113/1000</f>
        <v>42</v>
      </c>
      <c r="AQ107" s="34"/>
      <c r="AR107" s="34"/>
      <c r="AS107" s="34"/>
      <c r="AT107" s="34" t="n">
        <f aca="false">Calcs!F$113/1000</f>
        <v>0</v>
      </c>
      <c r="AU107" s="34"/>
      <c r="AV107" s="34"/>
      <c r="AW107" s="34"/>
      <c r="AX107" s="34" t="n">
        <f aca="false">Calcs!G$113/1000</f>
        <v>0</v>
      </c>
      <c r="AY107" s="34"/>
      <c r="AZ107" s="34"/>
      <c r="BA107" s="34"/>
      <c r="BB107" s="34" t="n">
        <f aca="false">Calcs!H$113/1000</f>
        <v>8.024</v>
      </c>
      <c r="BC107" s="34"/>
      <c r="BD107" s="34"/>
      <c r="BE107" s="34"/>
      <c r="BF107" s="2"/>
      <c r="BG107" s="2"/>
      <c r="BH107" s="2"/>
      <c r="BI107" s="1"/>
      <c r="BJ107" s="1"/>
      <c r="BK107" s="1"/>
      <c r="BL107" s="1"/>
    </row>
    <row r="108" customFormat="false" ht="15" hidden="false" customHeight="true" outlineLevel="0" collapsed="false">
      <c r="A108" s="1"/>
      <c r="B108" s="2"/>
      <c r="C108" s="30" t="str">
        <f aca="false">Calcs!$AI$13</f>
        <v>Akarsh Ramesh</v>
      </c>
      <c r="D108" s="30"/>
      <c r="E108" s="30"/>
      <c r="F108" s="30"/>
      <c r="G108" s="30"/>
      <c r="H108" s="30"/>
      <c r="I108" s="30"/>
      <c r="J108" s="30"/>
      <c r="K108" s="30"/>
      <c r="L108" s="30"/>
      <c r="M108" s="31" t="n">
        <f aca="false">Calcs!$AJ$13</f>
        <v>50313</v>
      </c>
      <c r="N108" s="31"/>
      <c r="O108" s="31"/>
      <c r="P108" s="31"/>
      <c r="Q108" s="32" t="n">
        <f aca="false">Calcs!$AK$13</f>
        <v>13</v>
      </c>
      <c r="R108" s="32"/>
      <c r="S108" s="32"/>
      <c r="T108" s="2"/>
      <c r="U108" s="1"/>
      <c r="V108" s="2"/>
      <c r="W108" s="33" t="s">
        <v>41</v>
      </c>
      <c r="X108" s="33"/>
      <c r="Y108" s="33"/>
      <c r="Z108" s="33"/>
      <c r="AA108" s="33"/>
      <c r="AB108" s="33"/>
      <c r="AC108" s="33"/>
      <c r="AD108" s="34" t="n">
        <f aca="false">Calcs!B$114/1000</f>
        <v>286.898</v>
      </c>
      <c r="AE108" s="34"/>
      <c r="AF108" s="34"/>
      <c r="AG108" s="34"/>
      <c r="AH108" s="34" t="n">
        <f aca="false">Calcs!C$114/1000</f>
        <v>75.96</v>
      </c>
      <c r="AI108" s="34"/>
      <c r="AJ108" s="34"/>
      <c r="AK108" s="34"/>
      <c r="AL108" s="34" t="n">
        <f aca="false">Calcs!D$114/1000</f>
        <v>80.64</v>
      </c>
      <c r="AM108" s="34"/>
      <c r="AN108" s="34"/>
      <c r="AO108" s="34"/>
      <c r="AP108" s="34" t="n">
        <f aca="false">Calcs!E$114/1000</f>
        <v>0</v>
      </c>
      <c r="AQ108" s="34"/>
      <c r="AR108" s="34"/>
      <c r="AS108" s="34"/>
      <c r="AT108" s="34" t="n">
        <f aca="false">Calcs!F$114/1000</f>
        <v>24.131</v>
      </c>
      <c r="AU108" s="34"/>
      <c r="AV108" s="34"/>
      <c r="AW108" s="34"/>
      <c r="AX108" s="34" t="n">
        <f aca="false">Calcs!G$114/1000</f>
        <v>257.68</v>
      </c>
      <c r="AY108" s="34"/>
      <c r="AZ108" s="34"/>
      <c r="BA108" s="34"/>
      <c r="BB108" s="34" t="n">
        <f aca="false">Calcs!H$114/1000</f>
        <v>15.522</v>
      </c>
      <c r="BC108" s="34"/>
      <c r="BD108" s="34"/>
      <c r="BE108" s="34"/>
      <c r="BF108" s="2"/>
      <c r="BG108" s="2"/>
      <c r="BH108" s="2"/>
      <c r="BI108" s="1"/>
      <c r="BJ108" s="1"/>
      <c r="BK108" s="1"/>
      <c r="BL108" s="1"/>
    </row>
    <row r="109" customFormat="false" ht="15" hidden="false" customHeight="true" outlineLevel="0" collapsed="false">
      <c r="A109" s="1"/>
      <c r="B109" s="2"/>
      <c r="C109" s="30" t="str">
        <f aca="false">Calcs!$AI$14</f>
        <v>Veer Ray</v>
      </c>
      <c r="D109" s="30"/>
      <c r="E109" s="30"/>
      <c r="F109" s="30"/>
      <c r="G109" s="30"/>
      <c r="H109" s="30"/>
      <c r="I109" s="30"/>
      <c r="J109" s="30"/>
      <c r="K109" s="30"/>
      <c r="L109" s="30"/>
      <c r="M109" s="31" t="n">
        <f aca="false">Calcs!$AJ$14</f>
        <v>50151</v>
      </c>
      <c r="N109" s="31"/>
      <c r="O109" s="31"/>
      <c r="P109" s="31"/>
      <c r="Q109" s="32" t="n">
        <f aca="false">Calcs!$AK$14</f>
        <v>16</v>
      </c>
      <c r="R109" s="32"/>
      <c r="S109" s="32"/>
      <c r="T109" s="2"/>
      <c r="U109" s="1"/>
      <c r="V109" s="2"/>
      <c r="W109" s="33" t="s">
        <v>42</v>
      </c>
      <c r="X109" s="33"/>
      <c r="Y109" s="33"/>
      <c r="Z109" s="33"/>
      <c r="AA109" s="33"/>
      <c r="AB109" s="33"/>
      <c r="AC109" s="33"/>
      <c r="AD109" s="34" t="n">
        <f aca="false">Calcs!B$115/1000</f>
        <v>121.296</v>
      </c>
      <c r="AE109" s="34"/>
      <c r="AF109" s="34"/>
      <c r="AG109" s="34"/>
      <c r="AH109" s="34" t="n">
        <f aca="false">Calcs!C$115/1000</f>
        <v>184.224</v>
      </c>
      <c r="AI109" s="34"/>
      <c r="AJ109" s="34"/>
      <c r="AK109" s="34"/>
      <c r="AL109" s="34" t="n">
        <f aca="false">Calcs!D$115/1000</f>
        <v>36.372</v>
      </c>
      <c r="AM109" s="34"/>
      <c r="AN109" s="34"/>
      <c r="AO109" s="34"/>
      <c r="AP109" s="34" t="n">
        <f aca="false">Calcs!E$115/1000</f>
        <v>178.594</v>
      </c>
      <c r="AQ109" s="34"/>
      <c r="AR109" s="34"/>
      <c r="AS109" s="34"/>
      <c r="AT109" s="34" t="n">
        <f aca="false">Calcs!F$115/1000</f>
        <v>51.63</v>
      </c>
      <c r="AU109" s="34"/>
      <c r="AV109" s="34"/>
      <c r="AW109" s="34"/>
      <c r="AX109" s="34" t="n">
        <f aca="false">Calcs!G$115/1000</f>
        <v>161.726</v>
      </c>
      <c r="AY109" s="34"/>
      <c r="AZ109" s="34"/>
      <c r="BA109" s="34"/>
      <c r="BB109" s="34" t="n">
        <f aca="false">Calcs!H$115/1000</f>
        <v>0</v>
      </c>
      <c r="BC109" s="34"/>
      <c r="BD109" s="34"/>
      <c r="BE109" s="34"/>
      <c r="BF109" s="2"/>
      <c r="BG109" s="2"/>
      <c r="BH109" s="2"/>
      <c r="BI109" s="1"/>
      <c r="BJ109" s="1"/>
      <c r="BK109" s="1"/>
      <c r="BL109" s="1"/>
    </row>
    <row r="110" customFormat="false" ht="15" hidden="false" customHeight="true" outlineLevel="0" collapsed="false">
      <c r="A110" s="1"/>
      <c r="B110" s="2"/>
      <c r="C110" s="30" t="str">
        <f aca="false">Calcs!$AI$15</f>
        <v>Mannat Anand</v>
      </c>
      <c r="D110" s="30"/>
      <c r="E110" s="30"/>
      <c r="F110" s="30"/>
      <c r="G110" s="30"/>
      <c r="H110" s="30"/>
      <c r="I110" s="30"/>
      <c r="J110" s="30"/>
      <c r="K110" s="30"/>
      <c r="L110" s="30"/>
      <c r="M110" s="31" t="n">
        <f aca="false">Calcs!$AJ$15</f>
        <v>49494</v>
      </c>
      <c r="N110" s="31"/>
      <c r="O110" s="31"/>
      <c r="P110" s="31"/>
      <c r="Q110" s="32" t="n">
        <f aca="false">Calcs!$AK$15</f>
        <v>13</v>
      </c>
      <c r="R110" s="32"/>
      <c r="S110" s="32"/>
      <c r="T110" s="2"/>
      <c r="U110" s="1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1"/>
      <c r="BJ110" s="1"/>
      <c r="BK110" s="1"/>
      <c r="BL110" s="1"/>
    </row>
    <row r="111" customFormat="false" ht="15" hidden="false" customHeight="true" outlineLevel="0" collapsed="false">
      <c r="A111" s="1"/>
      <c r="B111" s="2"/>
      <c r="C111" s="30" t="str">
        <f aca="false">Calcs!$AI$16</f>
        <v>Anahita Shankar</v>
      </c>
      <c r="D111" s="30"/>
      <c r="E111" s="30"/>
      <c r="F111" s="30"/>
      <c r="G111" s="30"/>
      <c r="H111" s="30"/>
      <c r="I111" s="30"/>
      <c r="J111" s="30"/>
      <c r="K111" s="30"/>
      <c r="L111" s="30"/>
      <c r="M111" s="31" t="n">
        <f aca="false">Calcs!$AJ$16</f>
        <v>49100</v>
      </c>
      <c r="N111" s="31"/>
      <c r="O111" s="31"/>
      <c r="P111" s="31"/>
      <c r="Q111" s="32" t="n">
        <f aca="false">Calcs!$AK$16</f>
        <v>13</v>
      </c>
      <c r="R111" s="32"/>
      <c r="S111" s="32"/>
      <c r="T111" s="2"/>
      <c r="U111" s="1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1"/>
      <c r="BJ111" s="1"/>
      <c r="BK111" s="1"/>
      <c r="BL111" s="1"/>
    </row>
    <row r="112" customFormat="false" ht="15" hidden="false" customHeight="true" outlineLevel="0" collapsed="false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1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1"/>
      <c r="BJ112" s="1"/>
      <c r="BK112" s="1"/>
      <c r="BL112" s="1"/>
    </row>
    <row r="113" customFormat="false" ht="1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</row>
    <row r="114" customFormat="false" ht="15" hidden="false" customHeight="true" outlineLevel="0" collapsed="false">
      <c r="A114" s="1"/>
      <c r="B114" s="7"/>
      <c r="C114" s="35" t="str">
        <f aca="false">"Reading: four festival months carry "&amp;TEXT(Calcs!$B$130,"0%")&amp;" of revenue. A festival month averages ₹"&amp;TEXT(Calcs!$B$131,"##\,##\,##0")&amp;" against ₹"&amp;TEXT(Calcs!$B$132,"##\,##\,##0")&amp;" in a quiet one — "&amp;TEXT(Calcs!$B$133,"0.0")&amp;"× the run rate. Average delivery is "&amp;TEXT(Calcs!$B$123,"0.0")&amp;" days, with "&amp;TEXT(Calcs!$B$124,"0%")&amp;" inside a week."</f>
        <v>Reading: four festival months carry 68% of revenue. A festival month averages ₹6,00,723 against ₹1,39,762 in a quiet one — 4.3× the run rate. Average delivery is 5.5 days, with 64% inside a week.</v>
      </c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1"/>
      <c r="BJ114" s="1"/>
      <c r="BK114" s="1"/>
      <c r="BL114" s="1"/>
    </row>
    <row r="115" customFormat="false" ht="15" hidden="false" customHeight="true" outlineLevel="0" collapsed="false">
      <c r="A115" s="1"/>
      <c r="B115" s="7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1"/>
      <c r="BJ115" s="1"/>
      <c r="BK115" s="1"/>
      <c r="BL115" s="1"/>
    </row>
    <row r="116" customFormat="false" ht="15" hidden="false" customHeight="true" outlineLevel="0" collapsed="false">
      <c r="A116" s="1"/>
      <c r="B116" s="7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1"/>
      <c r="BJ116" s="1"/>
      <c r="BK116" s="1"/>
      <c r="BL116" s="1"/>
    </row>
    <row r="117" customFormat="false" ht="1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</row>
    <row r="118" customFormat="false" ht="1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</row>
  </sheetData>
  <mergeCells count="137">
    <mergeCell ref="C2:AD3"/>
    <mergeCell ref="AF2:BH3"/>
    <mergeCell ref="C4:AK5"/>
    <mergeCell ref="AM4:BH5"/>
    <mergeCell ref="C7:H8"/>
    <mergeCell ref="I7:R8"/>
    <mergeCell ref="T7:Y8"/>
    <mergeCell ref="Z7:AI8"/>
    <mergeCell ref="AK7:BH8"/>
    <mergeCell ref="C10:J10"/>
    <mergeCell ref="M10:T10"/>
    <mergeCell ref="W10:AD10"/>
    <mergeCell ref="AG10:AN10"/>
    <mergeCell ref="AQ10:AX10"/>
    <mergeCell ref="BA10:BH10"/>
    <mergeCell ref="C11:J12"/>
    <mergeCell ref="M11:T12"/>
    <mergeCell ref="W11:AD12"/>
    <mergeCell ref="AG11:AN12"/>
    <mergeCell ref="AQ11:AX12"/>
    <mergeCell ref="BA11:BH12"/>
    <mergeCell ref="C13:J14"/>
    <mergeCell ref="M13:T14"/>
    <mergeCell ref="W13:AD14"/>
    <mergeCell ref="AG13:AN14"/>
    <mergeCell ref="AQ13:AX14"/>
    <mergeCell ref="BA13:BH14"/>
    <mergeCell ref="B16:L16"/>
    <mergeCell ref="M16:BH16"/>
    <mergeCell ref="B37:L37"/>
    <mergeCell ref="M37:BH37"/>
    <mergeCell ref="B57:L57"/>
    <mergeCell ref="M57:BH57"/>
    <mergeCell ref="B77:L77"/>
    <mergeCell ref="M77:BH77"/>
    <mergeCell ref="B97:L97"/>
    <mergeCell ref="M97:BH97"/>
    <mergeCell ref="C100:T100"/>
    <mergeCell ref="W100:BH100"/>
    <mergeCell ref="C101:K101"/>
    <mergeCell ref="L101:P101"/>
    <mergeCell ref="Q101:S101"/>
    <mergeCell ref="W101:AC101"/>
    <mergeCell ref="AD101:AG101"/>
    <mergeCell ref="AH101:AK101"/>
    <mergeCell ref="AL101:AO101"/>
    <mergeCell ref="AP101:AS101"/>
    <mergeCell ref="AT101:AW101"/>
    <mergeCell ref="AX101:BA101"/>
    <mergeCell ref="BB101:BE101"/>
    <mergeCell ref="C102:L102"/>
    <mergeCell ref="M102:P102"/>
    <mergeCell ref="Q102:S102"/>
    <mergeCell ref="C103:L103"/>
    <mergeCell ref="M103:P103"/>
    <mergeCell ref="Q103:S103"/>
    <mergeCell ref="W103:AC103"/>
    <mergeCell ref="AD103:AG103"/>
    <mergeCell ref="AH103:AK103"/>
    <mergeCell ref="AL103:AO103"/>
    <mergeCell ref="AP103:AS103"/>
    <mergeCell ref="AT103:AW103"/>
    <mergeCell ref="AX103:BA103"/>
    <mergeCell ref="BB103:BE103"/>
    <mergeCell ref="C104:L104"/>
    <mergeCell ref="M104:P104"/>
    <mergeCell ref="Q104:S104"/>
    <mergeCell ref="W104:AC104"/>
    <mergeCell ref="AD104:AG104"/>
    <mergeCell ref="AH104:AK104"/>
    <mergeCell ref="AL104:AO104"/>
    <mergeCell ref="AP104:AS104"/>
    <mergeCell ref="AT104:AW104"/>
    <mergeCell ref="AX104:BA104"/>
    <mergeCell ref="BB104:BE104"/>
    <mergeCell ref="C105:L105"/>
    <mergeCell ref="M105:P105"/>
    <mergeCell ref="Q105:S105"/>
    <mergeCell ref="W105:AC105"/>
    <mergeCell ref="AD105:AG105"/>
    <mergeCell ref="AH105:AK105"/>
    <mergeCell ref="AL105:AO105"/>
    <mergeCell ref="AP105:AS105"/>
    <mergeCell ref="AT105:AW105"/>
    <mergeCell ref="AX105:BA105"/>
    <mergeCell ref="BB105:BE105"/>
    <mergeCell ref="C106:L106"/>
    <mergeCell ref="M106:P106"/>
    <mergeCell ref="Q106:S106"/>
    <mergeCell ref="W106:AC106"/>
    <mergeCell ref="AD106:AG106"/>
    <mergeCell ref="AH106:AK106"/>
    <mergeCell ref="AL106:AO106"/>
    <mergeCell ref="AP106:AS106"/>
    <mergeCell ref="AT106:AW106"/>
    <mergeCell ref="AX106:BA106"/>
    <mergeCell ref="BB106:BE106"/>
    <mergeCell ref="C107:L107"/>
    <mergeCell ref="M107:P107"/>
    <mergeCell ref="Q107:S107"/>
    <mergeCell ref="W107:AC107"/>
    <mergeCell ref="AD107:AG107"/>
    <mergeCell ref="AH107:AK107"/>
    <mergeCell ref="AL107:AO107"/>
    <mergeCell ref="AP107:AS107"/>
    <mergeCell ref="AT107:AW107"/>
    <mergeCell ref="AX107:BA107"/>
    <mergeCell ref="BB107:BE107"/>
    <mergeCell ref="C108:L108"/>
    <mergeCell ref="M108:P108"/>
    <mergeCell ref="Q108:S108"/>
    <mergeCell ref="W108:AC108"/>
    <mergeCell ref="AD108:AG108"/>
    <mergeCell ref="AH108:AK108"/>
    <mergeCell ref="AL108:AO108"/>
    <mergeCell ref="AP108:AS108"/>
    <mergeCell ref="AT108:AW108"/>
    <mergeCell ref="AX108:BA108"/>
    <mergeCell ref="BB108:BE108"/>
    <mergeCell ref="C109:L109"/>
    <mergeCell ref="M109:P109"/>
    <mergeCell ref="Q109:S109"/>
    <mergeCell ref="W109:AC109"/>
    <mergeCell ref="AD109:AG109"/>
    <mergeCell ref="AH109:AK109"/>
    <mergeCell ref="AL109:AO109"/>
    <mergeCell ref="AP109:AS109"/>
    <mergeCell ref="AT109:AW109"/>
    <mergeCell ref="AX109:BA109"/>
    <mergeCell ref="BB109:BE109"/>
    <mergeCell ref="C110:L110"/>
    <mergeCell ref="M110:P110"/>
    <mergeCell ref="Q110:S110"/>
    <mergeCell ref="C111:L111"/>
    <mergeCell ref="M111:P111"/>
    <mergeCell ref="Q111:S111"/>
    <mergeCell ref="C114:BH116"/>
  </mergeCells>
  <conditionalFormatting sqref="AD103:BE109">
    <cfRule type="colorScale" priority="2">
      <colorScale>
        <cfvo type="min" val="0"/>
        <cfvo type="percentile" val="55"/>
        <cfvo type="max" val="0"/>
        <color rgb="FF241D3E"/>
        <color rgb="FF7A5A2E"/>
        <color rgb="FFF5C451"/>
      </colorScale>
    </cfRule>
  </conditionalFormatting>
  <dataValidations count="2">
    <dataValidation allowBlank="false" errorStyle="stop" operator="between" prompt="Choose an occasion, or (All)" promptTitle="Occasion filter" showDropDown="false" showErrorMessage="false" showInputMessage="false" sqref="I7" type="list">
      <formula1>Lists!$N$2:$N$9</formula1>
      <formula2>0</formula2>
    </dataValidation>
    <dataValidation allowBlank="false" errorStyle="stop" operator="between" prompt="Choose a category, or (All)" promptTitle="Category filter" showDropDown="false" showErrorMessage="false" showInputMessage="false" sqref="Z7" type="list">
      <formula1>Lists!$O$2:$O$9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74"/>
  </cols>
  <sheetData>
    <row r="1" customFormat="false" ht="15" hidden="false" customHeight="true" outlineLevel="0" collapsed="false">
      <c r="A1" s="1"/>
      <c r="B1" s="1"/>
      <c r="C1" s="1"/>
      <c r="D1" s="1"/>
      <c r="E1" s="1"/>
    </row>
    <row r="2" customFormat="false" ht="15" hidden="false" customHeight="true" outlineLevel="0" collapsed="false">
      <c r="A2" s="1"/>
      <c r="B2" s="36" t="s">
        <v>43</v>
      </c>
      <c r="C2" s="1"/>
      <c r="D2" s="1"/>
      <c r="E2" s="1"/>
    </row>
    <row r="3" customFormat="false" ht="15" hidden="false" customHeight="true" outlineLevel="0" collapsed="false">
      <c r="A3" s="1"/>
      <c r="B3" s="37" t="s">
        <v>44</v>
      </c>
      <c r="C3" s="1"/>
      <c r="D3" s="1"/>
      <c r="E3" s="1"/>
    </row>
    <row r="4" customFormat="false" ht="15" hidden="false" customHeight="true" outlineLevel="0" collapsed="false">
      <c r="A4" s="1"/>
      <c r="B4" s="1"/>
      <c r="C4" s="1"/>
      <c r="D4" s="1"/>
      <c r="E4" s="1"/>
    </row>
    <row r="5" customFormat="false" ht="15" hidden="false" customHeight="true" outlineLevel="0" collapsed="false">
      <c r="A5" s="1"/>
      <c r="B5" s="1"/>
      <c r="C5" s="1"/>
      <c r="D5" s="1"/>
      <c r="E5" s="1"/>
    </row>
    <row r="6" customFormat="false" ht="15" hidden="false" customHeight="true" outlineLevel="0" collapsed="false">
      <c r="A6" s="1"/>
      <c r="B6" s="38" t="s">
        <v>45</v>
      </c>
      <c r="C6" s="1"/>
      <c r="D6" s="1"/>
      <c r="E6" s="1"/>
    </row>
    <row r="7" customFormat="false" ht="15" hidden="false" customHeight="true" outlineLevel="0" collapsed="false">
      <c r="A7" s="1"/>
      <c r="B7" s="37" t="s">
        <v>46</v>
      </c>
      <c r="C7" s="1"/>
      <c r="D7" s="1"/>
      <c r="E7" s="1"/>
    </row>
    <row r="8" customFormat="false" ht="15" hidden="false" customHeight="true" outlineLevel="0" collapsed="false">
      <c r="A8" s="1"/>
      <c r="B8" s="1"/>
      <c r="C8" s="1"/>
      <c r="D8" s="1"/>
      <c r="E8" s="1"/>
    </row>
    <row r="9" customFormat="false" ht="15" hidden="false" customHeight="true" outlineLevel="0" collapsed="false">
      <c r="A9" s="1"/>
      <c r="B9" s="39" t="s">
        <v>47</v>
      </c>
      <c r="C9" s="39" t="s">
        <v>48</v>
      </c>
      <c r="D9" s="39" t="s">
        <v>49</v>
      </c>
      <c r="E9" s="39" t="s">
        <v>50</v>
      </c>
    </row>
    <row r="10" customFormat="false" ht="15" hidden="false" customHeight="true" outlineLevel="0" collapsed="false">
      <c r="A10" s="1"/>
      <c r="B10" s="40" t="s">
        <v>51</v>
      </c>
      <c r="C10" s="41" t="s">
        <v>52</v>
      </c>
      <c r="D10" s="42" t="s">
        <v>53</v>
      </c>
      <c r="E10" s="43" t="s">
        <v>54</v>
      </c>
    </row>
    <row r="11" customFormat="false" ht="15" hidden="false" customHeight="true" outlineLevel="0" collapsed="false">
      <c r="A11" s="1"/>
      <c r="B11" s="40" t="s">
        <v>55</v>
      </c>
      <c r="C11" s="41" t="s">
        <v>56</v>
      </c>
      <c r="D11" s="42" t="s">
        <v>57</v>
      </c>
      <c r="E11" s="43" t="s">
        <v>58</v>
      </c>
    </row>
    <row r="12" customFormat="false" ht="15" hidden="false" customHeight="true" outlineLevel="0" collapsed="false">
      <c r="A12" s="1"/>
      <c r="B12" s="40" t="s">
        <v>59</v>
      </c>
      <c r="C12" s="41" t="s">
        <v>52</v>
      </c>
      <c r="D12" s="42" t="s">
        <v>57</v>
      </c>
      <c r="E12" s="43" t="s">
        <v>60</v>
      </c>
    </row>
    <row r="13" customFormat="false" ht="15" hidden="false" customHeight="true" outlineLevel="0" collapsed="false">
      <c r="A13" s="1"/>
      <c r="B13" s="40" t="s">
        <v>61</v>
      </c>
      <c r="C13" s="41" t="s">
        <v>52</v>
      </c>
      <c r="D13" s="42"/>
      <c r="E13" s="43" t="s">
        <v>62</v>
      </c>
    </row>
    <row r="14" customFormat="false" ht="15" hidden="false" customHeight="true" outlineLevel="0" collapsed="false">
      <c r="A14" s="1"/>
      <c r="B14" s="40" t="s">
        <v>63</v>
      </c>
      <c r="C14" s="41" t="s">
        <v>64</v>
      </c>
      <c r="D14" s="42"/>
      <c r="E14" s="43" t="s">
        <v>65</v>
      </c>
    </row>
    <row r="15" customFormat="false" ht="15" hidden="false" customHeight="true" outlineLevel="0" collapsed="false">
      <c r="A15" s="1"/>
      <c r="B15" s="40" t="s">
        <v>66</v>
      </c>
      <c r="C15" s="41" t="s">
        <v>67</v>
      </c>
      <c r="D15" s="42"/>
      <c r="E15" s="43" t="s">
        <v>68</v>
      </c>
    </row>
    <row r="16" customFormat="false" ht="15" hidden="false" customHeight="true" outlineLevel="0" collapsed="false">
      <c r="A16" s="1"/>
      <c r="B16" s="40" t="s">
        <v>69</v>
      </c>
      <c r="C16" s="41" t="s">
        <v>64</v>
      </c>
      <c r="D16" s="42"/>
      <c r="E16" s="43" t="s">
        <v>70</v>
      </c>
    </row>
    <row r="17" customFormat="false" ht="15" hidden="false" customHeight="true" outlineLevel="0" collapsed="false">
      <c r="A17" s="1"/>
      <c r="B17" s="40" t="s">
        <v>71</v>
      </c>
      <c r="C17" s="41" t="s">
        <v>67</v>
      </c>
      <c r="D17" s="42"/>
      <c r="E17" s="43" t="s">
        <v>72</v>
      </c>
    </row>
    <row r="18" customFormat="false" ht="15" hidden="false" customHeight="true" outlineLevel="0" collapsed="false">
      <c r="A18" s="1"/>
      <c r="B18" s="40" t="s">
        <v>73</v>
      </c>
      <c r="C18" s="41" t="s">
        <v>56</v>
      </c>
      <c r="D18" s="42"/>
      <c r="E18" s="43" t="s">
        <v>74</v>
      </c>
    </row>
    <row r="19" customFormat="false" ht="15" hidden="false" customHeight="true" outlineLevel="0" collapsed="false">
      <c r="A19" s="1"/>
      <c r="B19" s="40" t="s">
        <v>75</v>
      </c>
      <c r="C19" s="41" t="s">
        <v>56</v>
      </c>
      <c r="D19" s="42"/>
      <c r="E19" s="43" t="s">
        <v>76</v>
      </c>
    </row>
    <row r="20" customFormat="false" ht="15" hidden="false" customHeight="true" outlineLevel="0" collapsed="false">
      <c r="A20" s="1"/>
      <c r="B20" s="1"/>
      <c r="C20" s="1"/>
      <c r="D20" s="1"/>
      <c r="E20" s="1"/>
    </row>
    <row r="21" customFormat="false" ht="15" hidden="false" customHeight="true" outlineLevel="0" collapsed="false">
      <c r="A21" s="1"/>
      <c r="B21" s="1"/>
      <c r="C21" s="1"/>
      <c r="D21" s="1"/>
      <c r="E21" s="1"/>
    </row>
    <row r="22" customFormat="false" ht="15" hidden="false" customHeight="true" outlineLevel="0" collapsed="false">
      <c r="A22" s="1"/>
      <c r="B22" s="38" t="s">
        <v>77</v>
      </c>
      <c r="C22" s="1"/>
      <c r="D22" s="1"/>
      <c r="E22" s="1"/>
    </row>
    <row r="23" customFormat="false" ht="15" hidden="false" customHeight="true" outlineLevel="0" collapsed="false">
      <c r="A23" s="1"/>
      <c r="B23" s="37" t="s">
        <v>78</v>
      </c>
      <c r="C23" s="1"/>
      <c r="D23" s="1"/>
      <c r="E23" s="1"/>
    </row>
    <row r="24" customFormat="false" ht="15" hidden="false" customHeight="true" outlineLevel="0" collapsed="false">
      <c r="A24" s="1"/>
      <c r="B24" s="1"/>
      <c r="C24" s="1"/>
      <c r="D24" s="1"/>
      <c r="E24" s="1"/>
    </row>
    <row r="25" customFormat="false" ht="15" hidden="false" customHeight="true" outlineLevel="0" collapsed="false">
      <c r="A25" s="1"/>
      <c r="B25" s="39" t="s">
        <v>47</v>
      </c>
      <c r="C25" s="39" t="s">
        <v>48</v>
      </c>
      <c r="D25" s="39" t="s">
        <v>49</v>
      </c>
      <c r="E25" s="39" t="s">
        <v>50</v>
      </c>
    </row>
    <row r="26" customFormat="false" ht="15" hidden="false" customHeight="true" outlineLevel="0" collapsed="false">
      <c r="A26" s="1"/>
      <c r="B26" s="40" t="s">
        <v>59</v>
      </c>
      <c r="C26" s="41" t="s">
        <v>52</v>
      </c>
      <c r="D26" s="42" t="s">
        <v>53</v>
      </c>
      <c r="E26" s="43" t="s">
        <v>79</v>
      </c>
    </row>
    <row r="27" customFormat="false" ht="15" hidden="false" customHeight="true" outlineLevel="0" collapsed="false">
      <c r="A27" s="1"/>
      <c r="B27" s="40" t="s">
        <v>80</v>
      </c>
      <c r="C27" s="41" t="s">
        <v>56</v>
      </c>
      <c r="D27" s="42"/>
      <c r="E27" s="43" t="s">
        <v>81</v>
      </c>
    </row>
    <row r="28" customFormat="false" ht="15" hidden="false" customHeight="true" outlineLevel="0" collapsed="false">
      <c r="A28" s="1"/>
      <c r="B28" s="40" t="s">
        <v>82</v>
      </c>
      <c r="C28" s="41" t="s">
        <v>56</v>
      </c>
      <c r="D28" s="42"/>
      <c r="E28" s="43" t="s">
        <v>83</v>
      </c>
    </row>
    <row r="29" customFormat="false" ht="15" hidden="false" customHeight="true" outlineLevel="0" collapsed="false">
      <c r="A29" s="1"/>
      <c r="B29" s="40" t="s">
        <v>84</v>
      </c>
      <c r="C29" s="41" t="s">
        <v>52</v>
      </c>
      <c r="D29" s="42"/>
      <c r="E29" s="43" t="s">
        <v>85</v>
      </c>
    </row>
    <row r="30" customFormat="false" ht="15" hidden="false" customHeight="true" outlineLevel="0" collapsed="false">
      <c r="A30" s="1"/>
      <c r="B30" s="40" t="s">
        <v>75</v>
      </c>
      <c r="C30" s="41" t="s">
        <v>56</v>
      </c>
      <c r="D30" s="42"/>
      <c r="E30" s="43" t="s">
        <v>86</v>
      </c>
    </row>
    <row r="31" customFormat="false" ht="15" hidden="false" customHeight="true" outlineLevel="0" collapsed="false">
      <c r="A31" s="1"/>
      <c r="B31" s="40" t="s">
        <v>87</v>
      </c>
      <c r="C31" s="41" t="s">
        <v>56</v>
      </c>
      <c r="D31" s="42"/>
      <c r="E31" s="43" t="s">
        <v>88</v>
      </c>
    </row>
    <row r="32" customFormat="false" ht="15" hidden="false" customHeight="true" outlineLevel="0" collapsed="false">
      <c r="A32" s="1"/>
      <c r="B32" s="1"/>
      <c r="C32" s="1"/>
      <c r="D32" s="1"/>
      <c r="E32" s="1"/>
    </row>
    <row r="33" customFormat="false" ht="15" hidden="false" customHeight="true" outlineLevel="0" collapsed="false">
      <c r="A33" s="1"/>
      <c r="B33" s="1"/>
      <c r="C33" s="1"/>
      <c r="D33" s="1"/>
      <c r="E33" s="1"/>
    </row>
    <row r="34" customFormat="false" ht="15" hidden="false" customHeight="true" outlineLevel="0" collapsed="false">
      <c r="A34" s="1"/>
      <c r="B34" s="38" t="s">
        <v>89</v>
      </c>
      <c r="C34" s="1"/>
      <c r="D34" s="1"/>
      <c r="E34" s="1"/>
    </row>
    <row r="35" customFormat="false" ht="15" hidden="false" customHeight="true" outlineLevel="0" collapsed="false">
      <c r="A35" s="1"/>
      <c r="B35" s="37" t="s">
        <v>90</v>
      </c>
      <c r="C35" s="1"/>
      <c r="D35" s="1"/>
      <c r="E35" s="1"/>
    </row>
    <row r="36" customFormat="false" ht="15" hidden="false" customHeight="true" outlineLevel="0" collapsed="false">
      <c r="A36" s="1"/>
      <c r="B36" s="1"/>
      <c r="C36" s="1"/>
      <c r="D36" s="1"/>
      <c r="E36" s="1"/>
    </row>
    <row r="37" customFormat="false" ht="15" hidden="false" customHeight="true" outlineLevel="0" collapsed="false">
      <c r="A37" s="1"/>
      <c r="B37" s="39" t="s">
        <v>47</v>
      </c>
      <c r="C37" s="39" t="s">
        <v>48</v>
      </c>
      <c r="D37" s="39" t="s">
        <v>49</v>
      </c>
      <c r="E37" s="39" t="s">
        <v>50</v>
      </c>
    </row>
    <row r="38" customFormat="false" ht="15" hidden="false" customHeight="true" outlineLevel="0" collapsed="false">
      <c r="A38" s="1"/>
      <c r="B38" s="40" t="s">
        <v>55</v>
      </c>
      <c r="C38" s="41" t="s">
        <v>56</v>
      </c>
      <c r="D38" s="42" t="s">
        <v>53</v>
      </c>
      <c r="E38" s="43" t="s">
        <v>91</v>
      </c>
    </row>
    <row r="39" customFormat="false" ht="15" hidden="false" customHeight="true" outlineLevel="0" collapsed="false">
      <c r="A39" s="1"/>
      <c r="B39" s="40" t="s">
        <v>92</v>
      </c>
      <c r="C39" s="41" t="s">
        <v>56</v>
      </c>
      <c r="D39" s="42"/>
      <c r="E39" s="43" t="s">
        <v>93</v>
      </c>
    </row>
    <row r="40" customFormat="false" ht="15" hidden="false" customHeight="true" outlineLevel="0" collapsed="false">
      <c r="A40" s="1"/>
      <c r="B40" s="40" t="s">
        <v>94</v>
      </c>
      <c r="C40" s="41" t="s">
        <v>56</v>
      </c>
      <c r="D40" s="42"/>
      <c r="E40" s="43" t="s">
        <v>95</v>
      </c>
    </row>
    <row r="41" customFormat="false" ht="15" hidden="false" customHeight="true" outlineLevel="0" collapsed="false">
      <c r="A41" s="1"/>
      <c r="B41" s="40" t="s">
        <v>96</v>
      </c>
      <c r="C41" s="41" t="s">
        <v>52</v>
      </c>
      <c r="D41" s="42"/>
      <c r="E41" s="43" t="s">
        <v>97</v>
      </c>
    </row>
    <row r="42" customFormat="false" ht="15" hidden="false" customHeight="true" outlineLevel="0" collapsed="false">
      <c r="A42" s="1"/>
      <c r="B42" s="40" t="s">
        <v>98</v>
      </c>
      <c r="C42" s="41" t="s">
        <v>56</v>
      </c>
      <c r="D42" s="42"/>
      <c r="E42" s="43" t="s">
        <v>99</v>
      </c>
    </row>
    <row r="43" customFormat="false" ht="15" hidden="false" customHeight="true" outlineLevel="0" collapsed="false">
      <c r="A43" s="1"/>
      <c r="B43" s="40" t="s">
        <v>100</v>
      </c>
      <c r="C43" s="41" t="s">
        <v>56</v>
      </c>
      <c r="D43" s="42"/>
      <c r="E43" s="43" t="s">
        <v>101</v>
      </c>
    </row>
    <row r="44" customFormat="false" ht="15" hidden="false" customHeight="true" outlineLevel="0" collapsed="false">
      <c r="A44" s="1"/>
      <c r="B44" s="40" t="s">
        <v>102</v>
      </c>
      <c r="C44" s="41" t="s">
        <v>56</v>
      </c>
      <c r="D44" s="42"/>
      <c r="E44" s="43" t="s">
        <v>103</v>
      </c>
    </row>
    <row r="45" customFormat="false" ht="15" hidden="false" customHeight="true" outlineLevel="0" collapsed="false">
      <c r="A45" s="1"/>
      <c r="B45" s="1"/>
      <c r="C45" s="1"/>
      <c r="D45" s="1"/>
      <c r="E45" s="1"/>
    </row>
    <row r="46" customFormat="false" ht="15" hidden="false" customHeight="true" outlineLevel="0" collapsed="false">
      <c r="A46" s="1"/>
      <c r="B46" s="1"/>
      <c r="C46" s="1"/>
      <c r="D46" s="1"/>
      <c r="E46" s="1"/>
    </row>
    <row r="47" customFormat="false" ht="15" hidden="false" customHeight="true" outlineLevel="0" collapsed="false">
      <c r="A47" s="1"/>
      <c r="B47" s="38" t="s">
        <v>104</v>
      </c>
      <c r="C47" s="1"/>
      <c r="D47" s="1"/>
      <c r="E47" s="1"/>
    </row>
    <row r="48" customFormat="false" ht="15" hidden="false" customHeight="true" outlineLevel="0" collapsed="false">
      <c r="A48" s="1"/>
      <c r="B48" s="1"/>
      <c r="C48" s="1"/>
      <c r="D48" s="1"/>
      <c r="E48" s="1"/>
    </row>
    <row r="49" customFormat="false" ht="13.5" hidden="false" customHeight="true" outlineLevel="0" collapsed="false">
      <c r="A49" s="1"/>
      <c r="B49" s="44" t="s">
        <v>105</v>
      </c>
      <c r="C49" s="44"/>
      <c r="D49" s="44"/>
      <c r="E49" s="44"/>
    </row>
    <row r="50" customFormat="false" ht="15" hidden="false" customHeight="true" outlineLevel="0" collapsed="false">
      <c r="A50" s="1"/>
      <c r="B50" s="44"/>
      <c r="C50" s="44"/>
      <c r="D50" s="44"/>
      <c r="E50" s="44"/>
    </row>
    <row r="51" customFormat="false" ht="15" hidden="false" customHeight="true" outlineLevel="0" collapsed="false">
      <c r="A51" s="1"/>
      <c r="B51" s="1"/>
      <c r="C51" s="1"/>
      <c r="D51" s="1"/>
      <c r="E51" s="1"/>
    </row>
    <row r="52" customFormat="false" ht="13.5" hidden="false" customHeight="true" outlineLevel="0" collapsed="false">
      <c r="A52" s="1"/>
      <c r="B52" s="44" t="s">
        <v>106</v>
      </c>
      <c r="C52" s="44"/>
      <c r="D52" s="44"/>
      <c r="E52" s="44"/>
    </row>
    <row r="53" customFormat="false" ht="15" hidden="false" customHeight="true" outlineLevel="0" collapsed="false">
      <c r="A53" s="1"/>
      <c r="B53" s="44"/>
      <c r="C53" s="44"/>
      <c r="D53" s="44"/>
      <c r="E53" s="44"/>
    </row>
    <row r="54" customFormat="false" ht="15" hidden="false" customHeight="true" outlineLevel="0" collapsed="false">
      <c r="A54" s="1"/>
      <c r="B54" s="1"/>
      <c r="C54" s="1"/>
      <c r="D54" s="1"/>
      <c r="E54" s="1"/>
    </row>
    <row r="55" customFormat="false" ht="13.5" hidden="false" customHeight="true" outlineLevel="0" collapsed="false">
      <c r="A55" s="1"/>
      <c r="B55" s="44" t="s">
        <v>107</v>
      </c>
      <c r="C55" s="44"/>
      <c r="D55" s="44"/>
      <c r="E55" s="44"/>
    </row>
    <row r="56" customFormat="false" ht="15" hidden="false" customHeight="true" outlineLevel="0" collapsed="false">
      <c r="A56" s="1"/>
      <c r="B56" s="44"/>
      <c r="C56" s="44"/>
      <c r="D56" s="44"/>
      <c r="E56" s="44"/>
    </row>
    <row r="57" customFormat="false" ht="15" hidden="false" customHeight="true" outlineLevel="0" collapsed="false">
      <c r="A57" s="1"/>
      <c r="B57" s="1"/>
      <c r="C57" s="1"/>
      <c r="D57" s="1"/>
      <c r="E57" s="1"/>
    </row>
    <row r="58" customFormat="false" ht="13.5" hidden="false" customHeight="true" outlineLevel="0" collapsed="false">
      <c r="A58" s="1"/>
      <c r="B58" s="44" t="s">
        <v>108</v>
      </c>
      <c r="C58" s="44"/>
      <c r="D58" s="44"/>
      <c r="E58" s="44"/>
    </row>
    <row r="59" customFormat="false" ht="15" hidden="false" customHeight="true" outlineLevel="0" collapsed="false">
      <c r="A59" s="1"/>
      <c r="B59" s="44"/>
      <c r="C59" s="44"/>
      <c r="D59" s="44"/>
      <c r="E59" s="44"/>
    </row>
    <row r="60" customFormat="false" ht="15" hidden="false" customHeight="true" outlineLevel="0" collapsed="false">
      <c r="A60" s="1"/>
      <c r="B60" s="1"/>
      <c r="C60" s="1"/>
      <c r="D60" s="1"/>
      <c r="E60" s="1"/>
    </row>
    <row r="61" customFormat="false" ht="13.5" hidden="false" customHeight="true" outlineLevel="0" collapsed="false">
      <c r="A61" s="1"/>
      <c r="B61" s="44" t="s">
        <v>109</v>
      </c>
      <c r="C61" s="44"/>
      <c r="D61" s="44"/>
      <c r="E61" s="44"/>
    </row>
    <row r="62" customFormat="false" ht="15" hidden="false" customHeight="true" outlineLevel="0" collapsed="false">
      <c r="A62" s="1"/>
      <c r="B62" s="44"/>
      <c r="C62" s="44"/>
      <c r="D62" s="44"/>
      <c r="E62" s="44"/>
    </row>
    <row r="63" customFormat="false" ht="15" hidden="false" customHeight="true" outlineLevel="0" collapsed="false">
      <c r="A63" s="1"/>
      <c r="B63" s="1"/>
      <c r="C63" s="1"/>
      <c r="D63" s="1"/>
      <c r="E63" s="1"/>
    </row>
    <row r="64" customFormat="false" ht="13.5" hidden="false" customHeight="true" outlineLevel="0" collapsed="false">
      <c r="A64" s="1"/>
      <c r="B64" s="44" t="s">
        <v>110</v>
      </c>
      <c r="C64" s="44"/>
      <c r="D64" s="44"/>
      <c r="E64" s="44"/>
    </row>
    <row r="65" customFormat="false" ht="15" hidden="false" customHeight="true" outlineLevel="0" collapsed="false">
      <c r="A65" s="1"/>
      <c r="B65" s="44"/>
      <c r="C65" s="44"/>
      <c r="D65" s="44"/>
      <c r="E65" s="44"/>
    </row>
    <row r="66" customFormat="false" ht="15" hidden="false" customHeight="true" outlineLevel="0" collapsed="false">
      <c r="A66" s="1"/>
      <c r="B66" s="1"/>
      <c r="C66" s="1"/>
      <c r="D66" s="1"/>
      <c r="E66" s="1"/>
    </row>
    <row r="67" customFormat="false" ht="15" hidden="false" customHeight="true" outlineLevel="0" collapsed="false">
      <c r="A67" s="1"/>
      <c r="B67" s="1"/>
      <c r="C67" s="1"/>
      <c r="D67" s="1"/>
      <c r="E67" s="1"/>
    </row>
    <row r="68" customFormat="false" ht="15" hidden="false" customHeight="true" outlineLevel="0" collapsed="false">
      <c r="A68" s="1"/>
      <c r="B68" s="1"/>
      <c r="C68" s="1"/>
      <c r="D68" s="1"/>
      <c r="E68" s="1"/>
    </row>
    <row r="69" customFormat="false" ht="15" hidden="false" customHeight="true" outlineLevel="0" collapsed="false">
      <c r="A69" s="1"/>
      <c r="B69" s="1"/>
      <c r="C69" s="1"/>
      <c r="D69" s="1"/>
      <c r="E69" s="1"/>
    </row>
  </sheetData>
  <mergeCells count="6">
    <mergeCell ref="B49:E50"/>
    <mergeCell ref="B52:E53"/>
    <mergeCell ref="B55:E56"/>
    <mergeCell ref="B58:E59"/>
    <mergeCell ref="B61:E62"/>
    <mergeCell ref="B64:E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3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6"/>
    <col collapsed="false" customWidth="true" hidden="false" outlineLevel="0" max="8" min="8" style="0" width="3"/>
    <col collapsed="false" customWidth="true" hidden="false" outlineLevel="0" max="11" min="9" style="0" width="12"/>
    <col collapsed="false" customWidth="true" hidden="false" outlineLevel="0" max="12" min="12" style="0" width="22"/>
    <col collapsed="false" customWidth="true" hidden="false" outlineLevel="0" max="14" min="13" style="0" width="12"/>
    <col collapsed="false" customWidth="true" hidden="false" outlineLevel="0" max="15" min="15" style="0" width="3"/>
    <col collapsed="false" customWidth="true" hidden="false" outlineLevel="0" max="16" min="16" style="0" width="22"/>
    <col collapsed="false" customWidth="true" hidden="false" outlineLevel="0" max="17" min="17" style="0" width="12"/>
    <col collapsed="false" customWidth="true" hidden="false" outlineLevel="0" max="18" min="18" style="0" width="3"/>
    <col collapsed="false" customWidth="true" hidden="false" outlineLevel="0" max="19" min="19" style="0" width="20"/>
    <col collapsed="false" customWidth="true" hidden="false" outlineLevel="0" max="20" min="20" style="0" width="9"/>
    <col collapsed="false" customWidth="true" hidden="false" outlineLevel="0" max="22" min="21" style="0" width="12"/>
    <col collapsed="false" customWidth="true" hidden="false" outlineLevel="0" max="23" min="23" style="0" width="3"/>
    <col collapsed="false" customWidth="true" hidden="false" outlineLevel="0" max="24" min="24" style="0" width="20"/>
    <col collapsed="false" customWidth="true" hidden="false" outlineLevel="0" max="25" min="25" style="0" width="9"/>
    <col collapsed="false" customWidth="true" hidden="false" outlineLevel="0" max="26" min="26" style="0" width="12"/>
    <col collapsed="false" customWidth="true" hidden="false" outlineLevel="0" max="27" min="27" style="0" width="3"/>
    <col collapsed="false" customWidth="true" hidden="false" outlineLevel="0" max="28" min="28" style="0" width="10"/>
    <col collapsed="false" customWidth="true" hidden="false" outlineLevel="0" max="29" min="29" style="0" width="20"/>
    <col collapsed="false" customWidth="true" hidden="false" outlineLevel="0" max="30" min="30" style="0" width="12"/>
    <col collapsed="false" customWidth="true" hidden="false" outlineLevel="0" max="31" min="31" style="0" width="9"/>
    <col collapsed="false" customWidth="true" hidden="false" outlineLevel="0" max="32" min="32" style="0" width="12"/>
    <col collapsed="false" customWidth="true" hidden="false" outlineLevel="0" max="33" min="33" style="0" width="3"/>
    <col collapsed="false" customWidth="true" hidden="false" outlineLevel="0" max="34" min="34" style="0" width="20"/>
    <col collapsed="false" customWidth="true" hidden="false" outlineLevel="0" max="35" min="35" style="0" width="12"/>
    <col collapsed="false" customWidth="true" hidden="false" outlineLevel="0" max="36" min="36" style="0" width="9"/>
  </cols>
  <sheetData>
    <row r="1" customFormat="false" ht="15" hidden="false" customHeight="false" outlineLevel="0" collapsed="false">
      <c r="A1" s="45" t="s">
        <v>111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</row>
    <row r="2" customFormat="false" ht="15" hidden="false" customHeight="false" outlineLevel="0" collapsed="false">
      <c r="A2" s="46" t="s">
        <v>112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</row>
    <row r="3" customFormat="false" ht="15" hidden="false" customHeight="false" outlineLevel="0" collapsed="false">
      <c r="A3" s="47" t="s">
        <v>113</v>
      </c>
      <c r="B3" s="48" t="str">
        <f aca="false">IF(Dashboard!$I$7="(All)","*",Dashboard!$I$7)</f>
        <v>*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</row>
    <row r="4" customFormat="false" ht="15" hidden="false" customHeight="false" outlineLevel="0" collapsed="false">
      <c r="A4" s="47" t="s">
        <v>114</v>
      </c>
      <c r="B4" s="48" t="str">
        <f aca="false">IF(Dashboard!$Z$7="(All)","*",Dashboard!$Z$7)</f>
        <v>*</v>
      </c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</row>
    <row r="5" customFormat="false" ht="15" hidden="false" customHeight="false" outlineLevel="0" collapsed="false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</row>
    <row r="6" customFormat="false" ht="15" hidden="false" customHeight="false" outlineLevel="0" collapsed="false">
      <c r="A6" s="49" t="s">
        <v>115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9" t="s">
        <v>116</v>
      </c>
      <c r="M6" s="46"/>
      <c r="N6" s="46"/>
      <c r="O6" s="46"/>
      <c r="P6" s="46"/>
      <c r="Q6" s="49" t="s">
        <v>117</v>
      </c>
      <c r="R6" s="46"/>
      <c r="S6" s="46"/>
      <c r="T6" s="49" t="s">
        <v>118</v>
      </c>
      <c r="U6" s="46"/>
      <c r="V6" s="46"/>
      <c r="W6" s="46"/>
      <c r="X6" s="46"/>
      <c r="Y6" s="49" t="s">
        <v>119</v>
      </c>
      <c r="Z6" s="46"/>
      <c r="AA6" s="46"/>
      <c r="AB6" s="46"/>
      <c r="AC6" s="49" t="s">
        <v>120</v>
      </c>
      <c r="AD6" s="46"/>
      <c r="AE6" s="46"/>
      <c r="AF6" s="46"/>
      <c r="AG6" s="46"/>
      <c r="AH6" s="46"/>
      <c r="AI6" s="49" t="s">
        <v>121</v>
      </c>
      <c r="AJ6" s="46"/>
      <c r="AK6" s="46"/>
      <c r="AL6" s="46"/>
      <c r="AM6" s="46"/>
    </row>
    <row r="7" customFormat="false" ht="15" hidden="false" customHeight="false" outlineLevel="0" collapsed="false">
      <c r="A7" s="50" t="s">
        <v>122</v>
      </c>
      <c r="B7" s="50" t="n">
        <v>1</v>
      </c>
      <c r="C7" s="51" t="n">
        <f aca="false">SUMIFS(Model!$N$2:$N$1001,Model!$J$2:$J$1001,$B$3,Model!$L$2:$L$1001,$B$4,Model!$R$2:$R$1001,$B7)</f>
        <v>95468</v>
      </c>
      <c r="D7" s="52" t="n">
        <f aca="false">COUNTIFS(Model!$J$2:$J$1001,$B$3,Model!$L$2:$L$1001,$B$4,Model!$R$2:$R$1001,$B7)</f>
        <v>34</v>
      </c>
      <c r="E7" s="51" t="n">
        <f aca="false">IFERROR($C7/$D7,0)</f>
        <v>2807.88235294118</v>
      </c>
      <c r="F7" s="50" t="n">
        <f aca="false">INDEX(Lists!$D$2:$D$13,$B7)</f>
        <v>0</v>
      </c>
      <c r="G7" s="50" t="n">
        <f aca="false">IF($F7="",0,1)</f>
        <v>0</v>
      </c>
      <c r="H7" s="46"/>
      <c r="I7" s="46"/>
      <c r="J7" s="46"/>
      <c r="K7" s="46"/>
      <c r="L7" s="50" t="n">
        <v>1</v>
      </c>
      <c r="M7" s="50" t="str">
        <f aca="false">INDEX(Products!$B$2:$B$71,MATCH($L7,Products!$A$2:$A$71,0))</f>
        <v>Magnam Set</v>
      </c>
      <c r="N7" s="51" t="n">
        <f aca="false">SUMIFS(Model!$N$2:$N$1001,Model!$J$2:$J$1001,$B$3,Model!$L$2:$L$1001,$B$4,Model!$C$2:$C$1001,$L7)</f>
        <v>121905</v>
      </c>
      <c r="O7" s="53" t="n">
        <f aca="false">$N7+ROW()/1000000</f>
        <v>121905.000007</v>
      </c>
      <c r="P7" s="46"/>
      <c r="Q7" s="50" t="str">
        <f aca="false">IF($R7=0,"—",INDEX($M$7:$M$76,MATCH(LARGE($O$7:$O$76,1),$O$7:$O$76,0)))</f>
        <v>Magnam Set</v>
      </c>
      <c r="R7" s="51" t="n">
        <f aca="false">INDEX($N$7:$N$76,MATCH(LARGE($O$7:$O$76,1),$O$7:$O$76,0))</f>
        <v>121905</v>
      </c>
      <c r="S7" s="46"/>
      <c r="T7" s="50" t="s">
        <v>123</v>
      </c>
      <c r="U7" s="52" t="n">
        <f aca="false">COUNTIFS(Model!$J$2:$J$1001,$B$3,Model!$L$2:$L$1001,$B$4,Model!$I$2:$I$1001,$T7)</f>
        <v>3</v>
      </c>
      <c r="V7" s="51" t="n">
        <f aca="false">SUMIFS(Model!$N$2:$N$1001,Model!$J$2:$J$1001,$B$3,Model!$L$2:$L$1001,$B$4,Model!$I$2:$I$1001,$T7)</f>
        <v>9419</v>
      </c>
      <c r="W7" s="54" t="n">
        <f aca="false">$U7+$V7/1000000000+ROW()/1000000000000</f>
        <v>3.000009419007</v>
      </c>
      <c r="X7" s="46"/>
      <c r="Y7" s="50" t="str">
        <f aca="false">IF($Z7=0,"—",INDEX($T$7:$T$307,MATCH(LARGE($W$7:$W$307,1),$W$7:$W$307,0)))</f>
        <v>Ghaziabad</v>
      </c>
      <c r="Z7" s="52" t="n">
        <f aca="false">INDEX($U$7:$U$307,MATCH(LARGE($W$7:$W$307,1),$W$7:$W$307,0))</f>
        <v>9</v>
      </c>
      <c r="AA7" s="51" t="n">
        <f aca="false">INDEX($V$7:$V$307,MATCH(LARGE($W$7:$W$307,1),$W$7:$W$307,0))</f>
        <v>37820</v>
      </c>
      <c r="AB7" s="46"/>
      <c r="AC7" s="50" t="s">
        <v>124</v>
      </c>
      <c r="AD7" s="50" t="str">
        <f aca="false">INDEX(Customers!$B$2:$B$101,MATCH($AC7,Customers!$A$2:$A$101,0))</f>
        <v>Tara Krishnan</v>
      </c>
      <c r="AE7" s="51" t="n">
        <f aca="false">SUMIFS(Model!$N$2:$N$1001,Model!$J$2:$J$1001,$B$3,Model!$L$2:$L$1001,$B$4,Model!$B$2:$B$1001,$AC7)</f>
        <v>9095</v>
      </c>
      <c r="AF7" s="52" t="n">
        <f aca="false">COUNTIFS(Model!$J$2:$J$1001,$B$3,Model!$L$2:$L$1001,$B$4,Model!$B$2:$B$1001,$AC7)</f>
        <v>5</v>
      </c>
      <c r="AG7" s="53" t="n">
        <f aca="false">$AE7+ROW()/1000000</f>
        <v>9095.000007</v>
      </c>
      <c r="AH7" s="46"/>
      <c r="AI7" s="50" t="str">
        <f aca="false">IF($AJ7=0,"—",INDEX($AD$7:$AD$106,MATCH(LARGE($AG$7:$AG$106,1),$AG$7:$AG$106,0)))</f>
        <v>Samaira Ganesh</v>
      </c>
      <c r="AJ7" s="51" t="n">
        <f aca="false">INDEX($AE$7:$AE$106,MATCH(LARGE($AG$7:$AG$106,1),$AG$7:$AG$106,0))</f>
        <v>75029</v>
      </c>
      <c r="AK7" s="52" t="n">
        <f aca="false">INDEX($AF$7:$AF$106,MATCH(LARGE($AG$7:$AG$106,1),$AG$7:$AG$106,0))</f>
        <v>16</v>
      </c>
      <c r="AL7" s="46"/>
      <c r="AM7" s="46"/>
    </row>
    <row r="8" customFormat="false" ht="15" hidden="false" customHeight="false" outlineLevel="0" collapsed="false">
      <c r="A8" s="2" t="s">
        <v>125</v>
      </c>
      <c r="B8" s="2" t="n">
        <v>2</v>
      </c>
      <c r="C8" s="55" t="n">
        <f aca="false">SUMIFS(Model!$N$2:$N$1001,Model!$J$2:$J$1001,$B$3,Model!$L$2:$L$1001,$B$4,Model!$R$2:$R$1001,$B8)</f>
        <v>704509</v>
      </c>
      <c r="D8" s="56" t="n">
        <f aca="false">COUNTIFS(Model!$J$2:$J$1001,$B$3,Model!$L$2:$L$1001,$B$4,Model!$R$2:$R$1001,$B8)</f>
        <v>213</v>
      </c>
      <c r="E8" s="55" t="n">
        <f aca="false">IFERROR($C8/$D8,0)</f>
        <v>3307.55399061033</v>
      </c>
      <c r="F8" s="2" t="str">
        <f aca="false">INDEX(Lists!$D$2:$D$13,$B8)</f>
        <v>Valentine's Day</v>
      </c>
      <c r="G8" s="2" t="n">
        <f aca="false">IF($F8="",0,1)</f>
        <v>1</v>
      </c>
      <c r="H8" s="46"/>
      <c r="I8" s="46"/>
      <c r="J8" s="46"/>
      <c r="K8" s="46"/>
      <c r="L8" s="2" t="n">
        <v>2</v>
      </c>
      <c r="M8" s="2" t="str">
        <f aca="false">INDEX(Products!$B$2:$B$71,MATCH($L8,Products!$A$2:$A$71,0))</f>
        <v>Voluptas Box</v>
      </c>
      <c r="N8" s="55" t="n">
        <f aca="false">SUMIFS(Model!$N$2:$N$1001,Model!$J$2:$J$1001,$B$3,Model!$L$2:$L$1001,$B$4,Model!$C$2:$C$1001,$L8)</f>
        <v>9261</v>
      </c>
      <c r="O8" s="57" t="n">
        <f aca="false">$N8+ROW()/1000000</f>
        <v>9261.000008</v>
      </c>
      <c r="P8" s="46"/>
      <c r="Q8" s="2" t="str">
        <f aca="false">IF($R8=0,"—",INDEX($M$7:$M$76,MATCH(LARGE($O$7:$O$76,2),$O$7:$O$76,0)))</f>
        <v>Dolores Gift</v>
      </c>
      <c r="R8" s="55" t="n">
        <f aca="false">INDEX($N$7:$N$76,MATCH(LARGE($O$7:$O$76,2),$O$7:$O$76,0))</f>
        <v>106624</v>
      </c>
      <c r="S8" s="46"/>
      <c r="T8" s="2" t="s">
        <v>126</v>
      </c>
      <c r="U8" s="56" t="n">
        <f aca="false">COUNTIFS(Model!$J$2:$J$1001,$B$3,Model!$L$2:$L$1001,$B$4,Model!$I$2:$I$1001,$T8)</f>
        <v>4</v>
      </c>
      <c r="V8" s="55" t="n">
        <f aca="false">SUMIFS(Model!$N$2:$N$1001,Model!$J$2:$J$1001,$B$3,Model!$L$2:$L$1001,$B$4,Model!$I$2:$I$1001,$T8)</f>
        <v>13403</v>
      </c>
      <c r="W8" s="58" t="n">
        <f aca="false">$U8+$V8/1000000000+ROW()/1000000000000</f>
        <v>4.000013403008</v>
      </c>
      <c r="X8" s="46"/>
      <c r="Y8" s="2" t="str">
        <f aca="false">IF($Z8=0,"—",INDEX($T$7:$T$307,MATCH(LARGE($W$7:$W$307,2),$W$7:$W$307,0)))</f>
        <v>Bareilly</v>
      </c>
      <c r="Z8" s="56" t="n">
        <f aca="false">INDEX($U$7:$U$307,MATCH(LARGE($W$7:$W$307,2),$W$7:$W$307,0))</f>
        <v>9</v>
      </c>
      <c r="AA8" s="55" t="n">
        <f aca="false">INDEX($V$7:$V$307,MATCH(LARGE($W$7:$W$307,2),$W$7:$W$307,0))</f>
        <v>30626</v>
      </c>
      <c r="AB8" s="46"/>
      <c r="AC8" s="2" t="s">
        <v>127</v>
      </c>
      <c r="AD8" s="2" t="str">
        <f aca="false">INDEX(Customers!$B$2:$B$101,MATCH($AC8,Customers!$A$2:$A$101,0))</f>
        <v>Myra Edwin</v>
      </c>
      <c r="AE8" s="55" t="n">
        <f aca="false">SUMIFS(Model!$N$2:$N$1001,Model!$J$2:$J$1001,$B$3,Model!$L$2:$L$1001,$B$4,Model!$B$2:$B$1001,$AC8)</f>
        <v>23860</v>
      </c>
      <c r="AF8" s="56" t="n">
        <f aca="false">COUNTIFS(Model!$J$2:$J$1001,$B$3,Model!$L$2:$L$1001,$B$4,Model!$B$2:$B$1001,$AC8)</f>
        <v>8</v>
      </c>
      <c r="AG8" s="57" t="n">
        <f aca="false">$AE8+ROW()/1000000</f>
        <v>23860.000008</v>
      </c>
      <c r="AH8" s="46"/>
      <c r="AI8" s="2" t="str">
        <f aca="false">IF($AJ8=0,"—",INDEX($AD$7:$AD$106,MATCH(LARGE($AG$7:$AG$106,2),$AG$7:$AG$106,0)))</f>
        <v>Seher Mann</v>
      </c>
      <c r="AJ8" s="55" t="n">
        <f aca="false">INDEX($AE$7:$AE$106,MATCH(LARGE($AG$7:$AG$106,2),$AG$7:$AG$106,0))</f>
        <v>70409</v>
      </c>
      <c r="AK8" s="56" t="n">
        <f aca="false">INDEX($AF$7:$AF$106,MATCH(LARGE($AG$7:$AG$106,2),$AG$7:$AG$106,0))</f>
        <v>17</v>
      </c>
      <c r="AL8" s="46"/>
      <c r="AM8" s="46"/>
    </row>
    <row r="9" customFormat="false" ht="15" hidden="false" customHeight="false" outlineLevel="0" collapsed="false">
      <c r="A9" s="2" t="s">
        <v>128</v>
      </c>
      <c r="B9" s="2" t="n">
        <v>3</v>
      </c>
      <c r="C9" s="55" t="n">
        <f aca="false">SUMIFS(Model!$N$2:$N$1001,Model!$J$2:$J$1001,$B$3,Model!$L$2:$L$1001,$B$4,Model!$R$2:$R$1001,$B9)</f>
        <v>511823</v>
      </c>
      <c r="D9" s="56" t="n">
        <f aca="false">COUNTIFS(Model!$J$2:$J$1001,$B$3,Model!$L$2:$L$1001,$B$4,Model!$R$2:$R$1001,$B9)</f>
        <v>166</v>
      </c>
      <c r="E9" s="55" t="n">
        <f aca="false">IFERROR($C9/$D9,0)</f>
        <v>3083.27108433735</v>
      </c>
      <c r="F9" s="2" t="str">
        <f aca="false">INDEX(Lists!$D$2:$D$13,$B9)</f>
        <v>Holi</v>
      </c>
      <c r="G9" s="2" t="n">
        <f aca="false">IF($F9="",0,1)</f>
        <v>1</v>
      </c>
      <c r="H9" s="46"/>
      <c r="I9" s="46"/>
      <c r="J9" s="46"/>
      <c r="K9" s="46"/>
      <c r="L9" s="2" t="n">
        <v>3</v>
      </c>
      <c r="M9" s="2" t="str">
        <f aca="false">INDEX(Products!$B$2:$B$71,MATCH($L9,Products!$A$2:$A$71,0))</f>
        <v>Eius Gift</v>
      </c>
      <c r="N9" s="55" t="n">
        <f aca="false">SUMIFS(Model!$N$2:$N$1001,Model!$J$2:$J$1001,$B$3,Model!$L$2:$L$1001,$B$4,Model!$C$2:$C$1001,$L9)</f>
        <v>85904</v>
      </c>
      <c r="O9" s="57" t="n">
        <f aca="false">$N9+ROW()/1000000</f>
        <v>85904.000009</v>
      </c>
      <c r="P9" s="46"/>
      <c r="Q9" s="2" t="str">
        <f aca="false">IF($R9=0,"—",INDEX($M$7:$M$76,MATCH(LARGE($O$7:$O$76,3),$O$7:$O$76,0)))</f>
        <v>Harum Pack</v>
      </c>
      <c r="R9" s="55" t="n">
        <f aca="false">INDEX($N$7:$N$76,MATCH(LARGE($O$7:$O$76,3),$O$7:$O$76,0))</f>
        <v>101556</v>
      </c>
      <c r="S9" s="46"/>
      <c r="T9" s="2" t="s">
        <v>129</v>
      </c>
      <c r="U9" s="56" t="n">
        <f aca="false">COUNTIFS(Model!$J$2:$J$1001,$B$3,Model!$L$2:$L$1001,$B$4,Model!$I$2:$I$1001,$T9)</f>
        <v>3</v>
      </c>
      <c r="V9" s="55" t="n">
        <f aca="false">SUMIFS(Model!$N$2:$N$1001,Model!$J$2:$J$1001,$B$3,Model!$L$2:$L$1001,$B$4,Model!$I$2:$I$1001,$T9)</f>
        <v>6828</v>
      </c>
      <c r="W9" s="58" t="n">
        <f aca="false">$U9+$V9/1000000000+ROW()/1000000000000</f>
        <v>3.000006828009</v>
      </c>
      <c r="X9" s="46"/>
      <c r="Y9" s="2" t="str">
        <f aca="false">IF($Z9=0,"—",INDEX($T$7:$T$307,MATCH(LARGE($W$7:$W$307,3),$W$7:$W$307,0)))</f>
        <v>Bhilai</v>
      </c>
      <c r="Z9" s="56" t="n">
        <f aca="false">INDEX($U$7:$U$307,MATCH(LARGE($W$7:$W$307,3),$W$7:$W$307,0))</f>
        <v>8</v>
      </c>
      <c r="AA9" s="55" t="n">
        <f aca="false">INDEX($V$7:$V$307,MATCH(LARGE($W$7:$W$307,3),$W$7:$W$307,0))</f>
        <v>36141</v>
      </c>
      <c r="AB9" s="46"/>
      <c r="AC9" s="2" t="s">
        <v>130</v>
      </c>
      <c r="AD9" s="2" t="str">
        <f aca="false">INDEX(Customers!$B$2:$B$101,MATCH($AC9,Customers!$A$2:$A$101,0))</f>
        <v>Jayesh Lanka</v>
      </c>
      <c r="AE9" s="55" t="n">
        <f aca="false">SUMIFS(Model!$N$2:$N$1001,Model!$J$2:$J$1001,$B$3,Model!$L$2:$L$1001,$B$4,Model!$B$2:$B$1001,$AC9)</f>
        <v>34871</v>
      </c>
      <c r="AF9" s="56" t="n">
        <f aca="false">COUNTIFS(Model!$J$2:$J$1001,$B$3,Model!$L$2:$L$1001,$B$4,Model!$B$2:$B$1001,$AC9)</f>
        <v>10</v>
      </c>
      <c r="AG9" s="57" t="n">
        <f aca="false">$AE9+ROW()/1000000</f>
        <v>34871.000009</v>
      </c>
      <c r="AH9" s="46"/>
      <c r="AI9" s="2" t="str">
        <f aca="false">IF($AJ9=0,"—",INDEX($AD$7:$AD$106,MATCH(LARGE($AG$7:$AG$106,3),$AG$7:$AG$106,0)))</f>
        <v>Divit Mahajan</v>
      </c>
      <c r="AJ9" s="55" t="n">
        <f aca="false">INDEX($AE$7:$AE$106,MATCH(LARGE($AG$7:$AG$106,3),$AG$7:$AG$106,0))</f>
        <v>61294</v>
      </c>
      <c r="AK9" s="56" t="n">
        <f aca="false">INDEX($AF$7:$AF$106,MATCH(LARGE($AG$7:$AG$106,3),$AG$7:$AG$106,0))</f>
        <v>15</v>
      </c>
      <c r="AL9" s="46"/>
      <c r="AM9" s="46"/>
    </row>
    <row r="10" customFormat="false" ht="15" hidden="false" customHeight="false" outlineLevel="0" collapsed="false">
      <c r="A10" s="2" t="s">
        <v>131</v>
      </c>
      <c r="B10" s="2" t="n">
        <v>4</v>
      </c>
      <c r="C10" s="55" t="n">
        <f aca="false">SUMIFS(Model!$N$2:$N$1001,Model!$J$2:$J$1001,$B$3,Model!$L$2:$L$1001,$B$4,Model!$R$2:$R$1001,$B10)</f>
        <v>140393</v>
      </c>
      <c r="D10" s="56" t="n">
        <f aca="false">COUNTIFS(Model!$J$2:$J$1001,$B$3,Model!$L$2:$L$1001,$B$4,Model!$R$2:$R$1001,$B10)</f>
        <v>40</v>
      </c>
      <c r="E10" s="55" t="n">
        <f aca="false">IFERROR($C10/$D10,0)</f>
        <v>3509.825</v>
      </c>
      <c r="F10" s="2" t="n">
        <f aca="false">INDEX(Lists!$D$2:$D$13,$B10)</f>
        <v>0</v>
      </c>
      <c r="G10" s="2" t="n">
        <f aca="false">IF($F10="",0,1)</f>
        <v>0</v>
      </c>
      <c r="H10" s="46"/>
      <c r="I10" s="46"/>
      <c r="J10" s="46"/>
      <c r="K10" s="46"/>
      <c r="L10" s="2" t="n">
        <v>4</v>
      </c>
      <c r="M10" s="2" t="str">
        <f aca="false">INDEX(Products!$B$2:$B$71,MATCH($L10,Products!$A$2:$A$71,0))</f>
        <v>Accusantium Set</v>
      </c>
      <c r="N10" s="55" t="n">
        <f aca="false">SUMIFS(Model!$N$2:$N$1001,Model!$J$2:$J$1001,$B$3,Model!$L$2:$L$1001,$B$4,Model!$C$2:$C$1001,$L10)</f>
        <v>61149</v>
      </c>
      <c r="O10" s="57" t="n">
        <f aca="false">$N10+ROW()/1000000</f>
        <v>61149.00001</v>
      </c>
      <c r="P10" s="46"/>
      <c r="Q10" s="2" t="str">
        <f aca="false">IF($R10=0,"—",INDEX($M$7:$M$76,MATCH(LARGE($O$7:$O$76,4),$O$7:$O$76,0)))</f>
        <v>Deserunt Box</v>
      </c>
      <c r="R10" s="55" t="n">
        <f aca="false">INDEX($N$7:$N$76,MATCH(LARGE($O$7:$O$76,4),$O$7:$O$76,0))</f>
        <v>97665</v>
      </c>
      <c r="S10" s="46"/>
      <c r="T10" s="2" t="s">
        <v>132</v>
      </c>
      <c r="U10" s="56" t="n">
        <f aca="false">COUNTIFS(Model!$J$2:$J$1001,$B$3,Model!$L$2:$L$1001,$B$4,Model!$I$2:$I$1001,$T10)</f>
        <v>6</v>
      </c>
      <c r="V10" s="55" t="n">
        <f aca="false">SUMIFS(Model!$N$2:$N$1001,Model!$J$2:$J$1001,$B$3,Model!$L$2:$L$1001,$B$4,Model!$I$2:$I$1001,$T10)</f>
        <v>29560</v>
      </c>
      <c r="W10" s="58" t="n">
        <f aca="false">$U10+$V10/1000000000+ROW()/1000000000000</f>
        <v>6.00002956001</v>
      </c>
      <c r="X10" s="46"/>
      <c r="Y10" s="2" t="str">
        <f aca="false">IF($Z10=0,"—",INDEX($T$7:$T$307,MATCH(LARGE($W$7:$W$307,4),$W$7:$W$307,0)))</f>
        <v>Hazaribagh</v>
      </c>
      <c r="Z10" s="56" t="n">
        <f aca="false">INDEX($U$7:$U$307,MATCH(LARGE($W$7:$W$307,4),$W$7:$W$307,0))</f>
        <v>7</v>
      </c>
      <c r="AA10" s="55" t="n">
        <f aca="false">INDEX($V$7:$V$307,MATCH(LARGE($W$7:$W$307,4),$W$7:$W$307,0))</f>
        <v>34167</v>
      </c>
      <c r="AB10" s="46"/>
      <c r="AC10" s="2" t="s">
        <v>133</v>
      </c>
      <c r="AD10" s="2" t="str">
        <f aca="false">INDEX(Customers!$B$2:$B$101,MATCH($AC10,Customers!$A$2:$A$101,0))</f>
        <v>Tarini Bava</v>
      </c>
      <c r="AE10" s="55" t="n">
        <f aca="false">SUMIFS(Model!$N$2:$N$1001,Model!$J$2:$J$1001,$B$3,Model!$L$2:$L$1001,$B$4,Model!$B$2:$B$1001,$AC10)</f>
        <v>35894</v>
      </c>
      <c r="AF10" s="56" t="n">
        <f aca="false">COUNTIFS(Model!$J$2:$J$1001,$B$3,Model!$L$2:$L$1001,$B$4,Model!$B$2:$B$1001,$AC10)</f>
        <v>11</v>
      </c>
      <c r="AG10" s="57" t="n">
        <f aca="false">$AE10+ROW()/1000000</f>
        <v>35894.00001</v>
      </c>
      <c r="AH10" s="46"/>
      <c r="AI10" s="2" t="str">
        <f aca="false">IF($AJ10=0,"—",INDEX($AD$7:$AD$106,MATCH(LARGE($AG$7:$AG$106,4),$AG$7:$AG$106,0)))</f>
        <v>Jhanvi Chowdhury</v>
      </c>
      <c r="AJ10" s="55" t="n">
        <f aca="false">INDEX($AE$7:$AE$106,MATCH(LARGE($AG$7:$AG$106,4),$AG$7:$AG$106,0))</f>
        <v>59666</v>
      </c>
      <c r="AK10" s="56" t="n">
        <f aca="false">INDEX($AF$7:$AF$106,MATCH(LARGE($AG$7:$AG$106,4),$AG$7:$AG$106,0))</f>
        <v>14</v>
      </c>
      <c r="AL10" s="46"/>
      <c r="AM10" s="46"/>
    </row>
    <row r="11" customFormat="false" ht="15" hidden="false" customHeight="false" outlineLevel="0" collapsed="false">
      <c r="A11" s="2" t="s">
        <v>134</v>
      </c>
      <c r="B11" s="2" t="n">
        <v>5</v>
      </c>
      <c r="C11" s="55" t="n">
        <f aca="false">SUMIFS(Model!$N$2:$N$1001,Model!$J$2:$J$1001,$B$3,Model!$L$2:$L$1001,$B$4,Model!$R$2:$R$1001,$B11)</f>
        <v>150346</v>
      </c>
      <c r="D11" s="56" t="n">
        <f aca="false">COUNTIFS(Model!$J$2:$J$1001,$B$3,Model!$L$2:$L$1001,$B$4,Model!$R$2:$R$1001,$B11)</f>
        <v>43</v>
      </c>
      <c r="E11" s="55" t="n">
        <f aca="false">IFERROR($C11/$D11,0)</f>
        <v>3496.41860465116</v>
      </c>
      <c r="F11" s="2" t="n">
        <f aca="false">INDEX(Lists!$D$2:$D$13,$B11)</f>
        <v>0</v>
      </c>
      <c r="G11" s="2" t="n">
        <f aca="false">IF($F11="",0,1)</f>
        <v>0</v>
      </c>
      <c r="H11" s="46"/>
      <c r="I11" s="46"/>
      <c r="J11" s="46"/>
      <c r="K11" s="46"/>
      <c r="L11" s="2" t="n">
        <v>5</v>
      </c>
      <c r="M11" s="2" t="str">
        <f aca="false">INDEX(Products!$B$2:$B$71,MATCH($L11,Products!$A$2:$A$71,0))</f>
        <v>Natus Gift</v>
      </c>
      <c r="N11" s="55" t="n">
        <f aca="false">SUMIFS(Model!$N$2:$N$1001,Model!$J$2:$J$1001,$B$3,Model!$L$2:$L$1001,$B$4,Model!$C$2:$C$1001,$L11)</f>
        <v>31768</v>
      </c>
      <c r="O11" s="57" t="n">
        <f aca="false">$N11+ROW()/1000000</f>
        <v>31768.000011</v>
      </c>
      <c r="P11" s="46"/>
      <c r="Q11" s="2" t="str">
        <f aca="false">IF($R11=0,"—",INDEX($M$7:$M$76,MATCH(LARGE($O$7:$O$76,5),$O$7:$O$76,0)))</f>
        <v>Nostrum Box</v>
      </c>
      <c r="R11" s="55" t="n">
        <f aca="false">INDEX($N$7:$N$76,MATCH(LARGE($O$7:$O$76,5),$O$7:$O$76,0))</f>
        <v>97656</v>
      </c>
      <c r="S11" s="46"/>
      <c r="T11" s="2" t="s">
        <v>135</v>
      </c>
      <c r="U11" s="56" t="n">
        <f aca="false">COUNTIFS(Model!$J$2:$J$1001,$B$3,Model!$L$2:$L$1001,$B$4,Model!$I$2:$I$1001,$T11)</f>
        <v>3</v>
      </c>
      <c r="V11" s="55" t="n">
        <f aca="false">SUMIFS(Model!$N$2:$N$1001,Model!$J$2:$J$1001,$B$3,Model!$L$2:$L$1001,$B$4,Model!$I$2:$I$1001,$T11)</f>
        <v>9174</v>
      </c>
      <c r="W11" s="58" t="n">
        <f aca="false">$U11+$V11/1000000000+ROW()/1000000000000</f>
        <v>3.000009174011</v>
      </c>
      <c r="X11" s="46"/>
      <c r="Y11" s="2" t="str">
        <f aca="false">IF($Z11=0,"—",INDEX($T$7:$T$307,MATCH(LARGE($W$7:$W$307,5),$W$7:$W$307,0)))</f>
        <v>Satara</v>
      </c>
      <c r="Z11" s="56" t="n">
        <f aca="false">INDEX($U$7:$U$307,MATCH(LARGE($W$7:$W$307,5),$W$7:$W$307,0))</f>
        <v>7</v>
      </c>
      <c r="AA11" s="55" t="n">
        <f aca="false">INDEX($V$7:$V$307,MATCH(LARGE($W$7:$W$307,5),$W$7:$W$307,0))</f>
        <v>27857</v>
      </c>
      <c r="AB11" s="46"/>
      <c r="AC11" s="2" t="s">
        <v>136</v>
      </c>
      <c r="AD11" s="2" t="str">
        <f aca="false">INDEX(Customers!$B$2:$B$101,MATCH($AC11,Customers!$A$2:$A$101,0))</f>
        <v>Hiran Kaul</v>
      </c>
      <c r="AE11" s="55" t="n">
        <f aca="false">SUMIFS(Model!$N$2:$N$1001,Model!$J$2:$J$1001,$B$3,Model!$L$2:$L$1001,$B$4,Model!$B$2:$B$1001,$AC11)</f>
        <v>8403</v>
      </c>
      <c r="AF11" s="56" t="n">
        <f aca="false">COUNTIFS(Model!$J$2:$J$1001,$B$3,Model!$L$2:$L$1001,$B$4,Model!$B$2:$B$1001,$AC11)</f>
        <v>4</v>
      </c>
      <c r="AG11" s="57" t="n">
        <f aca="false">$AE11+ROW()/1000000</f>
        <v>8403.000011</v>
      </c>
      <c r="AH11" s="46"/>
      <c r="AI11" s="2" t="str">
        <f aca="false">IF($AJ11=0,"—",INDEX($AD$7:$AD$106,MATCH(LARGE($AG$7:$AG$106,5),$AG$7:$AG$106,0)))</f>
        <v>Ranbir Loyal</v>
      </c>
      <c r="AJ11" s="55" t="n">
        <f aca="false">INDEX($AE$7:$AE$106,MATCH(LARGE($AG$7:$AG$106,5),$AG$7:$AG$106,0))</f>
        <v>53082</v>
      </c>
      <c r="AK11" s="56" t="n">
        <f aca="false">INDEX($AF$7:$AF$106,MATCH(LARGE($AG$7:$AG$106,5),$AG$7:$AG$106,0))</f>
        <v>17</v>
      </c>
      <c r="AL11" s="46"/>
      <c r="AM11" s="46"/>
    </row>
    <row r="12" customFormat="false" ht="15" hidden="false" customHeight="false" outlineLevel="0" collapsed="false">
      <c r="A12" s="2" t="s">
        <v>137</v>
      </c>
      <c r="B12" s="2" t="n">
        <v>6</v>
      </c>
      <c r="C12" s="55" t="n">
        <f aca="false">SUMIFS(Model!$N$2:$N$1001,Model!$J$2:$J$1001,$B$3,Model!$L$2:$L$1001,$B$4,Model!$R$2:$R$1001,$B12)</f>
        <v>157913</v>
      </c>
      <c r="D12" s="56" t="n">
        <f aca="false">COUNTIFS(Model!$J$2:$J$1001,$B$3,Model!$L$2:$L$1001,$B$4,Model!$R$2:$R$1001,$B12)</f>
        <v>45</v>
      </c>
      <c r="E12" s="55" t="n">
        <f aca="false">IFERROR($C12/$D12,0)</f>
        <v>3509.17777777778</v>
      </c>
      <c r="F12" s="2" t="n">
        <f aca="false">INDEX(Lists!$D$2:$D$13,$B12)</f>
        <v>0</v>
      </c>
      <c r="G12" s="2" t="n">
        <f aca="false">IF($F12="",0,1)</f>
        <v>0</v>
      </c>
      <c r="H12" s="46"/>
      <c r="I12" s="46"/>
      <c r="J12" s="46"/>
      <c r="K12" s="46"/>
      <c r="L12" s="2" t="n">
        <v>6</v>
      </c>
      <c r="M12" s="2" t="str">
        <f aca="false">INDEX(Products!$B$2:$B$71,MATCH($L12,Products!$A$2:$A$71,0))</f>
        <v>Quos Box</v>
      </c>
      <c r="N12" s="55" t="n">
        <f aca="false">SUMIFS(Model!$N$2:$N$1001,Model!$J$2:$J$1001,$B$3,Model!$L$2:$L$1001,$B$4,Model!$C$2:$C$1001,$L12)</f>
        <v>56712</v>
      </c>
      <c r="O12" s="57" t="n">
        <f aca="false">$N12+ROW()/1000000</f>
        <v>56712.000012</v>
      </c>
      <c r="P12" s="46"/>
      <c r="Q12" s="2" t="str">
        <f aca="false">IF($R12=0,"—",INDEX($M$7:$M$76,MATCH(LARGE($O$7:$O$76,6),$O$7:$O$76,0)))</f>
        <v>Exercitationem Pack</v>
      </c>
      <c r="R12" s="55" t="n">
        <f aca="false">INDEX($N$7:$N$76,MATCH(LARGE($O$7:$O$76,6),$O$7:$O$76,0))</f>
        <v>96701</v>
      </c>
      <c r="S12" s="46"/>
      <c r="T12" s="2" t="s">
        <v>138</v>
      </c>
      <c r="U12" s="56" t="n">
        <f aca="false">COUNTIFS(Model!$J$2:$J$1001,$B$3,Model!$L$2:$L$1001,$B$4,Model!$I$2:$I$1001,$T12)</f>
        <v>1</v>
      </c>
      <c r="V12" s="55" t="n">
        <f aca="false">SUMIFS(Model!$N$2:$N$1001,Model!$J$2:$J$1001,$B$3,Model!$L$2:$L$1001,$B$4,Model!$I$2:$I$1001,$T12)</f>
        <v>289</v>
      </c>
      <c r="W12" s="58" t="n">
        <f aca="false">$U12+$V12/1000000000+ROW()/1000000000000</f>
        <v>1.000000289012</v>
      </c>
      <c r="X12" s="46"/>
      <c r="Y12" s="2" t="str">
        <f aca="false">IF($Z12=0,"—",INDEX($T$7:$T$307,MATCH(LARGE($W$7:$W$307,6),$W$7:$W$307,0)))</f>
        <v>Khammam</v>
      </c>
      <c r="Z12" s="56" t="n">
        <f aca="false">INDEX($U$7:$U$307,MATCH(LARGE($W$7:$W$307,6),$W$7:$W$307,0))</f>
        <v>7</v>
      </c>
      <c r="AA12" s="55" t="n">
        <f aca="false">INDEX($V$7:$V$307,MATCH(LARGE($W$7:$W$307,6),$W$7:$W$307,0))</f>
        <v>27624</v>
      </c>
      <c r="AB12" s="46"/>
      <c r="AC12" s="2" t="s">
        <v>139</v>
      </c>
      <c r="AD12" s="2" t="str">
        <f aca="false">INDEX(Customers!$B$2:$B$101,MATCH($AC12,Customers!$A$2:$A$101,0))</f>
        <v>Rania Mann</v>
      </c>
      <c r="AE12" s="55" t="n">
        <f aca="false">SUMIFS(Model!$N$2:$N$1001,Model!$J$2:$J$1001,$B$3,Model!$L$2:$L$1001,$B$4,Model!$B$2:$B$1001,$AC12)</f>
        <v>35959</v>
      </c>
      <c r="AF12" s="56" t="n">
        <f aca="false">COUNTIFS(Model!$J$2:$J$1001,$B$3,Model!$L$2:$L$1001,$B$4,Model!$B$2:$B$1001,$AC12)</f>
        <v>10</v>
      </c>
      <c r="AG12" s="57" t="n">
        <f aca="false">$AE12+ROW()/1000000</f>
        <v>35959.000012</v>
      </c>
      <c r="AH12" s="46"/>
      <c r="AI12" s="2" t="str">
        <f aca="false">IF($AJ12=0,"—",INDEX($AD$7:$AD$106,MATCH(LARGE($AG$7:$AG$106,6),$AG$7:$AG$106,0)))</f>
        <v>Aradhya Batta</v>
      </c>
      <c r="AJ12" s="55" t="n">
        <f aca="false">INDEX($AE$7:$AE$106,MATCH(LARGE($AG$7:$AG$106,6),$AG$7:$AG$106,0))</f>
        <v>50856</v>
      </c>
      <c r="AK12" s="56" t="n">
        <f aca="false">INDEX($AF$7:$AF$106,MATCH(LARGE($AG$7:$AG$106,6),$AG$7:$AG$106,0))</f>
        <v>14</v>
      </c>
      <c r="AL12" s="46"/>
      <c r="AM12" s="46"/>
    </row>
    <row r="13" customFormat="false" ht="15" hidden="false" customHeight="false" outlineLevel="0" collapsed="false">
      <c r="A13" s="2" t="s">
        <v>140</v>
      </c>
      <c r="B13" s="2" t="n">
        <v>7</v>
      </c>
      <c r="C13" s="55" t="n">
        <f aca="false">SUMIFS(Model!$N$2:$N$1001,Model!$J$2:$J$1001,$B$3,Model!$L$2:$L$1001,$B$4,Model!$R$2:$R$1001,$B13)</f>
        <v>135826</v>
      </c>
      <c r="D13" s="56" t="n">
        <f aca="false">COUNTIFS(Model!$J$2:$J$1001,$B$3,Model!$L$2:$L$1001,$B$4,Model!$R$2:$R$1001,$B13)</f>
        <v>39</v>
      </c>
      <c r="E13" s="55" t="n">
        <f aca="false">IFERROR($C13/$D13,0)</f>
        <v>3482.71794871795</v>
      </c>
      <c r="F13" s="2" t="n">
        <f aca="false">INDEX(Lists!$D$2:$D$13,$B13)</f>
        <v>0</v>
      </c>
      <c r="G13" s="2" t="n">
        <f aca="false">IF($F13="",0,1)</f>
        <v>0</v>
      </c>
      <c r="H13" s="46"/>
      <c r="I13" s="46"/>
      <c r="J13" s="46"/>
      <c r="K13" s="46"/>
      <c r="L13" s="2" t="n">
        <v>7</v>
      </c>
      <c r="M13" s="2" t="str">
        <f aca="false">INDEX(Products!$B$2:$B$71,MATCH($L13,Products!$A$2:$A$71,0))</f>
        <v>Quos Set</v>
      </c>
      <c r="N13" s="55" t="n">
        <f aca="false">SUMIFS(Model!$N$2:$N$1001,Model!$J$2:$J$1001,$B$3,Model!$L$2:$L$1001,$B$4,Model!$C$2:$C$1001,$L13)</f>
        <v>24131</v>
      </c>
      <c r="O13" s="57" t="n">
        <f aca="false">$N13+ROW()/1000000</f>
        <v>24131.000013</v>
      </c>
      <c r="P13" s="46"/>
      <c r="Q13" s="2" t="str">
        <f aca="false">IF($R13=0,"—",INDEX($M$7:$M$76,MATCH(LARGE($O$7:$O$76,7),$O$7:$O$76,0)))</f>
        <v>Nam Gift</v>
      </c>
      <c r="R13" s="55" t="n">
        <f aca="false">INDEX($N$7:$N$76,MATCH(LARGE($O$7:$O$76,7),$O$7:$O$76,0))</f>
        <v>91385</v>
      </c>
      <c r="S13" s="46"/>
      <c r="T13" s="2" t="s">
        <v>141</v>
      </c>
      <c r="U13" s="56" t="n">
        <f aca="false">COUNTIFS(Model!$J$2:$J$1001,$B$3,Model!$L$2:$L$1001,$B$4,Model!$I$2:$I$1001,$T13)</f>
        <v>2</v>
      </c>
      <c r="V13" s="55" t="n">
        <f aca="false">SUMIFS(Model!$N$2:$N$1001,Model!$J$2:$J$1001,$B$3,Model!$L$2:$L$1001,$B$4,Model!$I$2:$I$1001,$T13)</f>
        <v>13423</v>
      </c>
      <c r="W13" s="58" t="n">
        <f aca="false">$U13+$V13/1000000000+ROW()/1000000000000</f>
        <v>2.000013423013</v>
      </c>
      <c r="X13" s="46"/>
      <c r="Y13" s="2" t="str">
        <f aca="false">IF($Z13=0,"—",INDEX($T$7:$T$307,MATCH(LARGE($W$7:$W$307,7),$W$7:$W$307,0)))</f>
        <v>Darbhanga</v>
      </c>
      <c r="Z13" s="56" t="n">
        <f aca="false">INDEX($U$7:$U$307,MATCH(LARGE($W$7:$W$307,7),$W$7:$W$307,0))</f>
        <v>7</v>
      </c>
      <c r="AA13" s="55" t="n">
        <f aca="false">INDEX($V$7:$V$307,MATCH(LARGE($W$7:$W$307,7),$W$7:$W$307,0))</f>
        <v>25662</v>
      </c>
      <c r="AB13" s="46"/>
      <c r="AC13" s="2" t="s">
        <v>142</v>
      </c>
      <c r="AD13" s="2" t="str">
        <f aca="false">INDEX(Customers!$B$2:$B$101,MATCH($AC13,Customers!$A$2:$A$101,0))</f>
        <v>Jayant Kamdar</v>
      </c>
      <c r="AE13" s="55" t="n">
        <f aca="false">SUMIFS(Model!$N$2:$N$1001,Model!$J$2:$J$1001,$B$3,Model!$L$2:$L$1001,$B$4,Model!$B$2:$B$1001,$AC13)</f>
        <v>34438</v>
      </c>
      <c r="AF13" s="56" t="n">
        <f aca="false">COUNTIFS(Model!$J$2:$J$1001,$B$3,Model!$L$2:$L$1001,$B$4,Model!$B$2:$B$1001,$AC13)</f>
        <v>12</v>
      </c>
      <c r="AG13" s="57" t="n">
        <f aca="false">$AE13+ROW()/1000000</f>
        <v>34438.000013</v>
      </c>
      <c r="AH13" s="46"/>
      <c r="AI13" s="2" t="str">
        <f aca="false">IF($AJ13=0,"—",INDEX($AD$7:$AD$106,MATCH(LARGE($AG$7:$AG$106,7),$AG$7:$AG$106,0)))</f>
        <v>Akarsh Ramesh</v>
      </c>
      <c r="AJ13" s="55" t="n">
        <f aca="false">INDEX($AE$7:$AE$106,MATCH(LARGE($AG$7:$AG$106,7),$AG$7:$AG$106,0))</f>
        <v>50313</v>
      </c>
      <c r="AK13" s="56" t="n">
        <f aca="false">INDEX($AF$7:$AF$106,MATCH(LARGE($AG$7:$AG$106,7),$AG$7:$AG$106,0))</f>
        <v>13</v>
      </c>
      <c r="AL13" s="46"/>
      <c r="AM13" s="46"/>
    </row>
    <row r="14" customFormat="false" ht="15" hidden="false" customHeight="false" outlineLevel="0" collapsed="false">
      <c r="A14" s="2" t="s">
        <v>143</v>
      </c>
      <c r="B14" s="2" t="n">
        <v>8</v>
      </c>
      <c r="C14" s="55" t="n">
        <f aca="false">SUMIFS(Model!$N$2:$N$1001,Model!$J$2:$J$1001,$B$3,Model!$L$2:$L$1001,$B$4,Model!$R$2:$R$1001,$B14)</f>
        <v>737389</v>
      </c>
      <c r="D14" s="56" t="n">
        <f aca="false">COUNTIFS(Model!$J$2:$J$1001,$B$3,Model!$L$2:$L$1001,$B$4,Model!$R$2:$R$1001,$B14)</f>
        <v>165</v>
      </c>
      <c r="E14" s="55" t="n">
        <f aca="false">IFERROR($C14/$D14,0)</f>
        <v>4469.02424242424</v>
      </c>
      <c r="F14" s="2" t="str">
        <f aca="false">INDEX(Lists!$D$2:$D$13,$B14)</f>
        <v>Raksha Bandhan</v>
      </c>
      <c r="G14" s="2" t="n">
        <f aca="false">IF($F14="",0,1)</f>
        <v>1</v>
      </c>
      <c r="H14" s="46"/>
      <c r="I14" s="46"/>
      <c r="J14" s="46"/>
      <c r="K14" s="46"/>
      <c r="L14" s="2" t="n">
        <v>8</v>
      </c>
      <c r="M14" s="2" t="str">
        <f aca="false">INDEX(Products!$B$2:$B$71,MATCH($L14,Products!$A$2:$A$71,0))</f>
        <v>Qui Box</v>
      </c>
      <c r="N14" s="55" t="n">
        <f aca="false">SUMIFS(Model!$N$2:$N$1001,Model!$J$2:$J$1001,$B$3,Model!$L$2:$L$1001,$B$4,Model!$C$2:$C$1001,$L14)</f>
        <v>9576</v>
      </c>
      <c r="O14" s="57" t="n">
        <f aca="false">$N14+ROW()/1000000</f>
        <v>9576.000014</v>
      </c>
      <c r="P14" s="46"/>
      <c r="Q14" s="2" t="str">
        <f aca="false">IF($R14=0,"—",INDEX($M$7:$M$76,MATCH(LARGE($O$7:$O$76,8),$O$7:$O$76,0)))</f>
        <v>Dignissimos Pack</v>
      </c>
      <c r="R14" s="55" t="n">
        <f aca="false">INDEX($N$7:$N$76,MATCH(LARGE($O$7:$O$76,8),$O$7:$O$76,0))</f>
        <v>90036</v>
      </c>
      <c r="S14" s="46"/>
      <c r="T14" s="2" t="s">
        <v>144</v>
      </c>
      <c r="U14" s="56" t="n">
        <f aca="false">COUNTIFS(Model!$J$2:$J$1001,$B$3,Model!$L$2:$L$1001,$B$4,Model!$I$2:$I$1001,$T14)</f>
        <v>3</v>
      </c>
      <c r="V14" s="55" t="n">
        <f aca="false">SUMIFS(Model!$N$2:$N$1001,Model!$J$2:$J$1001,$B$3,Model!$L$2:$L$1001,$B$4,Model!$I$2:$I$1001,$T14)</f>
        <v>9541</v>
      </c>
      <c r="W14" s="58" t="n">
        <f aca="false">$U14+$V14/1000000000+ROW()/1000000000000</f>
        <v>3.000009541014</v>
      </c>
      <c r="X14" s="46"/>
      <c r="Y14" s="2" t="str">
        <f aca="false">IF($Z14=0,"—",INDEX($T$7:$T$307,MATCH(LARGE($W$7:$W$307,8),$W$7:$W$307,0)))</f>
        <v>Lucknow</v>
      </c>
      <c r="Z14" s="56" t="n">
        <f aca="false">INDEX($U$7:$U$307,MATCH(LARGE($W$7:$W$307,8),$W$7:$W$307,0))</f>
        <v>7</v>
      </c>
      <c r="AA14" s="55" t="n">
        <f aca="false">INDEX($V$7:$V$307,MATCH(LARGE($W$7:$W$307,8),$W$7:$W$307,0))</f>
        <v>25405</v>
      </c>
      <c r="AB14" s="46"/>
      <c r="AC14" s="2" t="s">
        <v>145</v>
      </c>
      <c r="AD14" s="2" t="str">
        <f aca="false">INDEX(Customers!$B$2:$B$101,MATCH($AC14,Customers!$A$2:$A$101,0))</f>
        <v>Veer Ray</v>
      </c>
      <c r="AE14" s="55" t="n">
        <f aca="false">SUMIFS(Model!$N$2:$N$1001,Model!$J$2:$J$1001,$B$3,Model!$L$2:$L$1001,$B$4,Model!$B$2:$B$1001,$AC14)</f>
        <v>50151</v>
      </c>
      <c r="AF14" s="56" t="n">
        <f aca="false">COUNTIFS(Model!$J$2:$J$1001,$B$3,Model!$L$2:$L$1001,$B$4,Model!$B$2:$B$1001,$AC14)</f>
        <v>16</v>
      </c>
      <c r="AG14" s="57" t="n">
        <f aca="false">$AE14+ROW()/1000000</f>
        <v>50151.000014</v>
      </c>
      <c r="AH14" s="46"/>
      <c r="AI14" s="2" t="str">
        <f aca="false">IF($AJ14=0,"—",INDEX($AD$7:$AD$106,MATCH(LARGE($AG$7:$AG$106,8),$AG$7:$AG$106,0)))</f>
        <v>Veer Ray</v>
      </c>
      <c r="AJ14" s="55" t="n">
        <f aca="false">INDEX($AE$7:$AE$106,MATCH(LARGE($AG$7:$AG$106,8),$AG$7:$AG$106,0))</f>
        <v>50151</v>
      </c>
      <c r="AK14" s="56" t="n">
        <f aca="false">INDEX($AF$7:$AF$106,MATCH(LARGE($AG$7:$AG$106,8),$AG$7:$AG$106,0))</f>
        <v>16</v>
      </c>
      <c r="AL14" s="46"/>
      <c r="AM14" s="46"/>
    </row>
    <row r="15" customFormat="false" ht="15" hidden="false" customHeight="false" outlineLevel="0" collapsed="false">
      <c r="A15" s="2" t="s">
        <v>146</v>
      </c>
      <c r="B15" s="2" t="n">
        <v>9</v>
      </c>
      <c r="C15" s="55" t="n">
        <f aca="false">SUMIFS(Model!$N$2:$N$1001,Model!$J$2:$J$1001,$B$3,Model!$L$2:$L$1001,$B$4,Model!$R$2:$R$1001,$B15)</f>
        <v>136938</v>
      </c>
      <c r="D15" s="56" t="n">
        <f aca="false">COUNTIFS(Model!$J$2:$J$1001,$B$3,Model!$L$2:$L$1001,$B$4,Model!$R$2:$R$1001,$B15)</f>
        <v>40</v>
      </c>
      <c r="E15" s="55" t="n">
        <f aca="false">IFERROR($C15/$D15,0)</f>
        <v>3423.45</v>
      </c>
      <c r="F15" s="2" t="n">
        <f aca="false">INDEX(Lists!$D$2:$D$13,$B15)</f>
        <v>0</v>
      </c>
      <c r="G15" s="2" t="n">
        <f aca="false">IF($F15="",0,1)</f>
        <v>0</v>
      </c>
      <c r="H15" s="46"/>
      <c r="I15" s="46"/>
      <c r="J15" s="46"/>
      <c r="K15" s="46"/>
      <c r="L15" s="2" t="n">
        <v>9</v>
      </c>
      <c r="M15" s="2" t="str">
        <f aca="false">INDEX(Products!$B$2:$B$71,MATCH($L15,Products!$A$2:$A$71,0))</f>
        <v>Aperiam Box</v>
      </c>
      <c r="N15" s="55" t="n">
        <f aca="false">SUMIFS(Model!$N$2:$N$1001,Model!$J$2:$J$1001,$B$3,Model!$L$2:$L$1001,$B$4,Model!$C$2:$C$1001,$L15)</f>
        <v>89880</v>
      </c>
      <c r="O15" s="57" t="n">
        <f aca="false">$N15+ROW()/1000000</f>
        <v>89880.000015</v>
      </c>
      <c r="P15" s="46"/>
      <c r="Q15" s="2" t="str">
        <f aca="false">IF($R15=0,"—",INDEX($M$7:$M$76,MATCH(LARGE($O$7:$O$76,9),$O$7:$O$76,0)))</f>
        <v>Aperiam Box</v>
      </c>
      <c r="R15" s="55" t="n">
        <f aca="false">INDEX($N$7:$N$76,MATCH(LARGE($O$7:$O$76,9),$O$7:$O$76,0))</f>
        <v>89880</v>
      </c>
      <c r="S15" s="46"/>
      <c r="T15" s="2" t="s">
        <v>147</v>
      </c>
      <c r="U15" s="56" t="n">
        <f aca="false">COUNTIFS(Model!$J$2:$J$1001,$B$3,Model!$L$2:$L$1001,$B$4,Model!$I$2:$I$1001,$T15)</f>
        <v>2</v>
      </c>
      <c r="V15" s="55" t="n">
        <f aca="false">SUMIFS(Model!$N$2:$N$1001,Model!$J$2:$J$1001,$B$3,Model!$L$2:$L$1001,$B$4,Model!$I$2:$I$1001,$T15)</f>
        <v>6868</v>
      </c>
      <c r="W15" s="58" t="n">
        <f aca="false">$U15+$V15/1000000000+ROW()/1000000000000</f>
        <v>2.000006868015</v>
      </c>
      <c r="X15" s="46"/>
      <c r="Y15" s="2" t="str">
        <f aca="false">IF($Z15=0,"—",INDEX($T$7:$T$307,MATCH(LARGE($W$7:$W$307,9),$W$7:$W$307,0)))</f>
        <v>Ozhukarai</v>
      </c>
      <c r="Z15" s="56" t="n">
        <f aca="false">INDEX($U$7:$U$307,MATCH(LARGE($W$7:$W$307,9),$W$7:$W$307,0))</f>
        <v>7</v>
      </c>
      <c r="AA15" s="55" t="n">
        <f aca="false">INDEX($V$7:$V$307,MATCH(LARGE($W$7:$W$307,9),$W$7:$W$307,0))</f>
        <v>23395</v>
      </c>
      <c r="AB15" s="46"/>
      <c r="AC15" s="2" t="s">
        <v>148</v>
      </c>
      <c r="AD15" s="2" t="str">
        <f aca="false">INDEX(Customers!$B$2:$B$101,MATCH($AC15,Customers!$A$2:$A$101,0))</f>
        <v>Ritvik Borah</v>
      </c>
      <c r="AE15" s="55" t="n">
        <f aca="false">SUMIFS(Model!$N$2:$N$1001,Model!$J$2:$J$1001,$B$3,Model!$L$2:$L$1001,$B$4,Model!$B$2:$B$1001,$AC15)</f>
        <v>42882</v>
      </c>
      <c r="AF15" s="56" t="n">
        <f aca="false">COUNTIFS(Model!$J$2:$J$1001,$B$3,Model!$L$2:$L$1001,$B$4,Model!$B$2:$B$1001,$AC15)</f>
        <v>12</v>
      </c>
      <c r="AG15" s="57" t="n">
        <f aca="false">$AE15+ROW()/1000000</f>
        <v>42882.000015</v>
      </c>
      <c r="AH15" s="46"/>
      <c r="AI15" s="2" t="str">
        <f aca="false">IF($AJ15=0,"—",INDEX($AD$7:$AD$106,MATCH(LARGE($AG$7:$AG$106,9),$AG$7:$AG$106,0)))</f>
        <v>Mannat Anand</v>
      </c>
      <c r="AJ15" s="55" t="n">
        <f aca="false">INDEX($AE$7:$AE$106,MATCH(LARGE($AG$7:$AG$106,9),$AG$7:$AG$106,0))</f>
        <v>49494</v>
      </c>
      <c r="AK15" s="56" t="n">
        <f aca="false">INDEX($AF$7:$AF$106,MATCH(LARGE($AG$7:$AG$106,9),$AG$7:$AG$106,0))</f>
        <v>13</v>
      </c>
      <c r="AL15" s="46"/>
      <c r="AM15" s="46"/>
    </row>
    <row r="16" customFormat="false" ht="15" hidden="false" customHeight="false" outlineLevel="0" collapsed="false">
      <c r="A16" s="2" t="s">
        <v>149</v>
      </c>
      <c r="B16" s="2" t="n">
        <v>10</v>
      </c>
      <c r="C16" s="55" t="n">
        <f aca="false">SUMIFS(Model!$N$2:$N$1001,Model!$J$2:$J$1001,$B$3,Model!$L$2:$L$1001,$B$4,Model!$R$2:$R$1001,$B16)</f>
        <v>151619</v>
      </c>
      <c r="D16" s="56" t="n">
        <f aca="false">COUNTIFS(Model!$J$2:$J$1001,$B$3,Model!$L$2:$L$1001,$B$4,Model!$R$2:$R$1001,$B16)</f>
        <v>39</v>
      </c>
      <c r="E16" s="55" t="n">
        <f aca="false">IFERROR($C16/$D16,0)</f>
        <v>3887.66666666667</v>
      </c>
      <c r="F16" s="2" t="n">
        <f aca="false">INDEX(Lists!$D$2:$D$13,$B16)</f>
        <v>0</v>
      </c>
      <c r="G16" s="2" t="n">
        <f aca="false">IF($F16="",0,1)</f>
        <v>0</v>
      </c>
      <c r="H16" s="46"/>
      <c r="I16" s="46"/>
      <c r="J16" s="46"/>
      <c r="K16" s="46"/>
      <c r="L16" s="2" t="n">
        <v>10</v>
      </c>
      <c r="M16" s="2" t="str">
        <f aca="false">INDEX(Products!$B$2:$B$71,MATCH($L16,Products!$A$2:$A$71,0))</f>
        <v>Accusantium Gift</v>
      </c>
      <c r="N16" s="55" t="n">
        <f aca="false">SUMIFS(Model!$N$2:$N$1001,Model!$J$2:$J$1001,$B$3,Model!$L$2:$L$1001,$B$4,Model!$C$2:$C$1001,$L16)</f>
        <v>10619</v>
      </c>
      <c r="O16" s="57" t="n">
        <f aca="false">$N16+ROW()/1000000</f>
        <v>10619.000016</v>
      </c>
      <c r="P16" s="46"/>
      <c r="Q16" s="2" t="str">
        <f aca="false">IF($R16=0,"—",INDEX($M$7:$M$76,MATCH(LARGE($O$7:$O$76,10),$O$7:$O$76,0)))</f>
        <v>Expedita Gift</v>
      </c>
      <c r="R16" s="55" t="n">
        <f aca="false">INDEX($N$7:$N$76,MATCH(LARGE($O$7:$O$76,10),$O$7:$O$76,0))</f>
        <v>88944</v>
      </c>
      <c r="S16" s="46"/>
      <c r="T16" s="2" t="s">
        <v>150</v>
      </c>
      <c r="U16" s="56" t="n">
        <f aca="false">COUNTIFS(Model!$J$2:$J$1001,$B$3,Model!$L$2:$L$1001,$B$4,Model!$I$2:$I$1001,$T16)</f>
        <v>2</v>
      </c>
      <c r="V16" s="55" t="n">
        <f aca="false">SUMIFS(Model!$N$2:$N$1001,Model!$J$2:$J$1001,$B$3,Model!$L$2:$L$1001,$B$4,Model!$I$2:$I$1001,$T16)</f>
        <v>11303</v>
      </c>
      <c r="W16" s="58" t="n">
        <f aca="false">$U16+$V16/1000000000+ROW()/1000000000000</f>
        <v>2.000011303016</v>
      </c>
      <c r="X16" s="46"/>
      <c r="Y16" s="2" t="str">
        <f aca="false">IF($Z16=0,"—",INDEX($T$7:$T$307,MATCH(LARGE($W$7:$W$307,10),$W$7:$W$307,0)))</f>
        <v>Sirsa</v>
      </c>
      <c r="Z16" s="56" t="n">
        <f aca="false">INDEX($U$7:$U$307,MATCH(LARGE($W$7:$W$307,10),$W$7:$W$307,0))</f>
        <v>7</v>
      </c>
      <c r="AA16" s="55" t="n">
        <f aca="false">INDEX($V$7:$V$307,MATCH(LARGE($W$7:$W$307,10),$W$7:$W$307,0))</f>
        <v>22638</v>
      </c>
      <c r="AB16" s="46"/>
      <c r="AC16" s="2" t="s">
        <v>151</v>
      </c>
      <c r="AD16" s="2" t="str">
        <f aca="false">INDEX(Customers!$B$2:$B$101,MATCH($AC16,Customers!$A$2:$A$101,0))</f>
        <v>Darshit Dave</v>
      </c>
      <c r="AE16" s="55" t="n">
        <f aca="false">SUMIFS(Model!$N$2:$N$1001,Model!$J$2:$J$1001,$B$3,Model!$L$2:$L$1001,$B$4,Model!$B$2:$B$1001,$AC16)</f>
        <v>24931</v>
      </c>
      <c r="AF16" s="56" t="n">
        <f aca="false">COUNTIFS(Model!$J$2:$J$1001,$B$3,Model!$L$2:$L$1001,$B$4,Model!$B$2:$B$1001,$AC16)</f>
        <v>8</v>
      </c>
      <c r="AG16" s="57" t="n">
        <f aca="false">$AE16+ROW()/1000000</f>
        <v>24931.000016</v>
      </c>
      <c r="AH16" s="46"/>
      <c r="AI16" s="2" t="str">
        <f aca="false">IF($AJ16=0,"—",INDEX($AD$7:$AD$106,MATCH(LARGE($AG$7:$AG$106,10),$AG$7:$AG$106,0)))</f>
        <v>Anahita Shankar</v>
      </c>
      <c r="AJ16" s="55" t="n">
        <f aca="false">INDEX($AE$7:$AE$106,MATCH(LARGE($AG$7:$AG$106,10),$AG$7:$AG$106,0))</f>
        <v>49100</v>
      </c>
      <c r="AK16" s="56" t="n">
        <f aca="false">INDEX($AF$7:$AF$106,MATCH(LARGE($AG$7:$AG$106,10),$AG$7:$AG$106,0))</f>
        <v>13</v>
      </c>
      <c r="AL16" s="46"/>
      <c r="AM16" s="46"/>
    </row>
    <row r="17" customFormat="false" ht="15" hidden="false" customHeight="false" outlineLevel="0" collapsed="false">
      <c r="A17" s="2" t="s">
        <v>152</v>
      </c>
      <c r="B17" s="2" t="n">
        <v>11</v>
      </c>
      <c r="C17" s="55" t="n">
        <f aca="false">SUMIFS(Model!$N$2:$N$1001,Model!$J$2:$J$1001,$B$3,Model!$L$2:$L$1001,$B$4,Model!$R$2:$R$1001,$B17)</f>
        <v>449169</v>
      </c>
      <c r="D17" s="56" t="n">
        <f aca="false">COUNTIFS(Model!$J$2:$J$1001,$B$3,Model!$L$2:$L$1001,$B$4,Model!$R$2:$R$1001,$B17)</f>
        <v>134</v>
      </c>
      <c r="E17" s="55" t="n">
        <f aca="false">IFERROR($C17/$D17,0)</f>
        <v>3352.00746268657</v>
      </c>
      <c r="F17" s="2" t="str">
        <f aca="false">INDEX(Lists!$D$2:$D$13,$B17)</f>
        <v>Diwali</v>
      </c>
      <c r="G17" s="2" t="n">
        <f aca="false">IF($F17="",0,1)</f>
        <v>1</v>
      </c>
      <c r="H17" s="46"/>
      <c r="I17" s="46"/>
      <c r="J17" s="46"/>
      <c r="K17" s="46"/>
      <c r="L17" s="2" t="n">
        <v>11</v>
      </c>
      <c r="M17" s="2" t="str">
        <f aca="false">INDEX(Products!$B$2:$B$71,MATCH($L17,Products!$A$2:$A$71,0))</f>
        <v>Maxime Set</v>
      </c>
      <c r="N17" s="55" t="n">
        <f aca="false">SUMIFS(Model!$N$2:$N$1001,Model!$J$2:$J$1001,$B$3,Model!$L$2:$L$1001,$B$4,Model!$C$2:$C$1001,$L17)</f>
        <v>29592</v>
      </c>
      <c r="O17" s="57" t="n">
        <f aca="false">$N17+ROW()/1000000</f>
        <v>29592.000017</v>
      </c>
      <c r="P17" s="46"/>
      <c r="Q17" s="46"/>
      <c r="R17" s="46"/>
      <c r="S17" s="46"/>
      <c r="T17" s="2" t="s">
        <v>153</v>
      </c>
      <c r="U17" s="56" t="n">
        <f aca="false">COUNTIFS(Model!$J$2:$J$1001,$B$3,Model!$L$2:$L$1001,$B$4,Model!$I$2:$I$1001,$T17)</f>
        <v>5</v>
      </c>
      <c r="V17" s="55" t="n">
        <f aca="false">SUMIFS(Model!$N$2:$N$1001,Model!$J$2:$J$1001,$B$3,Model!$L$2:$L$1001,$B$4,Model!$I$2:$I$1001,$T17)</f>
        <v>23405</v>
      </c>
      <c r="W17" s="58" t="n">
        <f aca="false">$U17+$V17/1000000000+ROW()/1000000000000</f>
        <v>5.000023405017</v>
      </c>
      <c r="X17" s="46"/>
      <c r="Y17" s="46"/>
      <c r="Z17" s="46"/>
      <c r="AA17" s="46"/>
      <c r="AB17" s="46"/>
      <c r="AC17" s="2" t="s">
        <v>154</v>
      </c>
      <c r="AD17" s="2" t="str">
        <f aca="false">INDEX(Customers!$B$2:$B$101,MATCH($AC17,Customers!$A$2:$A$101,0))</f>
        <v>Lagan Kapoor</v>
      </c>
      <c r="AE17" s="55" t="n">
        <f aca="false">SUMIFS(Model!$N$2:$N$1001,Model!$J$2:$J$1001,$B$3,Model!$L$2:$L$1001,$B$4,Model!$B$2:$B$1001,$AC17)</f>
        <v>15042</v>
      </c>
      <c r="AF17" s="56" t="n">
        <f aca="false">COUNTIFS(Model!$J$2:$J$1001,$B$3,Model!$L$2:$L$1001,$B$4,Model!$B$2:$B$1001,$AC17)</f>
        <v>7</v>
      </c>
      <c r="AG17" s="57" t="n">
        <f aca="false">$AE17+ROW()/1000000</f>
        <v>15042.000017</v>
      </c>
      <c r="AH17" s="46"/>
      <c r="AI17" s="46"/>
      <c r="AJ17" s="46"/>
      <c r="AK17" s="46"/>
      <c r="AL17" s="46"/>
      <c r="AM17" s="46"/>
    </row>
    <row r="18" customFormat="false" ht="15" hidden="false" customHeight="false" outlineLevel="0" collapsed="false">
      <c r="A18" s="2" t="s">
        <v>155</v>
      </c>
      <c r="B18" s="2" t="n">
        <v>12</v>
      </c>
      <c r="C18" s="55" t="n">
        <f aca="false">SUMIFS(Model!$N$2:$N$1001,Model!$J$2:$J$1001,$B$3,Model!$L$2:$L$1001,$B$4,Model!$R$2:$R$1001,$B18)</f>
        <v>149591</v>
      </c>
      <c r="D18" s="56" t="n">
        <f aca="false">COUNTIFS(Model!$J$2:$J$1001,$B$3,Model!$L$2:$L$1001,$B$4,Model!$R$2:$R$1001,$B18)</f>
        <v>42</v>
      </c>
      <c r="E18" s="55" t="n">
        <f aca="false">IFERROR($C18/$D18,0)</f>
        <v>3561.69047619048</v>
      </c>
      <c r="F18" s="2" t="n">
        <f aca="false">INDEX(Lists!$D$2:$D$13,$B18)</f>
        <v>0</v>
      </c>
      <c r="G18" s="2" t="n">
        <f aca="false">IF($F18="",0,1)</f>
        <v>0</v>
      </c>
      <c r="H18" s="46"/>
      <c r="I18" s="46"/>
      <c r="J18" s="46"/>
      <c r="K18" s="46"/>
      <c r="L18" s="2" t="n">
        <v>12</v>
      </c>
      <c r="M18" s="2" t="str">
        <f aca="false">INDEX(Products!$B$2:$B$71,MATCH($L18,Products!$A$2:$A$71,0))</f>
        <v>Non Set</v>
      </c>
      <c r="N18" s="55" t="n">
        <f aca="false">SUMIFS(Model!$N$2:$N$1001,Model!$J$2:$J$1001,$B$3,Model!$L$2:$L$1001,$B$4,Model!$C$2:$C$1001,$L18)</f>
        <v>32928</v>
      </c>
      <c r="O18" s="57" t="n">
        <f aca="false">$N18+ROW()/1000000</f>
        <v>32928.000018</v>
      </c>
      <c r="P18" s="46"/>
      <c r="Q18" s="46"/>
      <c r="R18" s="46"/>
      <c r="S18" s="46"/>
      <c r="T18" s="2" t="s">
        <v>156</v>
      </c>
      <c r="U18" s="56" t="n">
        <f aca="false">COUNTIFS(Model!$J$2:$J$1001,$B$3,Model!$L$2:$L$1001,$B$4,Model!$I$2:$I$1001,$T18)</f>
        <v>7</v>
      </c>
      <c r="V18" s="55" t="n">
        <f aca="false">SUMIFS(Model!$N$2:$N$1001,Model!$J$2:$J$1001,$B$3,Model!$L$2:$L$1001,$B$4,Model!$I$2:$I$1001,$T18)</f>
        <v>18514</v>
      </c>
      <c r="W18" s="58" t="n">
        <f aca="false">$U18+$V18/1000000000+ROW()/1000000000000</f>
        <v>7.000018514018</v>
      </c>
      <c r="X18" s="46"/>
      <c r="Y18" s="46"/>
      <c r="Z18" s="46"/>
      <c r="AA18" s="46"/>
      <c r="AB18" s="46"/>
      <c r="AC18" s="2" t="s">
        <v>157</v>
      </c>
      <c r="AD18" s="2" t="str">
        <f aca="false">INDEX(Customers!$B$2:$B$101,MATCH($AC18,Customers!$A$2:$A$101,0))</f>
        <v>Onkar Mangat</v>
      </c>
      <c r="AE18" s="55" t="n">
        <f aca="false">SUMIFS(Model!$N$2:$N$1001,Model!$J$2:$J$1001,$B$3,Model!$L$2:$L$1001,$B$4,Model!$B$2:$B$1001,$AC18)</f>
        <v>23591</v>
      </c>
      <c r="AF18" s="56" t="n">
        <f aca="false">COUNTIFS(Model!$J$2:$J$1001,$B$3,Model!$L$2:$L$1001,$B$4,Model!$B$2:$B$1001,$AC18)</f>
        <v>8</v>
      </c>
      <c r="AG18" s="57" t="n">
        <f aca="false">$AE18+ROW()/1000000</f>
        <v>23591.000018</v>
      </c>
      <c r="AH18" s="46"/>
      <c r="AI18" s="46"/>
      <c r="AJ18" s="46"/>
      <c r="AK18" s="46"/>
      <c r="AL18" s="46"/>
      <c r="AM18" s="46"/>
    </row>
    <row r="19" customFormat="false" ht="15" hidden="false" customHeight="false" outlineLevel="0" collapsed="false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2" t="n">
        <v>13</v>
      </c>
      <c r="M19" s="2" t="str">
        <f aca="false">INDEX(Products!$B$2:$B$71,MATCH($L19,Products!$A$2:$A$71,0))</f>
        <v>Et Set</v>
      </c>
      <c r="N19" s="55" t="n">
        <f aca="false">SUMIFS(Model!$N$2:$N$1001,Model!$J$2:$J$1001,$B$3,Model!$L$2:$L$1001,$B$4,Model!$C$2:$C$1001,$L19)</f>
        <v>69601</v>
      </c>
      <c r="O19" s="57" t="n">
        <f aca="false">$N19+ROW()/1000000</f>
        <v>69601.000019</v>
      </c>
      <c r="P19" s="46"/>
      <c r="Q19" s="46"/>
      <c r="R19" s="46"/>
      <c r="S19" s="46"/>
      <c r="T19" s="2" t="s">
        <v>158</v>
      </c>
      <c r="U19" s="56" t="n">
        <f aca="false">COUNTIFS(Model!$J$2:$J$1001,$B$3,Model!$L$2:$L$1001,$B$4,Model!$I$2:$I$1001,$T19)</f>
        <v>2</v>
      </c>
      <c r="V19" s="55" t="n">
        <f aca="false">SUMIFS(Model!$N$2:$N$1001,Model!$J$2:$J$1001,$B$3,Model!$L$2:$L$1001,$B$4,Model!$I$2:$I$1001,$T19)</f>
        <v>1891</v>
      </c>
      <c r="W19" s="58" t="n">
        <f aca="false">$U19+$V19/1000000000+ROW()/1000000000000</f>
        <v>2.000001891019</v>
      </c>
      <c r="X19" s="46"/>
      <c r="Y19" s="46"/>
      <c r="Z19" s="46"/>
      <c r="AA19" s="46"/>
      <c r="AB19" s="46"/>
      <c r="AC19" s="2" t="s">
        <v>159</v>
      </c>
      <c r="AD19" s="2" t="str">
        <f aca="false">INDEX(Customers!$B$2:$B$101,MATCH($AC19,Customers!$A$2:$A$101,0))</f>
        <v>Manikya Goswami</v>
      </c>
      <c r="AE19" s="55" t="n">
        <f aca="false">SUMIFS(Model!$N$2:$N$1001,Model!$J$2:$J$1001,$B$3,Model!$L$2:$L$1001,$B$4,Model!$B$2:$B$1001,$AC19)</f>
        <v>46738</v>
      </c>
      <c r="AF19" s="56" t="n">
        <f aca="false">COUNTIFS(Model!$J$2:$J$1001,$B$3,Model!$L$2:$L$1001,$B$4,Model!$B$2:$B$1001,$AC19)</f>
        <v>13</v>
      </c>
      <c r="AG19" s="57" t="n">
        <f aca="false">$AE19+ROW()/1000000</f>
        <v>46738.000019</v>
      </c>
      <c r="AH19" s="46"/>
      <c r="AI19" s="46"/>
      <c r="AJ19" s="46"/>
      <c r="AK19" s="46"/>
      <c r="AL19" s="46"/>
      <c r="AM19" s="46"/>
    </row>
    <row r="20" customFormat="false" ht="15" hidden="false" customHeight="false" outlineLevel="0" collapsed="false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2" t="n">
        <v>14</v>
      </c>
      <c r="M20" s="2" t="str">
        <f aca="false">INDEX(Products!$B$2:$B$71,MATCH($L20,Products!$A$2:$A$71,0))</f>
        <v>Deserunt Box</v>
      </c>
      <c r="N20" s="55" t="n">
        <f aca="false">SUMIFS(Model!$N$2:$N$1001,Model!$J$2:$J$1001,$B$3,Model!$L$2:$L$1001,$B$4,Model!$C$2:$C$1001,$L20)</f>
        <v>97665</v>
      </c>
      <c r="O20" s="57" t="n">
        <f aca="false">$N20+ROW()/1000000</f>
        <v>97665.00002</v>
      </c>
      <c r="P20" s="46"/>
      <c r="Q20" s="46"/>
      <c r="R20" s="46"/>
      <c r="S20" s="46"/>
      <c r="T20" s="2" t="s">
        <v>160</v>
      </c>
      <c r="U20" s="56" t="n">
        <f aca="false">COUNTIFS(Model!$J$2:$J$1001,$B$3,Model!$L$2:$L$1001,$B$4,Model!$I$2:$I$1001,$T20)</f>
        <v>4</v>
      </c>
      <c r="V20" s="55" t="n">
        <f aca="false">SUMIFS(Model!$N$2:$N$1001,Model!$J$2:$J$1001,$B$3,Model!$L$2:$L$1001,$B$4,Model!$I$2:$I$1001,$T20)</f>
        <v>18805</v>
      </c>
      <c r="W20" s="58" t="n">
        <f aca="false">$U20+$V20/1000000000+ROW()/1000000000000</f>
        <v>4.00001880502</v>
      </c>
      <c r="X20" s="46"/>
      <c r="Y20" s="46"/>
      <c r="Z20" s="46"/>
      <c r="AA20" s="46"/>
      <c r="AB20" s="46"/>
      <c r="AC20" s="2" t="s">
        <v>161</v>
      </c>
      <c r="AD20" s="2" t="str">
        <f aca="false">INDEX(Customers!$B$2:$B$101,MATCH($AC20,Customers!$A$2:$A$101,0))</f>
        <v>Indrans Shukla</v>
      </c>
      <c r="AE20" s="55" t="n">
        <f aca="false">SUMIFS(Model!$N$2:$N$1001,Model!$J$2:$J$1001,$B$3,Model!$L$2:$L$1001,$B$4,Model!$B$2:$B$1001,$AC20)</f>
        <v>37235</v>
      </c>
      <c r="AF20" s="56" t="n">
        <f aca="false">COUNTIFS(Model!$J$2:$J$1001,$B$3,Model!$L$2:$L$1001,$B$4,Model!$B$2:$B$1001,$AC20)</f>
        <v>12</v>
      </c>
      <c r="AG20" s="57" t="n">
        <f aca="false">$AE20+ROW()/1000000</f>
        <v>37235.00002</v>
      </c>
      <c r="AH20" s="46"/>
      <c r="AI20" s="46"/>
      <c r="AJ20" s="46"/>
      <c r="AK20" s="46"/>
      <c r="AL20" s="46"/>
      <c r="AM20" s="46"/>
    </row>
    <row r="21" customFormat="false" ht="15" hidden="false" customHeight="false" outlineLevel="0" collapsed="false">
      <c r="A21" s="49" t="s">
        <v>162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2" t="n">
        <v>15</v>
      </c>
      <c r="M21" s="2" t="str">
        <f aca="false">INDEX(Products!$B$2:$B$71,MATCH($L21,Products!$A$2:$A$71,0))</f>
        <v>Repudiandae Box</v>
      </c>
      <c r="N21" s="55" t="n">
        <f aca="false">SUMIFS(Model!$N$2:$N$1001,Model!$J$2:$J$1001,$B$3,Model!$L$2:$L$1001,$B$4,Model!$C$2:$C$1001,$L21)</f>
        <v>44640</v>
      </c>
      <c r="O21" s="57" t="n">
        <f aca="false">$N21+ROW()/1000000</f>
        <v>44640.000021</v>
      </c>
      <c r="P21" s="46"/>
      <c r="Q21" s="46"/>
      <c r="R21" s="46"/>
      <c r="S21" s="46"/>
      <c r="T21" s="2" t="s">
        <v>163</v>
      </c>
      <c r="U21" s="56" t="n">
        <f aca="false">COUNTIFS(Model!$J$2:$J$1001,$B$3,Model!$L$2:$L$1001,$B$4,Model!$I$2:$I$1001,$T21)</f>
        <v>2</v>
      </c>
      <c r="V21" s="55" t="n">
        <f aca="false">SUMIFS(Model!$N$2:$N$1001,Model!$J$2:$J$1001,$B$3,Model!$L$2:$L$1001,$B$4,Model!$I$2:$I$1001,$T21)</f>
        <v>7085</v>
      </c>
      <c r="W21" s="58" t="n">
        <f aca="false">$U21+$V21/1000000000+ROW()/1000000000000</f>
        <v>2.000007085021</v>
      </c>
      <c r="X21" s="46"/>
      <c r="Y21" s="46"/>
      <c r="Z21" s="46"/>
      <c r="AA21" s="46"/>
      <c r="AB21" s="46"/>
      <c r="AC21" s="2" t="s">
        <v>164</v>
      </c>
      <c r="AD21" s="2" t="str">
        <f aca="false">INDEX(Customers!$B$2:$B$101,MATCH($AC21,Customers!$A$2:$A$101,0))</f>
        <v>Romil Bajwa</v>
      </c>
      <c r="AE21" s="55" t="n">
        <f aca="false">SUMIFS(Model!$N$2:$N$1001,Model!$J$2:$J$1001,$B$3,Model!$L$2:$L$1001,$B$4,Model!$B$2:$B$1001,$AC21)</f>
        <v>22045</v>
      </c>
      <c r="AF21" s="56" t="n">
        <f aca="false">COUNTIFS(Model!$J$2:$J$1001,$B$3,Model!$L$2:$L$1001,$B$4,Model!$B$2:$B$1001,$AC21)</f>
        <v>9</v>
      </c>
      <c r="AG21" s="57" t="n">
        <f aca="false">$AE21+ROW()/1000000</f>
        <v>22045.000021</v>
      </c>
      <c r="AH21" s="46"/>
      <c r="AI21" s="46"/>
      <c r="AJ21" s="46"/>
      <c r="AK21" s="46"/>
      <c r="AL21" s="46"/>
      <c r="AM21" s="46"/>
    </row>
    <row r="22" customFormat="false" ht="15" hidden="false" customHeight="false" outlineLevel="0" collapsed="false">
      <c r="A22" s="50" t="s">
        <v>165</v>
      </c>
      <c r="B22" s="51" t="n">
        <f aca="false">SUMIFS(Model!$N$2:$N$1001,Model!$J$2:$J$1001,$A22,Model!$J$2:$J$1001,$B$3,Model!$L$2:$L$1001,$B$4)</f>
        <v>586176</v>
      </c>
      <c r="C22" s="52" t="n">
        <f aca="false">COUNTIFS(Model!$J$2:$J$1001,$A22,Model!$J$2:$J$1001,$B$3,Model!$L$2:$L$1001,$B$4)</f>
        <v>126</v>
      </c>
      <c r="D22" s="52" t="n">
        <f aca="false">SUMIFS(Model!$D$2:$D$1001,Model!$J$2:$J$1001,$A22,Model!$J$2:$J$1001,$B$3,Model!$L$2:$L$1001,$B$4)</f>
        <v>385</v>
      </c>
      <c r="E22" s="51" t="n">
        <f aca="false">IFERROR($B22/$C22,0)</f>
        <v>4652.19047619048</v>
      </c>
      <c r="F22" s="59" t="n">
        <f aca="false">IFERROR(AVERAGEIFS(Model!$W$2:$W$1001,Model!$J$2:$J$1001,$A22,Model!$J$2:$J$1001,$B$3,Model!$L$2:$L$1001,$B$4),0)</f>
        <v>5.6661116622575</v>
      </c>
      <c r="G22" s="46"/>
      <c r="H22" s="46"/>
      <c r="I22" s="46"/>
      <c r="J22" s="46"/>
      <c r="K22" s="46"/>
      <c r="L22" s="2" t="n">
        <v>16</v>
      </c>
      <c r="M22" s="2" t="str">
        <f aca="false">INDEX(Products!$B$2:$B$71,MATCH($L22,Products!$A$2:$A$71,0))</f>
        <v>Ut Pack</v>
      </c>
      <c r="N22" s="55" t="n">
        <f aca="false">SUMIFS(Model!$N$2:$N$1001,Model!$J$2:$J$1001,$B$3,Model!$L$2:$L$1001,$B$4,Model!$C$2:$C$1001,$L22)</f>
        <v>51630</v>
      </c>
      <c r="O22" s="57" t="n">
        <f aca="false">$N22+ROW()/1000000</f>
        <v>51630.000022</v>
      </c>
      <c r="P22" s="46"/>
      <c r="Q22" s="46"/>
      <c r="R22" s="46"/>
      <c r="S22" s="46"/>
      <c r="T22" s="2" t="s">
        <v>166</v>
      </c>
      <c r="U22" s="56" t="n">
        <f aca="false">COUNTIFS(Model!$J$2:$J$1001,$B$3,Model!$L$2:$L$1001,$B$4,Model!$I$2:$I$1001,$T22)</f>
        <v>2</v>
      </c>
      <c r="V22" s="55" t="n">
        <f aca="false">SUMIFS(Model!$N$2:$N$1001,Model!$J$2:$J$1001,$B$3,Model!$L$2:$L$1001,$B$4,Model!$I$2:$I$1001,$T22)</f>
        <v>1980</v>
      </c>
      <c r="W22" s="58" t="n">
        <f aca="false">$U22+$V22/1000000000+ROW()/1000000000000</f>
        <v>2.000001980022</v>
      </c>
      <c r="X22" s="46"/>
      <c r="Y22" s="46"/>
      <c r="Z22" s="46"/>
      <c r="AA22" s="46"/>
      <c r="AB22" s="46"/>
      <c r="AC22" s="2" t="s">
        <v>167</v>
      </c>
      <c r="AD22" s="2" t="str">
        <f aca="false">INDEX(Customers!$B$2:$B$101,MATCH($AC22,Customers!$A$2:$A$101,0))</f>
        <v>Amani Ganesh</v>
      </c>
      <c r="AE22" s="55" t="n">
        <f aca="false">SUMIFS(Model!$N$2:$N$1001,Model!$J$2:$J$1001,$B$3,Model!$L$2:$L$1001,$B$4,Model!$B$2:$B$1001,$AC22)</f>
        <v>37655</v>
      </c>
      <c r="AF22" s="56" t="n">
        <f aca="false">COUNTIFS(Model!$J$2:$J$1001,$B$3,Model!$L$2:$L$1001,$B$4,Model!$B$2:$B$1001,$AC22)</f>
        <v>9</v>
      </c>
      <c r="AG22" s="57" t="n">
        <f aca="false">$AE22+ROW()/1000000</f>
        <v>37655.000022</v>
      </c>
      <c r="AH22" s="46"/>
      <c r="AI22" s="46"/>
      <c r="AJ22" s="46"/>
      <c r="AK22" s="46"/>
      <c r="AL22" s="46"/>
      <c r="AM22" s="46"/>
    </row>
    <row r="23" customFormat="false" ht="15" hidden="false" customHeight="false" outlineLevel="0" collapsed="false">
      <c r="A23" s="2" t="s">
        <v>168</v>
      </c>
      <c r="B23" s="55" t="n">
        <f aca="false">SUMIFS(Model!$N$2:$N$1001,Model!$J$2:$J$1001,$A23,Model!$J$2:$J$1001,$B$3,Model!$L$2:$L$1001,$B$4)</f>
        <v>674634</v>
      </c>
      <c r="C23" s="56" t="n">
        <f aca="false">COUNTIFS(Model!$J$2:$J$1001,$A23,Model!$J$2:$J$1001,$B$3,Model!$L$2:$L$1001,$B$4)</f>
        <v>205</v>
      </c>
      <c r="D23" s="56" t="n">
        <f aca="false">SUMIFS(Model!$D$2:$D$1001,Model!$J$2:$J$1001,$A23,Model!$J$2:$J$1001,$B$3,Model!$L$2:$L$1001,$B$4)</f>
        <v>607</v>
      </c>
      <c r="E23" s="55" t="n">
        <f aca="false">IFERROR($B23/$C23,0)</f>
        <v>3290.89756097561</v>
      </c>
      <c r="F23" s="60" t="n">
        <f aca="false">IFERROR(AVERAGEIFS(Model!$W$2:$W$1001,Model!$J$2:$J$1001,$A23,Model!$J$2:$J$1001,$B$3,Model!$L$2:$L$1001,$B$4),0)</f>
        <v>5.49296081752484</v>
      </c>
      <c r="G23" s="46"/>
      <c r="H23" s="46"/>
      <c r="I23" s="46"/>
      <c r="J23" s="46"/>
      <c r="K23" s="46"/>
      <c r="L23" s="2" t="n">
        <v>17</v>
      </c>
      <c r="M23" s="2" t="str">
        <f aca="false">INDEX(Products!$B$2:$B$71,MATCH($L23,Products!$A$2:$A$71,0))</f>
        <v>Delectus Gift</v>
      </c>
      <c r="N23" s="55" t="n">
        <f aca="false">SUMIFS(Model!$N$2:$N$1001,Model!$J$2:$J$1001,$B$3,Model!$L$2:$L$1001,$B$4,Model!$C$2:$C$1001,$L23)</f>
        <v>75960</v>
      </c>
      <c r="O23" s="57" t="n">
        <f aca="false">$N23+ROW()/1000000</f>
        <v>75960.000023</v>
      </c>
      <c r="P23" s="46"/>
      <c r="Q23" s="46"/>
      <c r="R23" s="46"/>
      <c r="S23" s="46"/>
      <c r="T23" s="2" t="s">
        <v>169</v>
      </c>
      <c r="U23" s="56" t="n">
        <f aca="false">COUNTIFS(Model!$J$2:$J$1001,$B$3,Model!$L$2:$L$1001,$B$4,Model!$I$2:$I$1001,$T23)</f>
        <v>5</v>
      </c>
      <c r="V23" s="55" t="n">
        <f aca="false">SUMIFS(Model!$N$2:$N$1001,Model!$J$2:$J$1001,$B$3,Model!$L$2:$L$1001,$B$4,Model!$I$2:$I$1001,$T23)</f>
        <v>14444</v>
      </c>
      <c r="W23" s="58" t="n">
        <f aca="false">$U23+$V23/1000000000+ROW()/1000000000000</f>
        <v>5.000014444023</v>
      </c>
      <c r="X23" s="46"/>
      <c r="Y23" s="46"/>
      <c r="Z23" s="46"/>
      <c r="AA23" s="46"/>
      <c r="AB23" s="46"/>
      <c r="AC23" s="2" t="s">
        <v>170</v>
      </c>
      <c r="AD23" s="2" t="str">
        <f aca="false">INDEX(Customers!$B$2:$B$101,MATCH($AC23,Customers!$A$2:$A$101,0))</f>
        <v>Advika Dhar</v>
      </c>
      <c r="AE23" s="55" t="n">
        <f aca="false">SUMIFS(Model!$N$2:$N$1001,Model!$J$2:$J$1001,$B$3,Model!$L$2:$L$1001,$B$4,Model!$B$2:$B$1001,$AC23)</f>
        <v>42855</v>
      </c>
      <c r="AF23" s="56" t="n">
        <f aca="false">COUNTIFS(Model!$J$2:$J$1001,$B$3,Model!$L$2:$L$1001,$B$4,Model!$B$2:$B$1001,$AC23)</f>
        <v>9</v>
      </c>
      <c r="AG23" s="57" t="n">
        <f aca="false">$AE23+ROW()/1000000</f>
        <v>42855.000023</v>
      </c>
      <c r="AH23" s="46"/>
      <c r="AI23" s="46"/>
      <c r="AJ23" s="46"/>
      <c r="AK23" s="46"/>
      <c r="AL23" s="46"/>
      <c r="AM23" s="46"/>
    </row>
    <row r="24" customFormat="false" ht="15" hidden="false" customHeight="false" outlineLevel="0" collapsed="false">
      <c r="A24" s="2" t="s">
        <v>31</v>
      </c>
      <c r="B24" s="55" t="n">
        <f aca="false">SUMIFS(Model!$N$2:$N$1001,Model!$J$2:$J$1001,$A24,Model!$J$2:$J$1001,$B$3,Model!$L$2:$L$1001,$B$4)</f>
        <v>408194</v>
      </c>
      <c r="C24" s="56" t="n">
        <f aca="false">COUNTIFS(Model!$J$2:$J$1001,$A24,Model!$J$2:$J$1001,$B$3,Model!$L$2:$L$1001,$B$4)</f>
        <v>149</v>
      </c>
      <c r="D24" s="56" t="n">
        <f aca="false">SUMIFS(Model!$D$2:$D$1001,Model!$J$2:$J$1001,$A24,Model!$J$2:$J$1001,$B$3,Model!$L$2:$L$1001,$B$4)</f>
        <v>438</v>
      </c>
      <c r="E24" s="55" t="n">
        <f aca="false">IFERROR($B24/$C24,0)</f>
        <v>2739.55704697987</v>
      </c>
      <c r="F24" s="60" t="n">
        <f aca="false">IFERROR(AVERAGEIFS(Model!$W$2:$W$1001,Model!$J$2:$J$1001,$A24,Model!$J$2:$J$1001,$B$3,Model!$L$2:$L$1001,$B$4),0)</f>
        <v>5.48723138826746</v>
      </c>
      <c r="G24" s="46"/>
      <c r="H24" s="46"/>
      <c r="I24" s="46"/>
      <c r="J24" s="46"/>
      <c r="K24" s="46"/>
      <c r="L24" s="2" t="n">
        <v>18</v>
      </c>
      <c r="M24" s="2" t="str">
        <f aca="false">INDEX(Products!$B$2:$B$71,MATCH($L24,Products!$A$2:$A$71,0))</f>
        <v>Nemo Set</v>
      </c>
      <c r="N24" s="55" t="n">
        <f aca="false">SUMIFS(Model!$N$2:$N$1001,Model!$J$2:$J$1001,$B$3,Model!$L$2:$L$1001,$B$4,Model!$C$2:$C$1001,$L24)</f>
        <v>26554</v>
      </c>
      <c r="O24" s="57" t="n">
        <f aca="false">$N24+ROW()/1000000</f>
        <v>26554.000024</v>
      </c>
      <c r="P24" s="46"/>
      <c r="Q24" s="46"/>
      <c r="R24" s="46"/>
      <c r="S24" s="46"/>
      <c r="T24" s="2" t="s">
        <v>171</v>
      </c>
      <c r="U24" s="56" t="n">
        <f aca="false">COUNTIFS(Model!$J$2:$J$1001,$B$3,Model!$L$2:$L$1001,$B$4,Model!$I$2:$I$1001,$T24)</f>
        <v>4</v>
      </c>
      <c r="V24" s="55" t="n">
        <f aca="false">SUMIFS(Model!$N$2:$N$1001,Model!$J$2:$J$1001,$B$3,Model!$L$2:$L$1001,$B$4,Model!$I$2:$I$1001,$T24)</f>
        <v>15227</v>
      </c>
      <c r="W24" s="58" t="n">
        <f aca="false">$U24+$V24/1000000000+ROW()/1000000000000</f>
        <v>4.000015227024</v>
      </c>
      <c r="X24" s="46"/>
      <c r="Y24" s="46"/>
      <c r="Z24" s="46"/>
      <c r="AA24" s="46"/>
      <c r="AB24" s="46"/>
      <c r="AC24" s="2" t="s">
        <v>172</v>
      </c>
      <c r="AD24" s="2" t="str">
        <f aca="false">INDEX(Customers!$B$2:$B$101,MATCH($AC24,Customers!$A$2:$A$101,0))</f>
        <v>Eva Vaidya</v>
      </c>
      <c r="AE24" s="55" t="n">
        <f aca="false">SUMIFS(Model!$N$2:$N$1001,Model!$J$2:$J$1001,$B$3,Model!$L$2:$L$1001,$B$4,Model!$B$2:$B$1001,$AC24)</f>
        <v>33717</v>
      </c>
      <c r="AF24" s="56" t="n">
        <f aca="false">COUNTIFS(Model!$J$2:$J$1001,$B$3,Model!$L$2:$L$1001,$B$4,Model!$B$2:$B$1001,$AC24)</f>
        <v>11</v>
      </c>
      <c r="AG24" s="57" t="n">
        <f aca="false">$AE24+ROW()/1000000</f>
        <v>33717.000024</v>
      </c>
      <c r="AH24" s="46"/>
      <c r="AI24" s="46"/>
      <c r="AJ24" s="46"/>
      <c r="AK24" s="46"/>
      <c r="AL24" s="46"/>
      <c r="AM24" s="46"/>
    </row>
    <row r="25" customFormat="false" ht="15" hidden="false" customHeight="false" outlineLevel="0" collapsed="false">
      <c r="A25" s="2" t="s">
        <v>32</v>
      </c>
      <c r="B25" s="55" t="n">
        <f aca="false">SUMIFS(Model!$N$2:$N$1001,Model!$J$2:$J$1001,$A25,Model!$J$2:$J$1001,$B$3,Model!$L$2:$L$1001,$B$4)</f>
        <v>313783</v>
      </c>
      <c r="C25" s="56" t="n">
        <f aca="false">COUNTIFS(Model!$J$2:$J$1001,$A25,Model!$J$2:$J$1001,$B$3,Model!$L$2:$L$1001,$B$4)</f>
        <v>95</v>
      </c>
      <c r="D25" s="56" t="n">
        <f aca="false">SUMIFS(Model!$D$2:$D$1001,Model!$J$2:$J$1001,$A25,Model!$J$2:$J$1001,$B$3,Model!$L$2:$L$1001,$B$4)</f>
        <v>297</v>
      </c>
      <c r="E25" s="55" t="n">
        <f aca="false">IFERROR($B25/$C25,0)</f>
        <v>3302.97894736842</v>
      </c>
      <c r="F25" s="60" t="n">
        <f aca="false">IFERROR(AVERAGEIFS(Model!$W$2:$W$1001,Model!$J$2:$J$1001,$A25,Model!$J$2:$J$1001,$B$3,Model!$L$2:$L$1001,$B$4),0)</f>
        <v>4.95516739766082</v>
      </c>
      <c r="G25" s="46"/>
      <c r="H25" s="46"/>
      <c r="I25" s="46"/>
      <c r="J25" s="46"/>
      <c r="K25" s="46"/>
      <c r="L25" s="2" t="n">
        <v>19</v>
      </c>
      <c r="M25" s="2" t="str">
        <f aca="false">INDEX(Products!$B$2:$B$71,MATCH($L25,Products!$A$2:$A$71,0))</f>
        <v>Iure Gift</v>
      </c>
      <c r="N25" s="55" t="n">
        <f aca="false">SUMIFS(Model!$N$2:$N$1001,Model!$J$2:$J$1001,$B$3,Model!$L$2:$L$1001,$B$4,Model!$C$2:$C$1001,$L25)</f>
        <v>51828</v>
      </c>
      <c r="O25" s="57" t="n">
        <f aca="false">$N25+ROW()/1000000</f>
        <v>51828.000025</v>
      </c>
      <c r="P25" s="46"/>
      <c r="Q25" s="46"/>
      <c r="R25" s="46"/>
      <c r="S25" s="46"/>
      <c r="T25" s="2" t="s">
        <v>173</v>
      </c>
      <c r="U25" s="56" t="n">
        <f aca="false">COUNTIFS(Model!$J$2:$J$1001,$B$3,Model!$L$2:$L$1001,$B$4,Model!$I$2:$I$1001,$T25)</f>
        <v>3</v>
      </c>
      <c r="V25" s="55" t="n">
        <f aca="false">SUMIFS(Model!$N$2:$N$1001,Model!$J$2:$J$1001,$B$3,Model!$L$2:$L$1001,$B$4,Model!$I$2:$I$1001,$T25)</f>
        <v>5653</v>
      </c>
      <c r="W25" s="58" t="n">
        <f aca="false">$U25+$V25/1000000000+ROW()/1000000000000</f>
        <v>3.000005653025</v>
      </c>
      <c r="X25" s="46"/>
      <c r="Y25" s="46"/>
      <c r="Z25" s="46"/>
      <c r="AA25" s="46"/>
      <c r="AB25" s="46"/>
      <c r="AC25" s="2" t="s">
        <v>174</v>
      </c>
      <c r="AD25" s="2" t="str">
        <f aca="false">INDEX(Customers!$B$2:$B$101,MATCH($AC25,Customers!$A$2:$A$101,0))</f>
        <v>Amira Sengupta</v>
      </c>
      <c r="AE25" s="55" t="n">
        <f aca="false">SUMIFS(Model!$N$2:$N$1001,Model!$J$2:$J$1001,$B$3,Model!$L$2:$L$1001,$B$4,Model!$B$2:$B$1001,$AC25)</f>
        <v>40031</v>
      </c>
      <c r="AF25" s="56" t="n">
        <f aca="false">COUNTIFS(Model!$J$2:$J$1001,$B$3,Model!$L$2:$L$1001,$B$4,Model!$B$2:$B$1001,$AC25)</f>
        <v>9</v>
      </c>
      <c r="AG25" s="57" t="n">
        <f aca="false">$AE25+ROW()/1000000</f>
        <v>40031.000025</v>
      </c>
      <c r="AH25" s="46"/>
      <c r="AI25" s="46"/>
      <c r="AJ25" s="46"/>
      <c r="AK25" s="46"/>
      <c r="AL25" s="46"/>
      <c r="AM25" s="46"/>
    </row>
    <row r="26" customFormat="false" ht="15" hidden="false" customHeight="false" outlineLevel="0" collapsed="false">
      <c r="A26" s="2" t="s">
        <v>33</v>
      </c>
      <c r="B26" s="55" t="n">
        <f aca="false">SUMIFS(Model!$N$2:$N$1001,Model!$J$2:$J$1001,$A26,Model!$J$2:$J$1001,$B$3,Model!$L$2:$L$1001,$B$4)</f>
        <v>574682</v>
      </c>
      <c r="C26" s="56" t="n">
        <f aca="false">COUNTIFS(Model!$J$2:$J$1001,$A26,Model!$J$2:$J$1001,$B$3,Model!$L$2:$L$1001,$B$4)</f>
        <v>180</v>
      </c>
      <c r="D26" s="56" t="n">
        <f aca="false">SUMIFS(Model!$D$2:$D$1001,Model!$J$2:$J$1001,$A26,Model!$J$2:$J$1001,$B$3,Model!$L$2:$L$1001,$B$4)</f>
        <v>544</v>
      </c>
      <c r="E26" s="55" t="n">
        <f aca="false">IFERROR($B26/$C26,0)</f>
        <v>3192.67777777778</v>
      </c>
      <c r="F26" s="60" t="n">
        <f aca="false">IFERROR(AVERAGEIFS(Model!$W$2:$W$1001,Model!$J$2:$J$1001,$A26,Model!$J$2:$J$1001,$B$3,Model!$L$2:$L$1001,$B$4),0)</f>
        <v>5.76081063528807</v>
      </c>
      <c r="G26" s="46"/>
      <c r="H26" s="46"/>
      <c r="I26" s="46"/>
      <c r="J26" s="46"/>
      <c r="K26" s="46"/>
      <c r="L26" s="2" t="n">
        <v>20</v>
      </c>
      <c r="M26" s="2" t="str">
        <f aca="false">INDEX(Products!$B$2:$B$71,MATCH($L26,Products!$A$2:$A$71,0))</f>
        <v>Reiciendis Box</v>
      </c>
      <c r="N26" s="55" t="n">
        <f aca="false">SUMIFS(Model!$N$2:$N$1001,Model!$J$2:$J$1001,$B$3,Model!$L$2:$L$1001,$B$4,Model!$C$2:$C$1001,$L26)</f>
        <v>20910</v>
      </c>
      <c r="O26" s="57" t="n">
        <f aca="false">$N26+ROW()/1000000</f>
        <v>20910.000026</v>
      </c>
      <c r="P26" s="46"/>
      <c r="Q26" s="46"/>
      <c r="R26" s="46"/>
      <c r="S26" s="46"/>
      <c r="T26" s="2" t="s">
        <v>175</v>
      </c>
      <c r="U26" s="56" t="n">
        <f aca="false">COUNTIFS(Model!$J$2:$J$1001,$B$3,Model!$L$2:$L$1001,$B$4,Model!$I$2:$I$1001,$T26)</f>
        <v>5</v>
      </c>
      <c r="V26" s="55" t="n">
        <f aca="false">SUMIFS(Model!$N$2:$N$1001,Model!$J$2:$J$1001,$B$3,Model!$L$2:$L$1001,$B$4,Model!$I$2:$I$1001,$T26)</f>
        <v>8635</v>
      </c>
      <c r="W26" s="58" t="n">
        <f aca="false">$U26+$V26/1000000000+ROW()/1000000000000</f>
        <v>5.000008635026</v>
      </c>
      <c r="X26" s="46"/>
      <c r="Y26" s="46"/>
      <c r="Z26" s="46"/>
      <c r="AA26" s="46"/>
      <c r="AB26" s="46"/>
      <c r="AC26" s="2" t="s">
        <v>176</v>
      </c>
      <c r="AD26" s="2" t="str">
        <f aca="false">INDEX(Customers!$B$2:$B$101,MATCH($AC26,Customers!$A$2:$A$101,0))</f>
        <v>Samaira Ganesh</v>
      </c>
      <c r="AE26" s="55" t="n">
        <f aca="false">SUMIFS(Model!$N$2:$N$1001,Model!$J$2:$J$1001,$B$3,Model!$L$2:$L$1001,$B$4,Model!$B$2:$B$1001,$AC26)</f>
        <v>75029</v>
      </c>
      <c r="AF26" s="56" t="n">
        <f aca="false">COUNTIFS(Model!$J$2:$J$1001,$B$3,Model!$L$2:$L$1001,$B$4,Model!$B$2:$B$1001,$AC26)</f>
        <v>16</v>
      </c>
      <c r="AG26" s="57" t="n">
        <f aca="false">$AE26+ROW()/1000000</f>
        <v>75029.000026</v>
      </c>
      <c r="AH26" s="46"/>
      <c r="AI26" s="46"/>
      <c r="AJ26" s="46"/>
      <c r="AK26" s="46"/>
      <c r="AL26" s="46"/>
      <c r="AM26" s="46"/>
    </row>
    <row r="27" customFormat="false" ht="15" hidden="false" customHeight="false" outlineLevel="0" collapsed="false">
      <c r="A27" s="2" t="s">
        <v>40</v>
      </c>
      <c r="B27" s="55" t="n">
        <f aca="false">SUMIFS(Model!$N$2:$N$1001,Model!$J$2:$J$1001,$A27,Model!$J$2:$J$1001,$B$3,Model!$L$2:$L$1001,$B$4)</f>
        <v>631585</v>
      </c>
      <c r="C27" s="56" t="n">
        <f aca="false">COUNTIFS(Model!$J$2:$J$1001,$A27,Model!$J$2:$J$1001,$B$3,Model!$L$2:$L$1001,$B$4)</f>
        <v>132</v>
      </c>
      <c r="D27" s="56" t="n">
        <f aca="false">SUMIFS(Model!$D$2:$D$1001,Model!$J$2:$J$1001,$A27,Model!$J$2:$J$1001,$B$3,Model!$L$2:$L$1001,$B$4)</f>
        <v>424</v>
      </c>
      <c r="E27" s="55" t="n">
        <f aca="false">IFERROR($B27/$C27,0)</f>
        <v>4784.73484848485</v>
      </c>
      <c r="F27" s="60" t="n">
        <f aca="false">IFERROR(AVERAGEIFS(Model!$W$2:$W$1001,Model!$J$2:$J$1001,$A27,Model!$J$2:$J$1001,$B$3,Model!$L$2:$L$1001,$B$4),0)</f>
        <v>5.64390651304714</v>
      </c>
      <c r="G27" s="46"/>
      <c r="H27" s="46"/>
      <c r="I27" s="46"/>
      <c r="J27" s="46"/>
      <c r="K27" s="46"/>
      <c r="L27" s="2" t="n">
        <v>21</v>
      </c>
      <c r="M27" s="2" t="str">
        <f aca="false">INDEX(Products!$B$2:$B$71,MATCH($L27,Products!$A$2:$A$71,0))</f>
        <v>Quia Gift</v>
      </c>
      <c r="N27" s="55" t="n">
        <f aca="false">SUMIFS(Model!$N$2:$N$1001,Model!$J$2:$J$1001,$B$3,Model!$L$2:$L$1001,$B$4,Model!$C$2:$C$1001,$L27)</f>
        <v>68684</v>
      </c>
      <c r="O27" s="57" t="n">
        <f aca="false">$N27+ROW()/1000000</f>
        <v>68684.000027</v>
      </c>
      <c r="P27" s="46"/>
      <c r="Q27" s="46"/>
      <c r="R27" s="46"/>
      <c r="S27" s="46"/>
      <c r="T27" s="2" t="s">
        <v>177</v>
      </c>
      <c r="U27" s="56" t="n">
        <f aca="false">COUNTIFS(Model!$J$2:$J$1001,$B$3,Model!$L$2:$L$1001,$B$4,Model!$I$2:$I$1001,$T27)</f>
        <v>1</v>
      </c>
      <c r="V27" s="55" t="n">
        <f aca="false">SUMIFS(Model!$N$2:$N$1001,Model!$J$2:$J$1001,$B$3,Model!$L$2:$L$1001,$B$4,Model!$I$2:$I$1001,$T27)</f>
        <v>4515</v>
      </c>
      <c r="W27" s="58" t="n">
        <f aca="false">$U27+$V27/1000000000+ROW()/1000000000000</f>
        <v>1.000004515027</v>
      </c>
      <c r="X27" s="46"/>
      <c r="Y27" s="46"/>
      <c r="Z27" s="46"/>
      <c r="AA27" s="46"/>
      <c r="AB27" s="46"/>
      <c r="AC27" s="2" t="s">
        <v>178</v>
      </c>
      <c r="AD27" s="2" t="str">
        <f aca="false">INDEX(Customers!$B$2:$B$101,MATCH($AC27,Customers!$A$2:$A$101,0))</f>
        <v>Siya Talwar</v>
      </c>
      <c r="AE27" s="55" t="n">
        <f aca="false">SUMIFS(Model!$N$2:$N$1001,Model!$J$2:$J$1001,$B$3,Model!$L$2:$L$1001,$B$4,Model!$B$2:$B$1001,$AC27)</f>
        <v>23641</v>
      </c>
      <c r="AF27" s="56" t="n">
        <f aca="false">COUNTIFS(Model!$J$2:$J$1001,$B$3,Model!$L$2:$L$1001,$B$4,Model!$B$2:$B$1001,$AC27)</f>
        <v>6</v>
      </c>
      <c r="AG27" s="57" t="n">
        <f aca="false">$AE27+ROW()/1000000</f>
        <v>23641.000027</v>
      </c>
      <c r="AH27" s="46"/>
      <c r="AI27" s="46"/>
      <c r="AJ27" s="46"/>
      <c r="AK27" s="46"/>
      <c r="AL27" s="46"/>
      <c r="AM27" s="46"/>
    </row>
    <row r="28" customFormat="false" ht="15" hidden="false" customHeight="false" outlineLevel="0" collapsed="false">
      <c r="A28" s="2" t="s">
        <v>179</v>
      </c>
      <c r="B28" s="55" t="n">
        <f aca="false">SUMIFS(Model!$N$2:$N$1001,Model!$J$2:$J$1001,$A28,Model!$J$2:$J$1001,$B$3,Model!$L$2:$L$1001,$B$4)</f>
        <v>331930</v>
      </c>
      <c r="C28" s="56" t="n">
        <f aca="false">COUNTIFS(Model!$J$2:$J$1001,$A28,Model!$J$2:$J$1001,$B$3,Model!$L$2:$L$1001,$B$4)</f>
        <v>113</v>
      </c>
      <c r="D28" s="56" t="n">
        <f aca="false">SUMIFS(Model!$D$2:$D$1001,Model!$J$2:$J$1001,$A28,Model!$J$2:$J$1001,$B$3,Model!$L$2:$L$1001,$B$4)</f>
        <v>350</v>
      </c>
      <c r="E28" s="55" t="n">
        <f aca="false">IFERROR($B28/$C28,0)</f>
        <v>2937.43362831858</v>
      </c>
      <c r="F28" s="60" t="n">
        <f aca="false">IFERROR(AVERAGEIFS(Model!$W$2:$W$1001,Model!$J$2:$J$1001,$A28,Model!$J$2:$J$1001,$B$3,Model!$L$2:$L$1001,$B$4),0)</f>
        <v>5.23291810062275</v>
      </c>
      <c r="G28" s="46"/>
      <c r="H28" s="46"/>
      <c r="I28" s="46"/>
      <c r="J28" s="46"/>
      <c r="K28" s="46"/>
      <c r="L28" s="2" t="n">
        <v>22</v>
      </c>
      <c r="M28" s="2" t="str">
        <f aca="false">INDEX(Products!$B$2:$B$71,MATCH($L28,Products!$A$2:$A$71,0))</f>
        <v>Exercitationem Pack</v>
      </c>
      <c r="N28" s="55" t="n">
        <f aca="false">SUMIFS(Model!$N$2:$N$1001,Model!$J$2:$J$1001,$B$3,Model!$L$2:$L$1001,$B$4,Model!$C$2:$C$1001,$L28)</f>
        <v>96701</v>
      </c>
      <c r="O28" s="57" t="n">
        <f aca="false">$N28+ROW()/1000000</f>
        <v>96701.000028</v>
      </c>
      <c r="P28" s="46"/>
      <c r="Q28" s="46"/>
      <c r="R28" s="46"/>
      <c r="S28" s="46"/>
      <c r="T28" s="2" t="s">
        <v>180</v>
      </c>
      <c r="U28" s="56" t="n">
        <f aca="false">COUNTIFS(Model!$J$2:$J$1001,$B$3,Model!$L$2:$L$1001,$B$4,Model!$I$2:$I$1001,$T28)</f>
        <v>1</v>
      </c>
      <c r="V28" s="55" t="n">
        <f aca="false">SUMIFS(Model!$N$2:$N$1001,Model!$J$2:$J$1001,$B$3,Model!$L$2:$L$1001,$B$4,Model!$I$2:$I$1001,$T28)</f>
        <v>7805</v>
      </c>
      <c r="W28" s="58" t="n">
        <f aca="false">$U28+$V28/1000000000+ROW()/1000000000000</f>
        <v>1.000007805028</v>
      </c>
      <c r="X28" s="46"/>
      <c r="Y28" s="46"/>
      <c r="Z28" s="46"/>
      <c r="AA28" s="46"/>
      <c r="AB28" s="46"/>
      <c r="AC28" s="2" t="s">
        <v>181</v>
      </c>
      <c r="AD28" s="2" t="str">
        <f aca="false">INDEX(Customers!$B$2:$B$101,MATCH($AC28,Customers!$A$2:$A$101,0))</f>
        <v>Ivana Rout</v>
      </c>
      <c r="AE28" s="55" t="n">
        <f aca="false">SUMIFS(Model!$N$2:$N$1001,Model!$J$2:$J$1001,$B$3,Model!$L$2:$L$1001,$B$4,Model!$B$2:$B$1001,$AC28)</f>
        <v>40262</v>
      </c>
      <c r="AF28" s="56" t="n">
        <f aca="false">COUNTIFS(Model!$J$2:$J$1001,$B$3,Model!$L$2:$L$1001,$B$4,Model!$B$2:$B$1001,$AC28)</f>
        <v>8</v>
      </c>
      <c r="AG28" s="57" t="n">
        <f aca="false">$AE28+ROW()/1000000</f>
        <v>40262.000028</v>
      </c>
      <c r="AH28" s="46"/>
      <c r="AI28" s="46"/>
      <c r="AJ28" s="46"/>
      <c r="AK28" s="46"/>
      <c r="AL28" s="46"/>
      <c r="AM28" s="46"/>
    </row>
    <row r="29" customFormat="false" ht="15" hidden="false" customHeight="false" outlineLevel="0" collapsed="false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2" t="n">
        <v>23</v>
      </c>
      <c r="M29" s="2" t="str">
        <f aca="false">INDEX(Products!$B$2:$B$71,MATCH($L29,Products!$A$2:$A$71,0))</f>
        <v>Dignissimos Pack</v>
      </c>
      <c r="N29" s="55" t="n">
        <f aca="false">SUMIFS(Model!$N$2:$N$1001,Model!$J$2:$J$1001,$B$3,Model!$L$2:$L$1001,$B$4,Model!$C$2:$C$1001,$L29)</f>
        <v>90036</v>
      </c>
      <c r="O29" s="57" t="n">
        <f aca="false">$N29+ROW()/1000000</f>
        <v>90036.000029</v>
      </c>
      <c r="P29" s="46"/>
      <c r="Q29" s="46"/>
      <c r="R29" s="46"/>
      <c r="S29" s="46"/>
      <c r="T29" s="2" t="s">
        <v>182</v>
      </c>
      <c r="U29" s="56" t="n">
        <f aca="false">COUNTIFS(Model!$J$2:$J$1001,$B$3,Model!$L$2:$L$1001,$B$4,Model!$I$2:$I$1001,$T29)</f>
        <v>1</v>
      </c>
      <c r="V29" s="55" t="n">
        <f aca="false">SUMIFS(Model!$N$2:$N$1001,Model!$J$2:$J$1001,$B$3,Model!$L$2:$L$1001,$B$4,Model!$I$2:$I$1001,$T29)</f>
        <v>1180</v>
      </c>
      <c r="W29" s="58" t="n">
        <f aca="false">$U29+$V29/1000000000+ROW()/1000000000000</f>
        <v>1.000001180029</v>
      </c>
      <c r="X29" s="46"/>
      <c r="Y29" s="46"/>
      <c r="Z29" s="46"/>
      <c r="AA29" s="46"/>
      <c r="AB29" s="46"/>
      <c r="AC29" s="2" t="s">
        <v>183</v>
      </c>
      <c r="AD29" s="2" t="str">
        <f aca="false">INDEX(Customers!$B$2:$B$101,MATCH($AC29,Customers!$A$2:$A$101,0))</f>
        <v>Abram Sandhu</v>
      </c>
      <c r="AE29" s="55" t="n">
        <f aca="false">SUMIFS(Model!$N$2:$N$1001,Model!$J$2:$J$1001,$B$3,Model!$L$2:$L$1001,$B$4,Model!$B$2:$B$1001,$AC29)</f>
        <v>41112</v>
      </c>
      <c r="AF29" s="56" t="n">
        <f aca="false">COUNTIFS(Model!$J$2:$J$1001,$B$3,Model!$L$2:$L$1001,$B$4,Model!$B$2:$B$1001,$AC29)</f>
        <v>10</v>
      </c>
      <c r="AG29" s="57" t="n">
        <f aca="false">$AE29+ROW()/1000000</f>
        <v>41112.000029</v>
      </c>
      <c r="AH29" s="46"/>
      <c r="AI29" s="46"/>
      <c r="AJ29" s="46"/>
      <c r="AK29" s="46"/>
      <c r="AL29" s="46"/>
      <c r="AM29" s="46"/>
    </row>
    <row r="30" customFormat="false" ht="15" hidden="false" customHeight="false" outlineLevel="0" collapsed="false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2" t="n">
        <v>24</v>
      </c>
      <c r="M30" s="2" t="str">
        <f aca="false">INDEX(Products!$B$2:$B$71,MATCH($L30,Products!$A$2:$A$71,0))</f>
        <v>Ad Box</v>
      </c>
      <c r="N30" s="55" t="n">
        <f aca="false">SUMIFS(Model!$N$2:$N$1001,Model!$J$2:$J$1001,$B$3,Model!$L$2:$L$1001,$B$4,Model!$C$2:$C$1001,$L30)</f>
        <v>38520</v>
      </c>
      <c r="O30" s="57" t="n">
        <f aca="false">$N30+ROW()/1000000</f>
        <v>38520.00003</v>
      </c>
      <c r="P30" s="46"/>
      <c r="Q30" s="46"/>
      <c r="R30" s="46"/>
      <c r="S30" s="46"/>
      <c r="T30" s="2" t="s">
        <v>184</v>
      </c>
      <c r="U30" s="56" t="n">
        <f aca="false">COUNTIFS(Model!$J$2:$J$1001,$B$3,Model!$L$2:$L$1001,$B$4,Model!$I$2:$I$1001,$T30)</f>
        <v>3</v>
      </c>
      <c r="V30" s="55" t="n">
        <f aca="false">SUMIFS(Model!$N$2:$N$1001,Model!$J$2:$J$1001,$B$3,Model!$L$2:$L$1001,$B$4,Model!$I$2:$I$1001,$T30)</f>
        <v>4945</v>
      </c>
      <c r="W30" s="58" t="n">
        <f aca="false">$U30+$V30/1000000000+ROW()/1000000000000</f>
        <v>3.00000494503</v>
      </c>
      <c r="X30" s="46"/>
      <c r="Y30" s="46"/>
      <c r="Z30" s="46"/>
      <c r="AA30" s="46"/>
      <c r="AB30" s="46"/>
      <c r="AC30" s="2" t="s">
        <v>185</v>
      </c>
      <c r="AD30" s="2" t="str">
        <f aca="false">INDEX(Customers!$B$2:$B$101,MATCH($AC30,Customers!$A$2:$A$101,0))</f>
        <v>Jhanvi Chowdhury</v>
      </c>
      <c r="AE30" s="55" t="n">
        <f aca="false">SUMIFS(Model!$N$2:$N$1001,Model!$J$2:$J$1001,$B$3,Model!$L$2:$L$1001,$B$4,Model!$B$2:$B$1001,$AC30)</f>
        <v>59666</v>
      </c>
      <c r="AF30" s="56" t="n">
        <f aca="false">COUNTIFS(Model!$J$2:$J$1001,$B$3,Model!$L$2:$L$1001,$B$4,Model!$B$2:$B$1001,$AC30)</f>
        <v>14</v>
      </c>
      <c r="AG30" s="57" t="n">
        <f aca="false">$AE30+ROW()/1000000</f>
        <v>59666.00003</v>
      </c>
      <c r="AH30" s="46"/>
      <c r="AI30" s="46"/>
      <c r="AJ30" s="46"/>
      <c r="AK30" s="46"/>
      <c r="AL30" s="46"/>
      <c r="AM30" s="46"/>
    </row>
    <row r="31" customFormat="false" ht="15" hidden="false" customHeight="false" outlineLevel="0" collapsed="false">
      <c r="A31" s="49" t="s">
        <v>186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2" t="n">
        <v>25</v>
      </c>
      <c r="M31" s="2" t="str">
        <f aca="false">INDEX(Products!$B$2:$B$71,MATCH($L31,Products!$A$2:$A$71,0))</f>
        <v>Qui Gift</v>
      </c>
      <c r="N31" s="55" t="n">
        <f aca="false">SUMIFS(Model!$N$2:$N$1001,Model!$J$2:$J$1001,$B$3,Model!$L$2:$L$1001,$B$4,Model!$C$2:$C$1001,$L31)</f>
        <v>58898</v>
      </c>
      <c r="O31" s="57" t="n">
        <f aca="false">$N31+ROW()/1000000</f>
        <v>58898.000031</v>
      </c>
      <c r="P31" s="46"/>
      <c r="Q31" s="46"/>
      <c r="R31" s="46"/>
      <c r="S31" s="46"/>
      <c r="T31" s="2" t="s">
        <v>187</v>
      </c>
      <c r="U31" s="56" t="n">
        <f aca="false">COUNTIFS(Model!$J$2:$J$1001,$B$3,Model!$L$2:$L$1001,$B$4,Model!$I$2:$I$1001,$T31)</f>
        <v>4</v>
      </c>
      <c r="V31" s="55" t="n">
        <f aca="false">SUMIFS(Model!$N$2:$N$1001,Model!$J$2:$J$1001,$B$3,Model!$L$2:$L$1001,$B$4,Model!$I$2:$I$1001,$T31)</f>
        <v>21817</v>
      </c>
      <c r="W31" s="58" t="n">
        <f aca="false">$U31+$V31/1000000000+ROW()/1000000000000</f>
        <v>4.000021817031</v>
      </c>
      <c r="X31" s="46"/>
      <c r="Y31" s="46"/>
      <c r="Z31" s="46"/>
      <c r="AA31" s="46"/>
      <c r="AB31" s="46"/>
      <c r="AC31" s="2" t="s">
        <v>188</v>
      </c>
      <c r="AD31" s="2" t="str">
        <f aca="false">INDEX(Customers!$B$2:$B$101,MATCH($AC31,Customers!$A$2:$A$101,0))</f>
        <v>Ira Bava</v>
      </c>
      <c r="AE31" s="55" t="n">
        <f aca="false">SUMIFS(Model!$N$2:$N$1001,Model!$J$2:$J$1001,$B$3,Model!$L$2:$L$1001,$B$4,Model!$B$2:$B$1001,$AC31)</f>
        <v>26463</v>
      </c>
      <c r="AF31" s="56" t="n">
        <f aca="false">COUNTIFS(Model!$J$2:$J$1001,$B$3,Model!$L$2:$L$1001,$B$4,Model!$B$2:$B$1001,$AC31)</f>
        <v>6</v>
      </c>
      <c r="AG31" s="57" t="n">
        <f aca="false">$AE31+ROW()/1000000</f>
        <v>26463.000031</v>
      </c>
      <c r="AH31" s="46"/>
      <c r="AI31" s="46"/>
      <c r="AJ31" s="46"/>
      <c r="AK31" s="46"/>
      <c r="AL31" s="46"/>
      <c r="AM31" s="46"/>
    </row>
    <row r="32" customFormat="false" ht="15" hidden="false" customHeight="false" outlineLevel="0" collapsed="false">
      <c r="A32" s="50" t="s">
        <v>36</v>
      </c>
      <c r="B32" s="51" t="n">
        <f aca="false">SUMIFS(Model!$N$2:$N$1001,Model!$L$2:$L$1001,$A32,Model!$L$2:$L$1001,$B$4,Model!$J$2:$J$1001,$B$3)</f>
        <v>329862</v>
      </c>
      <c r="C32" s="52" t="n">
        <f aca="false">COUNTIFS(Model!$L$2:$L$1001,$A32,Model!$L$2:$L$1001,$B$4,Model!$J$2:$J$1001,$B$3)</f>
        <v>118</v>
      </c>
      <c r="D32" s="52" t="n">
        <f aca="false">SUMIFS(Model!$D$2:$D$1001,Model!$L$2:$L$1001,$A32,Model!$L$2:$L$1001,$B$4,Model!$J$2:$J$1001,$B$3)</f>
        <v>375</v>
      </c>
      <c r="E32" s="51" t="n">
        <f aca="false">IFERROR($B32/$C32,0)</f>
        <v>2795.4406779661</v>
      </c>
      <c r="F32" s="46"/>
      <c r="G32" s="46"/>
      <c r="H32" s="46"/>
      <c r="I32" s="46"/>
      <c r="J32" s="46"/>
      <c r="K32" s="46"/>
      <c r="L32" s="2" t="n">
        <v>26</v>
      </c>
      <c r="M32" s="2" t="str">
        <f aca="false">INDEX(Products!$B$2:$B$71,MATCH($L32,Products!$A$2:$A$71,0))</f>
        <v>Aliquam Box</v>
      </c>
      <c r="N32" s="55" t="n">
        <f aca="false">SUMIFS(Model!$N$2:$N$1001,Model!$J$2:$J$1001,$B$3,Model!$L$2:$L$1001,$B$4,Model!$C$2:$C$1001,$L32)</f>
        <v>18785</v>
      </c>
      <c r="O32" s="57" t="n">
        <f aca="false">$N32+ROW()/1000000</f>
        <v>18785.000032</v>
      </c>
      <c r="P32" s="46"/>
      <c r="Q32" s="46"/>
      <c r="R32" s="46"/>
      <c r="S32" s="46"/>
      <c r="T32" s="2" t="s">
        <v>189</v>
      </c>
      <c r="U32" s="56" t="n">
        <f aca="false">COUNTIFS(Model!$J$2:$J$1001,$B$3,Model!$L$2:$L$1001,$B$4,Model!$I$2:$I$1001,$T32)</f>
        <v>5</v>
      </c>
      <c r="V32" s="55" t="n">
        <f aca="false">SUMIFS(Model!$N$2:$N$1001,Model!$J$2:$J$1001,$B$3,Model!$L$2:$L$1001,$B$4,Model!$I$2:$I$1001,$T32)</f>
        <v>17069</v>
      </c>
      <c r="W32" s="58" t="n">
        <f aca="false">$U32+$V32/1000000000+ROW()/1000000000000</f>
        <v>5.000017069032</v>
      </c>
      <c r="X32" s="46"/>
      <c r="Y32" s="46"/>
      <c r="Z32" s="46"/>
      <c r="AA32" s="46"/>
      <c r="AB32" s="46"/>
      <c r="AC32" s="2" t="s">
        <v>190</v>
      </c>
      <c r="AD32" s="2" t="str">
        <f aca="false">INDEX(Customers!$B$2:$B$101,MATCH($AC32,Customers!$A$2:$A$101,0))</f>
        <v>Ira Chahal</v>
      </c>
      <c r="AE32" s="55" t="n">
        <f aca="false">SUMIFS(Model!$N$2:$N$1001,Model!$J$2:$J$1001,$B$3,Model!$L$2:$L$1001,$B$4,Model!$B$2:$B$1001,$AC32)</f>
        <v>31319</v>
      </c>
      <c r="AF32" s="56" t="n">
        <f aca="false">COUNTIFS(Model!$J$2:$J$1001,$B$3,Model!$L$2:$L$1001,$B$4,Model!$B$2:$B$1001,$AC32)</f>
        <v>9</v>
      </c>
      <c r="AG32" s="57" t="n">
        <f aca="false">$AE32+ROW()/1000000</f>
        <v>31319.000032</v>
      </c>
      <c r="AH32" s="46"/>
      <c r="AI32" s="46"/>
      <c r="AJ32" s="46"/>
      <c r="AK32" s="46"/>
      <c r="AL32" s="46"/>
      <c r="AM32" s="46"/>
    </row>
    <row r="33" customFormat="false" ht="15" hidden="false" customHeight="false" outlineLevel="0" collapsed="false">
      <c r="A33" s="2" t="s">
        <v>37</v>
      </c>
      <c r="B33" s="55" t="n">
        <f aca="false">SUMIFS(Model!$N$2:$N$1001,Model!$L$2:$L$1001,$A33,Model!$L$2:$L$1001,$B$4,Model!$J$2:$J$1001,$B$3)</f>
        <v>1005645</v>
      </c>
      <c r="C33" s="56" t="n">
        <f aca="false">COUNTIFS(Model!$L$2:$L$1001,$A33,Model!$L$2:$L$1001,$B$4,Model!$J$2:$J$1001,$B$3)</f>
        <v>273</v>
      </c>
      <c r="D33" s="56" t="n">
        <f aca="false">SUMIFS(Model!$D$2:$D$1001,Model!$L$2:$L$1001,$A33,Model!$L$2:$L$1001,$B$4,Model!$J$2:$J$1001,$B$3)</f>
        <v>810</v>
      </c>
      <c r="E33" s="55" t="n">
        <f aca="false">IFERROR($B33/$C33,0)</f>
        <v>3683.68131868132</v>
      </c>
      <c r="F33" s="46"/>
      <c r="G33" s="46"/>
      <c r="H33" s="46"/>
      <c r="I33" s="46"/>
      <c r="J33" s="46"/>
      <c r="K33" s="46"/>
      <c r="L33" s="2" t="n">
        <v>27</v>
      </c>
      <c r="M33" s="2" t="str">
        <f aca="false">INDEX(Products!$B$2:$B$71,MATCH($L33,Products!$A$2:$A$71,0))</f>
        <v>Architecto Gift</v>
      </c>
      <c r="N33" s="55" t="n">
        <f aca="false">SUMIFS(Model!$N$2:$N$1001,Model!$J$2:$J$1001,$B$3,Model!$L$2:$L$1001,$B$4,Model!$C$2:$C$1001,$L33)</f>
        <v>26852</v>
      </c>
      <c r="O33" s="57" t="n">
        <f aca="false">$N33+ROW()/1000000</f>
        <v>26852.000033</v>
      </c>
      <c r="P33" s="46"/>
      <c r="Q33" s="46"/>
      <c r="R33" s="46"/>
      <c r="S33" s="46"/>
      <c r="T33" s="2" t="s">
        <v>191</v>
      </c>
      <c r="U33" s="56" t="n">
        <f aca="false">COUNTIFS(Model!$J$2:$J$1001,$B$3,Model!$L$2:$L$1001,$B$4,Model!$I$2:$I$1001,$T33)</f>
        <v>3</v>
      </c>
      <c r="V33" s="55" t="n">
        <f aca="false">SUMIFS(Model!$N$2:$N$1001,Model!$J$2:$J$1001,$B$3,Model!$L$2:$L$1001,$B$4,Model!$I$2:$I$1001,$T33)</f>
        <v>10858</v>
      </c>
      <c r="W33" s="58" t="n">
        <f aca="false">$U33+$V33/1000000000+ROW()/1000000000000</f>
        <v>3.000010858033</v>
      </c>
      <c r="X33" s="46"/>
      <c r="Y33" s="46"/>
      <c r="Z33" s="46"/>
      <c r="AA33" s="46"/>
      <c r="AB33" s="46"/>
      <c r="AC33" s="2" t="s">
        <v>192</v>
      </c>
      <c r="AD33" s="2" t="str">
        <f aca="false">INDEX(Customers!$B$2:$B$101,MATCH($AC33,Customers!$A$2:$A$101,0))</f>
        <v>Kashvi Sur</v>
      </c>
      <c r="AE33" s="55" t="n">
        <f aca="false">SUMIFS(Model!$N$2:$N$1001,Model!$J$2:$J$1001,$B$3,Model!$L$2:$L$1001,$B$4,Model!$B$2:$B$1001,$AC33)</f>
        <v>33149</v>
      </c>
      <c r="AF33" s="56" t="n">
        <f aca="false">COUNTIFS(Model!$J$2:$J$1001,$B$3,Model!$L$2:$L$1001,$B$4,Model!$B$2:$B$1001,$AC33)</f>
        <v>8</v>
      </c>
      <c r="AG33" s="57" t="n">
        <f aca="false">$AE33+ROW()/1000000</f>
        <v>33149.000033</v>
      </c>
      <c r="AH33" s="46"/>
      <c r="AI33" s="46"/>
      <c r="AJ33" s="46"/>
      <c r="AK33" s="46"/>
      <c r="AL33" s="46"/>
      <c r="AM33" s="46"/>
    </row>
    <row r="34" customFormat="false" ht="15" hidden="false" customHeight="false" outlineLevel="0" collapsed="false">
      <c r="A34" s="2" t="s">
        <v>38</v>
      </c>
      <c r="B34" s="55" t="n">
        <f aca="false">SUMIFS(Model!$N$2:$N$1001,Model!$L$2:$L$1001,$A34,Model!$L$2:$L$1001,$B$4,Model!$J$2:$J$1001,$B$3)</f>
        <v>201151</v>
      </c>
      <c r="C34" s="56" t="n">
        <f aca="false">COUNTIFS(Model!$L$2:$L$1001,$A34,Model!$L$2:$L$1001,$B$4,Model!$J$2:$J$1001,$B$3)</f>
        <v>74</v>
      </c>
      <c r="D34" s="56" t="n">
        <f aca="false">SUMIFS(Model!$D$2:$D$1001,Model!$L$2:$L$1001,$A34,Model!$L$2:$L$1001,$B$4,Model!$J$2:$J$1001,$B$3)</f>
        <v>232</v>
      </c>
      <c r="E34" s="55" t="n">
        <f aca="false">IFERROR($B34/$C34,0)</f>
        <v>2718.25675675676</v>
      </c>
      <c r="F34" s="46"/>
      <c r="G34" s="46"/>
      <c r="H34" s="46"/>
      <c r="I34" s="46"/>
      <c r="J34" s="46"/>
      <c r="K34" s="46"/>
      <c r="L34" s="2" t="n">
        <v>28</v>
      </c>
      <c r="M34" s="2" t="str">
        <f aca="false">INDEX(Products!$B$2:$B$71,MATCH($L34,Products!$A$2:$A$71,0))</f>
        <v>Velit Set</v>
      </c>
      <c r="N34" s="55" t="n">
        <f aca="false">SUMIFS(Model!$N$2:$N$1001,Model!$J$2:$J$1001,$B$3,Model!$L$2:$L$1001,$B$4,Model!$C$2:$C$1001,$L34)</f>
        <v>76454</v>
      </c>
      <c r="O34" s="57" t="n">
        <f aca="false">$N34+ROW()/1000000</f>
        <v>76454.000034</v>
      </c>
      <c r="P34" s="46"/>
      <c r="Q34" s="46"/>
      <c r="R34" s="46"/>
      <c r="S34" s="46"/>
      <c r="T34" s="2" t="s">
        <v>193</v>
      </c>
      <c r="U34" s="56" t="n">
        <f aca="false">COUNTIFS(Model!$J$2:$J$1001,$B$3,Model!$L$2:$L$1001,$B$4,Model!$I$2:$I$1001,$T34)</f>
        <v>6</v>
      </c>
      <c r="V34" s="55" t="n">
        <f aca="false">SUMIFS(Model!$N$2:$N$1001,Model!$J$2:$J$1001,$B$3,Model!$L$2:$L$1001,$B$4,Model!$I$2:$I$1001,$T34)</f>
        <v>14299</v>
      </c>
      <c r="W34" s="58" t="n">
        <f aca="false">$U34+$V34/1000000000+ROW()/1000000000000</f>
        <v>6.000014299034</v>
      </c>
      <c r="X34" s="46"/>
      <c r="Y34" s="46"/>
      <c r="Z34" s="46"/>
      <c r="AA34" s="46"/>
      <c r="AB34" s="46"/>
      <c r="AC34" s="2" t="s">
        <v>194</v>
      </c>
      <c r="AD34" s="2" t="str">
        <f aca="false">INDEX(Customers!$B$2:$B$101,MATCH($AC34,Customers!$A$2:$A$101,0))</f>
        <v>Hridaan Rajagopalan</v>
      </c>
      <c r="AE34" s="55" t="n">
        <f aca="false">SUMIFS(Model!$N$2:$N$1001,Model!$J$2:$J$1001,$B$3,Model!$L$2:$L$1001,$B$4,Model!$B$2:$B$1001,$AC34)</f>
        <v>37013</v>
      </c>
      <c r="AF34" s="56" t="n">
        <f aca="false">COUNTIFS(Model!$J$2:$J$1001,$B$3,Model!$L$2:$L$1001,$B$4,Model!$B$2:$B$1001,$AC34)</f>
        <v>13</v>
      </c>
      <c r="AG34" s="57" t="n">
        <f aca="false">$AE34+ROW()/1000000</f>
        <v>37013.000034</v>
      </c>
      <c r="AH34" s="46"/>
      <c r="AI34" s="46"/>
      <c r="AJ34" s="46"/>
      <c r="AK34" s="46"/>
      <c r="AL34" s="46"/>
      <c r="AM34" s="46"/>
    </row>
    <row r="35" customFormat="false" ht="15" hidden="false" customHeight="false" outlineLevel="0" collapsed="false">
      <c r="A35" s="2" t="s">
        <v>39</v>
      </c>
      <c r="B35" s="55" t="n">
        <f aca="false">SUMIFS(Model!$N$2:$N$1001,Model!$L$2:$L$1001,$A35,Model!$L$2:$L$1001,$B$4,Model!$J$2:$J$1001,$B$3)</f>
        <v>212281</v>
      </c>
      <c r="C35" s="56" t="n">
        <f aca="false">COUNTIFS(Model!$L$2:$L$1001,$A35,Model!$L$2:$L$1001,$B$4,Model!$J$2:$J$1001,$B$3)</f>
        <v>99</v>
      </c>
      <c r="D35" s="56" t="n">
        <f aca="false">SUMIFS(Model!$D$2:$D$1001,Model!$L$2:$L$1001,$A35,Model!$L$2:$L$1001,$B$4,Model!$J$2:$J$1001,$B$3)</f>
        <v>306</v>
      </c>
      <c r="E35" s="55" t="n">
        <f aca="false">IFERROR($B35/$C35,0)</f>
        <v>2144.25252525253</v>
      </c>
      <c r="F35" s="46"/>
      <c r="G35" s="46"/>
      <c r="H35" s="46"/>
      <c r="I35" s="46"/>
      <c r="J35" s="46"/>
      <c r="K35" s="46"/>
      <c r="L35" s="2" t="n">
        <v>29</v>
      </c>
      <c r="M35" s="2" t="str">
        <f aca="false">INDEX(Products!$B$2:$B$71,MATCH($L35,Products!$A$2:$A$71,0))</f>
        <v>In Set</v>
      </c>
      <c r="N35" s="55" t="n">
        <f aca="false">SUMIFS(Model!$N$2:$N$1001,Model!$J$2:$J$1001,$B$3,Model!$L$2:$L$1001,$B$4,Model!$C$2:$C$1001,$L35)</f>
        <v>45072</v>
      </c>
      <c r="O35" s="57" t="n">
        <f aca="false">$N35+ROW()/1000000</f>
        <v>45072.000035</v>
      </c>
      <c r="P35" s="46"/>
      <c r="Q35" s="46"/>
      <c r="R35" s="46"/>
      <c r="S35" s="46"/>
      <c r="T35" s="2" t="s">
        <v>195</v>
      </c>
      <c r="U35" s="56" t="n">
        <f aca="false">COUNTIFS(Model!$J$2:$J$1001,$B$3,Model!$L$2:$L$1001,$B$4,Model!$I$2:$I$1001,$T35)</f>
        <v>6</v>
      </c>
      <c r="V35" s="55" t="n">
        <f aca="false">SUMIFS(Model!$N$2:$N$1001,Model!$J$2:$J$1001,$B$3,Model!$L$2:$L$1001,$B$4,Model!$I$2:$I$1001,$T35)</f>
        <v>23263</v>
      </c>
      <c r="W35" s="58" t="n">
        <f aca="false">$U35+$V35/1000000000+ROW()/1000000000000</f>
        <v>6.000023263035</v>
      </c>
      <c r="X35" s="46"/>
      <c r="Y35" s="46"/>
      <c r="Z35" s="46"/>
      <c r="AA35" s="46"/>
      <c r="AB35" s="46"/>
      <c r="AC35" s="2" t="s">
        <v>196</v>
      </c>
      <c r="AD35" s="2" t="str">
        <f aca="false">INDEX(Customers!$B$2:$B$101,MATCH($AC35,Customers!$A$2:$A$101,0))</f>
        <v>Badal Sathe</v>
      </c>
      <c r="AE35" s="55" t="n">
        <f aca="false">SUMIFS(Model!$N$2:$N$1001,Model!$J$2:$J$1001,$B$3,Model!$L$2:$L$1001,$B$4,Model!$B$2:$B$1001,$AC35)</f>
        <v>46420</v>
      </c>
      <c r="AF35" s="56" t="n">
        <f aca="false">COUNTIFS(Model!$J$2:$J$1001,$B$3,Model!$L$2:$L$1001,$B$4,Model!$B$2:$B$1001,$AC35)</f>
        <v>11</v>
      </c>
      <c r="AG35" s="57" t="n">
        <f aca="false">$AE35+ROW()/1000000</f>
        <v>46420.000035</v>
      </c>
      <c r="AH35" s="46"/>
      <c r="AI35" s="46"/>
      <c r="AJ35" s="46"/>
      <c r="AK35" s="46"/>
      <c r="AL35" s="46"/>
      <c r="AM35" s="46"/>
    </row>
    <row r="36" customFormat="false" ht="15" hidden="false" customHeight="false" outlineLevel="0" collapsed="false">
      <c r="A36" s="2" t="s">
        <v>40</v>
      </c>
      <c r="B36" s="55" t="n">
        <f aca="false">SUMIFS(Model!$N$2:$N$1001,Model!$L$2:$L$1001,$A36,Model!$L$2:$L$1001,$B$4,Model!$J$2:$J$1001,$B$3)</f>
        <v>297372</v>
      </c>
      <c r="C36" s="56" t="n">
        <f aca="false">COUNTIFS(Model!$L$2:$L$1001,$A36,Model!$L$2:$L$1001,$B$4,Model!$J$2:$J$1001,$B$3)</f>
        <v>99</v>
      </c>
      <c r="D36" s="56" t="n">
        <f aca="false">SUMIFS(Model!$D$2:$D$1001,Model!$L$2:$L$1001,$A36,Model!$L$2:$L$1001,$B$4,Model!$J$2:$J$1001,$B$3)</f>
        <v>278</v>
      </c>
      <c r="E36" s="55" t="n">
        <f aca="false">IFERROR($B36/$C36,0)</f>
        <v>3003.75757575758</v>
      </c>
      <c r="F36" s="46"/>
      <c r="G36" s="46"/>
      <c r="H36" s="46"/>
      <c r="I36" s="46"/>
      <c r="J36" s="46"/>
      <c r="K36" s="46"/>
      <c r="L36" s="2" t="n">
        <v>30</v>
      </c>
      <c r="M36" s="2" t="str">
        <f aca="false">INDEX(Products!$B$2:$B$71,MATCH($L36,Products!$A$2:$A$71,0))</f>
        <v>Recusandae Pack</v>
      </c>
      <c r="N36" s="55" t="n">
        <f aca="false">SUMIFS(Model!$N$2:$N$1001,Model!$J$2:$J$1001,$B$3,Model!$L$2:$L$1001,$B$4,Model!$C$2:$C$1001,$L36)</f>
        <v>33044</v>
      </c>
      <c r="O36" s="57" t="n">
        <f aca="false">$N36+ROW()/1000000</f>
        <v>33044.000036</v>
      </c>
      <c r="P36" s="46"/>
      <c r="Q36" s="46"/>
      <c r="R36" s="46"/>
      <c r="S36" s="46"/>
      <c r="T36" s="2" t="s">
        <v>197</v>
      </c>
      <c r="U36" s="56" t="n">
        <f aca="false">COUNTIFS(Model!$J$2:$J$1001,$B$3,Model!$L$2:$L$1001,$B$4,Model!$I$2:$I$1001,$T36)</f>
        <v>4</v>
      </c>
      <c r="V36" s="55" t="n">
        <f aca="false">SUMIFS(Model!$N$2:$N$1001,Model!$J$2:$J$1001,$B$3,Model!$L$2:$L$1001,$B$4,Model!$I$2:$I$1001,$T36)</f>
        <v>7930</v>
      </c>
      <c r="W36" s="58" t="n">
        <f aca="false">$U36+$V36/1000000000+ROW()/1000000000000</f>
        <v>4.000007930036</v>
      </c>
      <c r="X36" s="46"/>
      <c r="Y36" s="46"/>
      <c r="Z36" s="46"/>
      <c r="AA36" s="46"/>
      <c r="AB36" s="46"/>
      <c r="AC36" s="2" t="s">
        <v>198</v>
      </c>
      <c r="AD36" s="2" t="str">
        <f aca="false">INDEX(Customers!$B$2:$B$101,MATCH($AC36,Customers!$A$2:$A$101,0))</f>
        <v>Vardaniya Contractor</v>
      </c>
      <c r="AE36" s="55" t="n">
        <f aca="false">SUMIFS(Model!$N$2:$N$1001,Model!$J$2:$J$1001,$B$3,Model!$L$2:$L$1001,$B$4,Model!$B$2:$B$1001,$AC36)</f>
        <v>48097</v>
      </c>
      <c r="AF36" s="56" t="n">
        <f aca="false">COUNTIFS(Model!$J$2:$J$1001,$B$3,Model!$L$2:$L$1001,$B$4,Model!$B$2:$B$1001,$AC36)</f>
        <v>12</v>
      </c>
      <c r="AG36" s="57" t="n">
        <f aca="false">$AE36+ROW()/1000000</f>
        <v>48097.000036</v>
      </c>
      <c r="AH36" s="46"/>
      <c r="AI36" s="46"/>
      <c r="AJ36" s="46"/>
      <c r="AK36" s="46"/>
      <c r="AL36" s="46"/>
      <c r="AM36" s="46"/>
    </row>
    <row r="37" customFormat="false" ht="15" hidden="false" customHeight="false" outlineLevel="0" collapsed="false">
      <c r="A37" s="2" t="s">
        <v>41</v>
      </c>
      <c r="B37" s="55" t="n">
        <f aca="false">SUMIFS(Model!$N$2:$N$1001,Model!$L$2:$L$1001,$A37,Model!$L$2:$L$1001,$B$4,Model!$J$2:$J$1001,$B$3)</f>
        <v>740831</v>
      </c>
      <c r="C37" s="56" t="n">
        <f aca="false">COUNTIFS(Model!$L$2:$L$1001,$A37,Model!$L$2:$L$1001,$B$4,Model!$J$2:$J$1001,$B$3)</f>
        <v>166</v>
      </c>
      <c r="D37" s="56" t="n">
        <f aca="false">SUMIFS(Model!$D$2:$D$1001,Model!$L$2:$L$1001,$A37,Model!$L$2:$L$1001,$B$4,Model!$J$2:$J$1001,$B$3)</f>
        <v>503</v>
      </c>
      <c r="E37" s="55" t="n">
        <f aca="false">IFERROR($B37/$C37,0)</f>
        <v>4462.83734939759</v>
      </c>
      <c r="F37" s="46"/>
      <c r="G37" s="46"/>
      <c r="H37" s="46"/>
      <c r="I37" s="46"/>
      <c r="J37" s="46"/>
      <c r="K37" s="46"/>
      <c r="L37" s="2" t="n">
        <v>31</v>
      </c>
      <c r="M37" s="2" t="str">
        <f aca="false">INDEX(Products!$B$2:$B$71,MATCH($L37,Products!$A$2:$A$71,0))</f>
        <v>Nihil Box</v>
      </c>
      <c r="N37" s="55" t="n">
        <f aca="false">SUMIFS(Model!$N$2:$N$1001,Model!$J$2:$J$1001,$B$3,Model!$L$2:$L$1001,$B$4,Model!$C$2:$C$1001,$L37)</f>
        <v>73964</v>
      </c>
      <c r="O37" s="57" t="n">
        <f aca="false">$N37+ROW()/1000000</f>
        <v>73964.000037</v>
      </c>
      <c r="P37" s="46"/>
      <c r="Q37" s="46"/>
      <c r="R37" s="46"/>
      <c r="S37" s="46"/>
      <c r="T37" s="2" t="s">
        <v>199</v>
      </c>
      <c r="U37" s="56" t="n">
        <f aca="false">COUNTIFS(Model!$J$2:$J$1001,$B$3,Model!$L$2:$L$1001,$B$4,Model!$I$2:$I$1001,$T37)</f>
        <v>4</v>
      </c>
      <c r="V37" s="55" t="n">
        <f aca="false">SUMIFS(Model!$N$2:$N$1001,Model!$J$2:$J$1001,$B$3,Model!$L$2:$L$1001,$B$4,Model!$I$2:$I$1001,$T37)</f>
        <v>13565</v>
      </c>
      <c r="W37" s="58" t="n">
        <f aca="false">$U37+$V37/1000000000+ROW()/1000000000000</f>
        <v>4.000013565037</v>
      </c>
      <c r="X37" s="46"/>
      <c r="Y37" s="46"/>
      <c r="Z37" s="46"/>
      <c r="AA37" s="46"/>
      <c r="AB37" s="46"/>
      <c r="AC37" s="2" t="s">
        <v>200</v>
      </c>
      <c r="AD37" s="2" t="str">
        <f aca="false">INDEX(Customers!$B$2:$B$101,MATCH($AC37,Customers!$A$2:$A$101,0))</f>
        <v>Madhup Wable</v>
      </c>
      <c r="AE37" s="55" t="n">
        <f aca="false">SUMIFS(Model!$N$2:$N$1001,Model!$J$2:$J$1001,$B$3,Model!$L$2:$L$1001,$B$4,Model!$B$2:$B$1001,$AC37)</f>
        <v>30814</v>
      </c>
      <c r="AF37" s="56" t="n">
        <f aca="false">COUNTIFS(Model!$J$2:$J$1001,$B$3,Model!$L$2:$L$1001,$B$4,Model!$B$2:$B$1001,$AC37)</f>
        <v>9</v>
      </c>
      <c r="AG37" s="57" t="n">
        <f aca="false">$AE37+ROW()/1000000</f>
        <v>30814.000037</v>
      </c>
      <c r="AH37" s="46"/>
      <c r="AI37" s="46"/>
      <c r="AJ37" s="46"/>
      <c r="AK37" s="46"/>
      <c r="AL37" s="46"/>
      <c r="AM37" s="46"/>
    </row>
    <row r="38" customFormat="false" ht="15" hidden="false" customHeight="false" outlineLevel="0" collapsed="false">
      <c r="A38" s="2" t="s">
        <v>42</v>
      </c>
      <c r="B38" s="55" t="n">
        <f aca="false">SUMIFS(Model!$N$2:$N$1001,Model!$L$2:$L$1001,$A38,Model!$L$2:$L$1001,$B$4,Model!$J$2:$J$1001,$B$3)</f>
        <v>733842</v>
      </c>
      <c r="C38" s="56" t="n">
        <f aca="false">COUNTIFS(Model!$L$2:$L$1001,$A38,Model!$L$2:$L$1001,$B$4,Model!$J$2:$J$1001,$B$3)</f>
        <v>171</v>
      </c>
      <c r="D38" s="56" t="n">
        <f aca="false">SUMIFS(Model!$D$2:$D$1001,Model!$L$2:$L$1001,$A38,Model!$L$2:$L$1001,$B$4,Model!$J$2:$J$1001,$B$3)</f>
        <v>541</v>
      </c>
      <c r="E38" s="55" t="n">
        <f aca="false">IFERROR($B38/$C38,0)</f>
        <v>4291.47368421053</v>
      </c>
      <c r="F38" s="46"/>
      <c r="G38" s="46"/>
      <c r="H38" s="46"/>
      <c r="I38" s="46"/>
      <c r="J38" s="46"/>
      <c r="K38" s="46"/>
      <c r="L38" s="2" t="n">
        <v>32</v>
      </c>
      <c r="M38" s="2" t="str">
        <f aca="false">INDEX(Products!$B$2:$B$71,MATCH($L38,Products!$A$2:$A$71,0))</f>
        <v>Fuga Set</v>
      </c>
      <c r="N38" s="55" t="n">
        <f aca="false">SUMIFS(Model!$N$2:$N$1001,Model!$J$2:$J$1001,$B$3,Model!$L$2:$L$1001,$B$4,Model!$C$2:$C$1001,$L38)</f>
        <v>80640</v>
      </c>
      <c r="O38" s="57" t="n">
        <f aca="false">$N38+ROW()/1000000</f>
        <v>80640.000038</v>
      </c>
      <c r="P38" s="46"/>
      <c r="Q38" s="46"/>
      <c r="R38" s="46"/>
      <c r="S38" s="46"/>
      <c r="T38" s="2" t="s">
        <v>201</v>
      </c>
      <c r="U38" s="56" t="n">
        <f aca="false">COUNTIFS(Model!$J$2:$J$1001,$B$3,Model!$L$2:$L$1001,$B$4,Model!$I$2:$I$1001,$T38)</f>
        <v>4</v>
      </c>
      <c r="V38" s="55" t="n">
        <f aca="false">SUMIFS(Model!$N$2:$N$1001,Model!$J$2:$J$1001,$B$3,Model!$L$2:$L$1001,$B$4,Model!$I$2:$I$1001,$T38)</f>
        <v>11234</v>
      </c>
      <c r="W38" s="58" t="n">
        <f aca="false">$U38+$V38/1000000000+ROW()/1000000000000</f>
        <v>4.000011234038</v>
      </c>
      <c r="X38" s="46"/>
      <c r="Y38" s="46"/>
      <c r="Z38" s="46"/>
      <c r="AA38" s="46"/>
      <c r="AB38" s="46"/>
      <c r="AC38" s="2" t="s">
        <v>202</v>
      </c>
      <c r="AD38" s="2" t="str">
        <f aca="false">INDEX(Customers!$B$2:$B$101,MATCH($AC38,Customers!$A$2:$A$101,0))</f>
        <v>Mannat Anand</v>
      </c>
      <c r="AE38" s="55" t="n">
        <f aca="false">SUMIFS(Model!$N$2:$N$1001,Model!$J$2:$J$1001,$B$3,Model!$L$2:$L$1001,$B$4,Model!$B$2:$B$1001,$AC38)</f>
        <v>49494</v>
      </c>
      <c r="AF38" s="56" t="n">
        <f aca="false">COUNTIFS(Model!$J$2:$J$1001,$B$3,Model!$L$2:$L$1001,$B$4,Model!$B$2:$B$1001,$AC38)</f>
        <v>13</v>
      </c>
      <c r="AG38" s="57" t="n">
        <f aca="false">$AE38+ROW()/1000000</f>
        <v>49494.000038</v>
      </c>
      <c r="AH38" s="46"/>
      <c r="AI38" s="46"/>
      <c r="AJ38" s="46"/>
      <c r="AK38" s="46"/>
      <c r="AL38" s="46"/>
      <c r="AM38" s="46"/>
    </row>
    <row r="39" customFormat="false" ht="15" hidden="false" customHeight="false" outlineLevel="0" collapsed="false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2" t="n">
        <v>33</v>
      </c>
      <c r="M39" s="2" t="str">
        <f aca="false">INDEX(Products!$B$2:$B$71,MATCH($L39,Products!$A$2:$A$71,0))</f>
        <v>Earum Set</v>
      </c>
      <c r="N39" s="55" t="n">
        <f aca="false">SUMIFS(Model!$N$2:$N$1001,Model!$J$2:$J$1001,$B$3,Model!$L$2:$L$1001,$B$4,Model!$C$2:$C$1001,$L39)</f>
        <v>13188</v>
      </c>
      <c r="O39" s="57" t="n">
        <f aca="false">$N39+ROW()/1000000</f>
        <v>13188.000039</v>
      </c>
      <c r="P39" s="46"/>
      <c r="Q39" s="46"/>
      <c r="R39" s="46"/>
      <c r="S39" s="46"/>
      <c r="T39" s="2" t="s">
        <v>203</v>
      </c>
      <c r="U39" s="56" t="n">
        <f aca="false">COUNTIFS(Model!$J$2:$J$1001,$B$3,Model!$L$2:$L$1001,$B$4,Model!$I$2:$I$1001,$T39)</f>
        <v>9</v>
      </c>
      <c r="V39" s="55" t="n">
        <f aca="false">SUMIFS(Model!$N$2:$N$1001,Model!$J$2:$J$1001,$B$3,Model!$L$2:$L$1001,$B$4,Model!$I$2:$I$1001,$T39)</f>
        <v>30626</v>
      </c>
      <c r="W39" s="58" t="n">
        <f aca="false">$U39+$V39/1000000000+ROW()/1000000000000</f>
        <v>9.000030626039</v>
      </c>
      <c r="X39" s="46"/>
      <c r="Y39" s="46"/>
      <c r="Z39" s="46"/>
      <c r="AA39" s="46"/>
      <c r="AB39" s="46"/>
      <c r="AC39" s="2" t="s">
        <v>204</v>
      </c>
      <c r="AD39" s="2" t="str">
        <f aca="false">INDEX(Customers!$B$2:$B$101,MATCH($AC39,Customers!$A$2:$A$101,0))</f>
        <v>Suhana Kurian</v>
      </c>
      <c r="AE39" s="55" t="n">
        <f aca="false">SUMIFS(Model!$N$2:$N$1001,Model!$J$2:$J$1001,$B$3,Model!$L$2:$L$1001,$B$4,Model!$B$2:$B$1001,$AC39)</f>
        <v>32998</v>
      </c>
      <c r="AF39" s="56" t="n">
        <f aca="false">COUNTIFS(Model!$J$2:$J$1001,$B$3,Model!$L$2:$L$1001,$B$4,Model!$B$2:$B$1001,$AC39)</f>
        <v>10</v>
      </c>
      <c r="AG39" s="57" t="n">
        <f aca="false">$AE39+ROW()/1000000</f>
        <v>32998.000039</v>
      </c>
      <c r="AH39" s="46"/>
      <c r="AI39" s="46"/>
      <c r="AJ39" s="46"/>
      <c r="AK39" s="46"/>
      <c r="AL39" s="46"/>
      <c r="AM39" s="46"/>
    </row>
    <row r="40" customFormat="false" ht="15" hidden="false" customHeight="false" outlineLevel="0" collapsed="false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2" t="n">
        <v>34</v>
      </c>
      <c r="M40" s="2" t="str">
        <f aca="false">INDEX(Products!$B$2:$B$71,MATCH($L40,Products!$A$2:$A$71,0))</f>
        <v>Placeat Pack</v>
      </c>
      <c r="N40" s="55" t="n">
        <f aca="false">SUMIFS(Model!$N$2:$N$1001,Model!$J$2:$J$1001,$B$3,Model!$L$2:$L$1001,$B$4,Model!$C$2:$C$1001,$L40)</f>
        <v>53400</v>
      </c>
      <c r="O40" s="57" t="n">
        <f aca="false">$N40+ROW()/1000000</f>
        <v>53400.00004</v>
      </c>
      <c r="P40" s="46"/>
      <c r="Q40" s="46"/>
      <c r="R40" s="46"/>
      <c r="S40" s="46"/>
      <c r="T40" s="2" t="s">
        <v>205</v>
      </c>
      <c r="U40" s="56" t="n">
        <f aca="false">COUNTIFS(Model!$J$2:$J$1001,$B$3,Model!$L$2:$L$1001,$B$4,Model!$I$2:$I$1001,$T40)</f>
        <v>3</v>
      </c>
      <c r="V40" s="55" t="n">
        <f aca="false">SUMIFS(Model!$N$2:$N$1001,Model!$J$2:$J$1001,$B$3,Model!$L$2:$L$1001,$B$4,Model!$I$2:$I$1001,$T40)</f>
        <v>6390</v>
      </c>
      <c r="W40" s="58" t="n">
        <f aca="false">$U40+$V40/1000000000+ROW()/1000000000000</f>
        <v>3.00000639004</v>
      </c>
      <c r="X40" s="46"/>
      <c r="Y40" s="46"/>
      <c r="Z40" s="46"/>
      <c r="AA40" s="46"/>
      <c r="AB40" s="46"/>
      <c r="AC40" s="2" t="s">
        <v>206</v>
      </c>
      <c r="AD40" s="2" t="str">
        <f aca="false">INDEX(Customers!$B$2:$B$101,MATCH($AC40,Customers!$A$2:$A$101,0))</f>
        <v>Hridaan Sood</v>
      </c>
      <c r="AE40" s="55" t="n">
        <f aca="false">SUMIFS(Model!$N$2:$N$1001,Model!$J$2:$J$1001,$B$3,Model!$L$2:$L$1001,$B$4,Model!$B$2:$B$1001,$AC40)</f>
        <v>33618</v>
      </c>
      <c r="AF40" s="56" t="n">
        <f aca="false">COUNTIFS(Model!$J$2:$J$1001,$B$3,Model!$L$2:$L$1001,$B$4,Model!$B$2:$B$1001,$AC40)</f>
        <v>7</v>
      </c>
      <c r="AG40" s="57" t="n">
        <f aca="false">$AE40+ROW()/1000000</f>
        <v>33618.00004</v>
      </c>
      <c r="AH40" s="46"/>
      <c r="AI40" s="46"/>
      <c r="AJ40" s="46"/>
      <c r="AK40" s="46"/>
      <c r="AL40" s="46"/>
      <c r="AM40" s="46"/>
    </row>
    <row r="41" customFormat="false" ht="15" hidden="false" customHeight="false" outlineLevel="0" collapsed="false">
      <c r="A41" s="49" t="s">
        <v>207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2" t="n">
        <v>35</v>
      </c>
      <c r="M41" s="2" t="str">
        <f aca="false">INDEX(Products!$B$2:$B$71,MATCH($L41,Products!$A$2:$A$71,0))</f>
        <v>Nam Gift</v>
      </c>
      <c r="N41" s="55" t="n">
        <f aca="false">SUMIFS(Model!$N$2:$N$1001,Model!$J$2:$J$1001,$B$3,Model!$L$2:$L$1001,$B$4,Model!$C$2:$C$1001,$L41)</f>
        <v>91385</v>
      </c>
      <c r="O41" s="57" t="n">
        <f aca="false">$N41+ROW()/1000000</f>
        <v>91385.000041</v>
      </c>
      <c r="P41" s="46"/>
      <c r="Q41" s="46"/>
      <c r="R41" s="46"/>
      <c r="S41" s="46"/>
      <c r="T41" s="2" t="s">
        <v>208</v>
      </c>
      <c r="U41" s="56" t="n">
        <f aca="false">COUNTIFS(Model!$J$2:$J$1001,$B$3,Model!$L$2:$L$1001,$B$4,Model!$I$2:$I$1001,$T41)</f>
        <v>3</v>
      </c>
      <c r="V41" s="55" t="n">
        <f aca="false">SUMIFS(Model!$N$2:$N$1001,Model!$J$2:$J$1001,$B$3,Model!$L$2:$L$1001,$B$4,Model!$I$2:$I$1001,$T41)</f>
        <v>15425</v>
      </c>
      <c r="W41" s="58" t="n">
        <f aca="false">$U41+$V41/1000000000+ROW()/1000000000000</f>
        <v>3.000015425041</v>
      </c>
      <c r="X41" s="46"/>
      <c r="Y41" s="46"/>
      <c r="Z41" s="46"/>
      <c r="AA41" s="46"/>
      <c r="AB41" s="46"/>
      <c r="AC41" s="2" t="s">
        <v>209</v>
      </c>
      <c r="AD41" s="2" t="str">
        <f aca="false">INDEX(Customers!$B$2:$B$101,MATCH($AC41,Customers!$A$2:$A$101,0))</f>
        <v>Ira Sarna</v>
      </c>
      <c r="AE41" s="55" t="n">
        <f aca="false">SUMIFS(Model!$N$2:$N$1001,Model!$J$2:$J$1001,$B$3,Model!$L$2:$L$1001,$B$4,Model!$B$2:$B$1001,$AC41)</f>
        <v>23064</v>
      </c>
      <c r="AF41" s="56" t="n">
        <f aca="false">COUNTIFS(Model!$J$2:$J$1001,$B$3,Model!$L$2:$L$1001,$B$4,Model!$B$2:$B$1001,$AC41)</f>
        <v>10</v>
      </c>
      <c r="AG41" s="57" t="n">
        <f aca="false">$AE41+ROW()/1000000</f>
        <v>23064.000041</v>
      </c>
      <c r="AH41" s="46"/>
      <c r="AI41" s="46"/>
      <c r="AJ41" s="46"/>
      <c r="AK41" s="46"/>
      <c r="AL41" s="46"/>
      <c r="AM41" s="46"/>
    </row>
    <row r="42" customFormat="false" ht="15" hidden="false" customHeight="false" outlineLevel="0" collapsed="false">
      <c r="A42" s="50" t="s">
        <v>210</v>
      </c>
      <c r="B42" s="51" t="n">
        <f aca="false">SUMIFS(Model!$N$2:$N$1001,Model!$J$2:$J$1001,$B$3,Model!$L$2:$L$1001,$B$4,Model!$T$2:$T$1001,0)</f>
        <v>99400</v>
      </c>
      <c r="C42" s="52" t="n">
        <f aca="false">COUNTIFS(Model!$J$2:$J$1001,$B$3,Model!$L$2:$L$1001,$B$4,Model!$T$2:$T$1001,0)</f>
        <v>33</v>
      </c>
      <c r="D42" s="46"/>
      <c r="E42" s="46"/>
      <c r="F42" s="46"/>
      <c r="G42" s="46"/>
      <c r="H42" s="46"/>
      <c r="I42" s="46"/>
      <c r="J42" s="46"/>
      <c r="K42" s="46"/>
      <c r="L42" s="2" t="n">
        <v>36</v>
      </c>
      <c r="M42" s="2" t="str">
        <f aca="false">INDEX(Products!$B$2:$B$71,MATCH($L42,Products!$A$2:$A$71,0))</f>
        <v>Cum Gift</v>
      </c>
      <c r="N42" s="55" t="n">
        <f aca="false">SUMIFS(Model!$N$2:$N$1001,Model!$J$2:$J$1001,$B$3,Model!$L$2:$L$1001,$B$4,Model!$C$2:$C$1001,$L42)</f>
        <v>7714</v>
      </c>
      <c r="O42" s="57" t="n">
        <f aca="false">$N42+ROW()/1000000</f>
        <v>7714.000042</v>
      </c>
      <c r="P42" s="46"/>
      <c r="Q42" s="46"/>
      <c r="R42" s="46"/>
      <c r="S42" s="46"/>
      <c r="T42" s="2" t="s">
        <v>211</v>
      </c>
      <c r="U42" s="56" t="n">
        <f aca="false">COUNTIFS(Model!$J$2:$J$1001,$B$3,Model!$L$2:$L$1001,$B$4,Model!$I$2:$I$1001,$T42)</f>
        <v>5</v>
      </c>
      <c r="V42" s="55" t="n">
        <f aca="false">SUMIFS(Model!$N$2:$N$1001,Model!$J$2:$J$1001,$B$3,Model!$L$2:$L$1001,$B$4,Model!$I$2:$I$1001,$T42)</f>
        <v>21569</v>
      </c>
      <c r="W42" s="58" t="n">
        <f aca="false">$U42+$V42/1000000000+ROW()/1000000000000</f>
        <v>5.000021569042</v>
      </c>
      <c r="X42" s="46"/>
      <c r="Y42" s="46"/>
      <c r="Z42" s="46"/>
      <c r="AA42" s="46"/>
      <c r="AB42" s="46"/>
      <c r="AC42" s="2" t="s">
        <v>212</v>
      </c>
      <c r="AD42" s="2" t="str">
        <f aca="false">INDEX(Customers!$B$2:$B$101,MATCH($AC42,Customers!$A$2:$A$101,0))</f>
        <v>Biju Bajwa</v>
      </c>
      <c r="AE42" s="55" t="n">
        <f aca="false">SUMIFS(Model!$N$2:$N$1001,Model!$J$2:$J$1001,$B$3,Model!$L$2:$L$1001,$B$4,Model!$B$2:$B$1001,$AC42)</f>
        <v>34644</v>
      </c>
      <c r="AF42" s="56" t="n">
        <f aca="false">COUNTIFS(Model!$J$2:$J$1001,$B$3,Model!$L$2:$L$1001,$B$4,Model!$B$2:$B$1001,$AC42)</f>
        <v>9</v>
      </c>
      <c r="AG42" s="57" t="n">
        <f aca="false">$AE42+ROW()/1000000</f>
        <v>34644.000042</v>
      </c>
      <c r="AH42" s="46"/>
      <c r="AI42" s="46"/>
      <c r="AJ42" s="46"/>
      <c r="AK42" s="46"/>
      <c r="AL42" s="46"/>
      <c r="AM42" s="46"/>
    </row>
    <row r="43" customFormat="false" ht="15" hidden="false" customHeight="false" outlineLevel="0" collapsed="false">
      <c r="A43" s="2" t="s">
        <v>213</v>
      </c>
      <c r="B43" s="55" t="n">
        <f aca="false">SUMIFS(Model!$N$2:$N$1001,Model!$J$2:$J$1001,$B$3,Model!$L$2:$L$1001,$B$4,Model!$T$2:$T$1001,1)</f>
        <v>129309</v>
      </c>
      <c r="C43" s="56" t="n">
        <f aca="false">COUNTIFS(Model!$J$2:$J$1001,$B$3,Model!$L$2:$L$1001,$B$4,Model!$T$2:$T$1001,1)</f>
        <v>39</v>
      </c>
      <c r="D43" s="46"/>
      <c r="E43" s="46"/>
      <c r="F43" s="46"/>
      <c r="G43" s="46"/>
      <c r="H43" s="46"/>
      <c r="I43" s="46"/>
      <c r="J43" s="46"/>
      <c r="K43" s="46"/>
      <c r="L43" s="2" t="n">
        <v>37</v>
      </c>
      <c r="M43" s="2" t="str">
        <f aca="false">INDEX(Products!$B$2:$B$71,MATCH($L43,Products!$A$2:$A$71,0))</f>
        <v>Officiis Pack</v>
      </c>
      <c r="N43" s="55" t="n">
        <f aca="false">SUMIFS(Model!$N$2:$N$1001,Model!$J$2:$J$1001,$B$3,Model!$L$2:$L$1001,$B$4,Model!$C$2:$C$1001,$L43)</f>
        <v>45696</v>
      </c>
      <c r="O43" s="57" t="n">
        <f aca="false">$N43+ROW()/1000000</f>
        <v>45696.000043</v>
      </c>
      <c r="P43" s="46"/>
      <c r="Q43" s="46"/>
      <c r="R43" s="46"/>
      <c r="S43" s="46"/>
      <c r="T43" s="2" t="s">
        <v>214</v>
      </c>
      <c r="U43" s="56" t="n">
        <f aca="false">COUNTIFS(Model!$J$2:$J$1001,$B$3,Model!$L$2:$L$1001,$B$4,Model!$I$2:$I$1001,$T43)</f>
        <v>5</v>
      </c>
      <c r="V43" s="55" t="n">
        <f aca="false">SUMIFS(Model!$N$2:$N$1001,Model!$J$2:$J$1001,$B$3,Model!$L$2:$L$1001,$B$4,Model!$I$2:$I$1001,$T43)</f>
        <v>27468</v>
      </c>
      <c r="W43" s="58" t="n">
        <f aca="false">$U43+$V43/1000000000+ROW()/1000000000000</f>
        <v>5.000027468043</v>
      </c>
      <c r="X43" s="46"/>
      <c r="Y43" s="46"/>
      <c r="Z43" s="46"/>
      <c r="AA43" s="46"/>
      <c r="AB43" s="46"/>
      <c r="AC43" s="2" t="s">
        <v>215</v>
      </c>
      <c r="AD43" s="2" t="str">
        <f aca="false">INDEX(Customers!$B$2:$B$101,MATCH($AC43,Customers!$A$2:$A$101,0))</f>
        <v>Aradhya Kumar</v>
      </c>
      <c r="AE43" s="55" t="n">
        <f aca="false">SUMIFS(Model!$N$2:$N$1001,Model!$J$2:$J$1001,$B$3,Model!$L$2:$L$1001,$B$4,Model!$B$2:$B$1001,$AC43)</f>
        <v>35693</v>
      </c>
      <c r="AF43" s="56" t="n">
        <f aca="false">COUNTIFS(Model!$J$2:$J$1001,$B$3,Model!$L$2:$L$1001,$B$4,Model!$B$2:$B$1001,$AC43)</f>
        <v>10</v>
      </c>
      <c r="AG43" s="57" t="n">
        <f aca="false">$AE43+ROW()/1000000</f>
        <v>35693.000043</v>
      </c>
      <c r="AH43" s="46"/>
      <c r="AI43" s="46"/>
      <c r="AJ43" s="46"/>
      <c r="AK43" s="46"/>
      <c r="AL43" s="46"/>
      <c r="AM43" s="46"/>
    </row>
    <row r="44" customFormat="false" ht="15" hidden="false" customHeight="false" outlineLevel="0" collapsed="false">
      <c r="A44" s="2" t="s">
        <v>216</v>
      </c>
      <c r="B44" s="55" t="n">
        <f aca="false">SUMIFS(Model!$N$2:$N$1001,Model!$J$2:$J$1001,$B$3,Model!$L$2:$L$1001,$B$4,Model!$T$2:$T$1001,2)</f>
        <v>152940</v>
      </c>
      <c r="C44" s="56" t="n">
        <f aca="false">COUNTIFS(Model!$J$2:$J$1001,$B$3,Model!$L$2:$L$1001,$B$4,Model!$T$2:$T$1001,2)</f>
        <v>42</v>
      </c>
      <c r="D44" s="46"/>
      <c r="E44" s="46"/>
      <c r="F44" s="46"/>
      <c r="G44" s="46"/>
      <c r="H44" s="46"/>
      <c r="I44" s="46"/>
      <c r="J44" s="46"/>
      <c r="K44" s="46"/>
      <c r="L44" s="2" t="n">
        <v>38</v>
      </c>
      <c r="M44" s="2" t="str">
        <f aca="false">INDEX(Products!$B$2:$B$71,MATCH($L44,Products!$A$2:$A$71,0))</f>
        <v>Mollitia Set</v>
      </c>
      <c r="N44" s="55" t="n">
        <f aca="false">SUMIFS(Model!$N$2:$N$1001,Model!$J$2:$J$1001,$B$3,Model!$L$2:$L$1001,$B$4,Model!$C$2:$C$1001,$L44)</f>
        <v>19670</v>
      </c>
      <c r="O44" s="57" t="n">
        <f aca="false">$N44+ROW()/1000000</f>
        <v>19670.000044</v>
      </c>
      <c r="P44" s="46"/>
      <c r="Q44" s="46"/>
      <c r="R44" s="46"/>
      <c r="S44" s="46"/>
      <c r="T44" s="2" t="s">
        <v>217</v>
      </c>
      <c r="U44" s="56" t="n">
        <f aca="false">COUNTIFS(Model!$J$2:$J$1001,$B$3,Model!$L$2:$L$1001,$B$4,Model!$I$2:$I$1001,$T44)</f>
        <v>3</v>
      </c>
      <c r="V44" s="55" t="n">
        <f aca="false">SUMIFS(Model!$N$2:$N$1001,Model!$J$2:$J$1001,$B$3,Model!$L$2:$L$1001,$B$4,Model!$I$2:$I$1001,$T44)</f>
        <v>16500</v>
      </c>
      <c r="W44" s="58" t="n">
        <f aca="false">$U44+$V44/1000000000+ROW()/1000000000000</f>
        <v>3.000016500044</v>
      </c>
      <c r="X44" s="46"/>
      <c r="Y44" s="46"/>
      <c r="Z44" s="46"/>
      <c r="AA44" s="46"/>
      <c r="AB44" s="46"/>
      <c r="AC44" s="2" t="s">
        <v>218</v>
      </c>
      <c r="AD44" s="2" t="str">
        <f aca="false">INDEX(Customers!$B$2:$B$101,MATCH($AC44,Customers!$A$2:$A$101,0))</f>
        <v>Yakshit Shah</v>
      </c>
      <c r="AE44" s="55" t="n">
        <f aca="false">SUMIFS(Model!$N$2:$N$1001,Model!$J$2:$J$1001,$B$3,Model!$L$2:$L$1001,$B$4,Model!$B$2:$B$1001,$AC44)</f>
        <v>40160</v>
      </c>
      <c r="AF44" s="56" t="n">
        <f aca="false">COUNTIFS(Model!$J$2:$J$1001,$B$3,Model!$L$2:$L$1001,$B$4,Model!$B$2:$B$1001,$AC44)</f>
        <v>13</v>
      </c>
      <c r="AG44" s="57" t="n">
        <f aca="false">$AE44+ROW()/1000000</f>
        <v>40160.000044</v>
      </c>
      <c r="AH44" s="46"/>
      <c r="AI44" s="46"/>
      <c r="AJ44" s="46"/>
      <c r="AK44" s="46"/>
      <c r="AL44" s="46"/>
      <c r="AM44" s="46"/>
    </row>
    <row r="45" customFormat="false" ht="15" hidden="false" customHeight="false" outlineLevel="0" collapsed="false">
      <c r="A45" s="2" t="s">
        <v>219</v>
      </c>
      <c r="B45" s="55" t="n">
        <f aca="false">SUMIFS(Model!$N$2:$N$1001,Model!$J$2:$J$1001,$B$3,Model!$L$2:$L$1001,$B$4,Model!$T$2:$T$1001,3)</f>
        <v>146810</v>
      </c>
      <c r="C45" s="56" t="n">
        <f aca="false">COUNTIFS(Model!$J$2:$J$1001,$B$3,Model!$L$2:$L$1001,$B$4,Model!$T$2:$T$1001,3)</f>
        <v>39</v>
      </c>
      <c r="D45" s="46"/>
      <c r="E45" s="46"/>
      <c r="F45" s="46"/>
      <c r="G45" s="46"/>
      <c r="H45" s="46"/>
      <c r="I45" s="46"/>
      <c r="J45" s="46"/>
      <c r="K45" s="46"/>
      <c r="L45" s="2" t="n">
        <v>39</v>
      </c>
      <c r="M45" s="2" t="str">
        <f aca="false">INDEX(Products!$B$2:$B$71,MATCH($L45,Products!$A$2:$A$71,0))</f>
        <v>Voluptate Set</v>
      </c>
      <c r="N45" s="55" t="n">
        <f aca="false">SUMIFS(Model!$N$2:$N$1001,Model!$J$2:$J$1001,$B$3,Model!$L$2:$L$1001,$B$4,Model!$C$2:$C$1001,$L45)</f>
        <v>11610</v>
      </c>
      <c r="O45" s="57" t="n">
        <f aca="false">$N45+ROW()/1000000</f>
        <v>11610.000045</v>
      </c>
      <c r="P45" s="46"/>
      <c r="Q45" s="46"/>
      <c r="R45" s="46"/>
      <c r="S45" s="46"/>
      <c r="T45" s="2" t="s">
        <v>220</v>
      </c>
      <c r="U45" s="56" t="n">
        <f aca="false">COUNTIFS(Model!$J$2:$J$1001,$B$3,Model!$L$2:$L$1001,$B$4,Model!$I$2:$I$1001,$T45)</f>
        <v>3</v>
      </c>
      <c r="V45" s="55" t="n">
        <f aca="false">SUMIFS(Model!$N$2:$N$1001,Model!$J$2:$J$1001,$B$3,Model!$L$2:$L$1001,$B$4,Model!$I$2:$I$1001,$T45)</f>
        <v>10832</v>
      </c>
      <c r="W45" s="58" t="n">
        <f aca="false">$U45+$V45/1000000000+ROW()/1000000000000</f>
        <v>3.000010832045</v>
      </c>
      <c r="X45" s="46"/>
      <c r="Y45" s="46"/>
      <c r="Z45" s="46"/>
      <c r="AA45" s="46"/>
      <c r="AB45" s="46"/>
      <c r="AC45" s="2" t="s">
        <v>221</v>
      </c>
      <c r="AD45" s="2" t="str">
        <f aca="false">INDEX(Customers!$B$2:$B$101,MATCH($AC45,Customers!$A$2:$A$101,0))</f>
        <v>Kaira Bahl</v>
      </c>
      <c r="AE45" s="55" t="n">
        <f aca="false">SUMIFS(Model!$N$2:$N$1001,Model!$J$2:$J$1001,$B$3,Model!$L$2:$L$1001,$B$4,Model!$B$2:$B$1001,$AC45)</f>
        <v>30237</v>
      </c>
      <c r="AF45" s="56" t="n">
        <f aca="false">COUNTIFS(Model!$J$2:$J$1001,$B$3,Model!$L$2:$L$1001,$B$4,Model!$B$2:$B$1001,$AC45)</f>
        <v>7</v>
      </c>
      <c r="AG45" s="57" t="n">
        <f aca="false">$AE45+ROW()/1000000</f>
        <v>30237.000045</v>
      </c>
      <c r="AH45" s="46"/>
      <c r="AI45" s="46"/>
      <c r="AJ45" s="46"/>
      <c r="AK45" s="46"/>
      <c r="AL45" s="46"/>
      <c r="AM45" s="46"/>
    </row>
    <row r="46" customFormat="false" ht="15" hidden="false" customHeight="false" outlineLevel="0" collapsed="false">
      <c r="A46" s="2" t="s">
        <v>222</v>
      </c>
      <c r="B46" s="55" t="n">
        <f aca="false">SUMIFS(Model!$N$2:$N$1001,Model!$J$2:$J$1001,$B$3,Model!$L$2:$L$1001,$B$4,Model!$T$2:$T$1001,4)</f>
        <v>114700</v>
      </c>
      <c r="C46" s="56" t="n">
        <f aca="false">COUNTIFS(Model!$J$2:$J$1001,$B$3,Model!$L$2:$L$1001,$B$4,Model!$T$2:$T$1001,4)</f>
        <v>29</v>
      </c>
      <c r="D46" s="46"/>
      <c r="E46" s="46"/>
      <c r="F46" s="46"/>
      <c r="G46" s="46"/>
      <c r="H46" s="46"/>
      <c r="I46" s="46"/>
      <c r="J46" s="46"/>
      <c r="K46" s="46"/>
      <c r="L46" s="2" t="n">
        <v>40</v>
      </c>
      <c r="M46" s="2" t="str">
        <f aca="false">INDEX(Products!$B$2:$B$71,MATCH($L46,Products!$A$2:$A$71,0))</f>
        <v>Provident Pack</v>
      </c>
      <c r="N46" s="55" t="n">
        <f aca="false">SUMIFS(Model!$N$2:$N$1001,Model!$J$2:$J$1001,$B$3,Model!$L$2:$L$1001,$B$4,Model!$C$2:$C$1001,$L46)</f>
        <v>84612</v>
      </c>
      <c r="O46" s="57" t="n">
        <f aca="false">$N46+ROW()/1000000</f>
        <v>84612.000046</v>
      </c>
      <c r="P46" s="46"/>
      <c r="Q46" s="46"/>
      <c r="R46" s="46"/>
      <c r="S46" s="46"/>
      <c r="T46" s="2" t="s">
        <v>223</v>
      </c>
      <c r="U46" s="56" t="n">
        <f aca="false">COUNTIFS(Model!$J$2:$J$1001,$B$3,Model!$L$2:$L$1001,$B$4,Model!$I$2:$I$1001,$T46)</f>
        <v>1</v>
      </c>
      <c r="V46" s="55" t="n">
        <f aca="false">SUMIFS(Model!$N$2:$N$1001,Model!$J$2:$J$1001,$B$3,Model!$L$2:$L$1001,$B$4,Model!$I$2:$I$1001,$T46)</f>
        <v>6260</v>
      </c>
      <c r="W46" s="58" t="n">
        <f aca="false">$U46+$V46/1000000000+ROW()/1000000000000</f>
        <v>1.000006260046</v>
      </c>
      <c r="X46" s="46"/>
      <c r="Y46" s="46"/>
      <c r="Z46" s="46"/>
      <c r="AA46" s="46"/>
      <c r="AB46" s="46"/>
      <c r="AC46" s="2" t="s">
        <v>224</v>
      </c>
      <c r="AD46" s="2" t="str">
        <f aca="false">INDEX(Customers!$B$2:$B$101,MATCH($AC46,Customers!$A$2:$A$101,0))</f>
        <v>Hazel Mangat</v>
      </c>
      <c r="AE46" s="55" t="n">
        <f aca="false">SUMIFS(Model!$N$2:$N$1001,Model!$J$2:$J$1001,$B$3,Model!$L$2:$L$1001,$B$4,Model!$B$2:$B$1001,$AC46)</f>
        <v>41660</v>
      </c>
      <c r="AF46" s="56" t="n">
        <f aca="false">COUNTIFS(Model!$J$2:$J$1001,$B$3,Model!$L$2:$L$1001,$B$4,Model!$B$2:$B$1001,$AC46)</f>
        <v>11</v>
      </c>
      <c r="AG46" s="57" t="n">
        <f aca="false">$AE46+ROW()/1000000</f>
        <v>41660.000046</v>
      </c>
      <c r="AH46" s="46"/>
      <c r="AI46" s="46"/>
      <c r="AJ46" s="46"/>
      <c r="AK46" s="46"/>
      <c r="AL46" s="46"/>
      <c r="AM46" s="46"/>
    </row>
    <row r="47" customFormat="false" ht="15" hidden="false" customHeight="false" outlineLevel="0" collapsed="false">
      <c r="A47" s="2" t="s">
        <v>225</v>
      </c>
      <c r="B47" s="55" t="n">
        <f aca="false">SUMIFS(Model!$N$2:$N$1001,Model!$J$2:$J$1001,$B$3,Model!$L$2:$L$1001,$B$4,Model!$T$2:$T$1001,5)</f>
        <v>156198</v>
      </c>
      <c r="C47" s="56" t="n">
        <f aca="false">COUNTIFS(Model!$J$2:$J$1001,$B$3,Model!$L$2:$L$1001,$B$4,Model!$T$2:$T$1001,5)</f>
        <v>43</v>
      </c>
      <c r="D47" s="46"/>
      <c r="E47" s="46"/>
      <c r="F47" s="46"/>
      <c r="G47" s="46"/>
      <c r="H47" s="46"/>
      <c r="I47" s="46"/>
      <c r="J47" s="46"/>
      <c r="K47" s="46"/>
      <c r="L47" s="2" t="n">
        <v>41</v>
      </c>
      <c r="M47" s="2" t="str">
        <f aca="false">INDEX(Products!$B$2:$B$71,MATCH($L47,Products!$A$2:$A$71,0))</f>
        <v>Aut Box</v>
      </c>
      <c r="N47" s="55" t="n">
        <f aca="false">SUMIFS(Model!$N$2:$N$1001,Model!$J$2:$J$1001,$B$3,Model!$L$2:$L$1001,$B$4,Model!$C$2:$C$1001,$L47)</f>
        <v>81057</v>
      </c>
      <c r="O47" s="57" t="n">
        <f aca="false">$N47+ROW()/1000000</f>
        <v>81057.000047</v>
      </c>
      <c r="P47" s="46"/>
      <c r="Q47" s="46"/>
      <c r="R47" s="46"/>
      <c r="S47" s="46"/>
      <c r="T47" s="2" t="s">
        <v>226</v>
      </c>
      <c r="U47" s="56" t="n">
        <f aca="false">COUNTIFS(Model!$J$2:$J$1001,$B$3,Model!$L$2:$L$1001,$B$4,Model!$I$2:$I$1001,$T47)</f>
        <v>1</v>
      </c>
      <c r="V47" s="55" t="n">
        <f aca="false">SUMIFS(Model!$N$2:$N$1001,Model!$J$2:$J$1001,$B$3,Model!$L$2:$L$1001,$B$4,Model!$I$2:$I$1001,$T47)</f>
        <v>3442</v>
      </c>
      <c r="W47" s="58" t="n">
        <f aca="false">$U47+$V47/1000000000+ROW()/1000000000000</f>
        <v>1.000003442047</v>
      </c>
      <c r="X47" s="46"/>
      <c r="Y47" s="46"/>
      <c r="Z47" s="46"/>
      <c r="AA47" s="46"/>
      <c r="AB47" s="46"/>
      <c r="AC47" s="2" t="s">
        <v>227</v>
      </c>
      <c r="AD47" s="2" t="str">
        <f aca="false">INDEX(Customers!$B$2:$B$101,MATCH($AC47,Customers!$A$2:$A$101,0))</f>
        <v>Rati Dhingra</v>
      </c>
      <c r="AE47" s="55" t="n">
        <f aca="false">SUMIFS(Model!$N$2:$N$1001,Model!$J$2:$J$1001,$B$3,Model!$L$2:$L$1001,$B$4,Model!$B$2:$B$1001,$AC47)</f>
        <v>41595</v>
      </c>
      <c r="AF47" s="56" t="n">
        <f aca="false">COUNTIFS(Model!$J$2:$J$1001,$B$3,Model!$L$2:$L$1001,$B$4,Model!$B$2:$B$1001,$AC47)</f>
        <v>13</v>
      </c>
      <c r="AG47" s="57" t="n">
        <f aca="false">$AE47+ROW()/1000000</f>
        <v>41595.000047</v>
      </c>
      <c r="AH47" s="46"/>
      <c r="AI47" s="46"/>
      <c r="AJ47" s="46"/>
      <c r="AK47" s="46"/>
      <c r="AL47" s="46"/>
      <c r="AM47" s="46"/>
    </row>
    <row r="48" customFormat="false" ht="15" hidden="false" customHeight="false" outlineLevel="0" collapsed="false">
      <c r="A48" s="2" t="s">
        <v>228</v>
      </c>
      <c r="B48" s="55" t="n">
        <f aca="false">SUMIFS(Model!$N$2:$N$1001,Model!$J$2:$J$1001,$B$3,Model!$L$2:$L$1001,$B$4,Model!$T$2:$T$1001,6)</f>
        <v>177211</v>
      </c>
      <c r="C48" s="56" t="n">
        <f aca="false">COUNTIFS(Model!$J$2:$J$1001,$B$3,Model!$L$2:$L$1001,$B$4,Model!$T$2:$T$1001,6)</f>
        <v>45</v>
      </c>
      <c r="D48" s="46"/>
      <c r="E48" s="46"/>
      <c r="F48" s="46"/>
      <c r="G48" s="46"/>
      <c r="H48" s="46"/>
      <c r="I48" s="46"/>
      <c r="J48" s="46"/>
      <c r="K48" s="46"/>
      <c r="L48" s="2" t="n">
        <v>42</v>
      </c>
      <c r="M48" s="2" t="str">
        <f aca="false">INDEX(Products!$B$2:$B$71,MATCH($L48,Products!$A$2:$A$71,0))</f>
        <v>Expedita Gift</v>
      </c>
      <c r="N48" s="55" t="n">
        <f aca="false">SUMIFS(Model!$N$2:$N$1001,Model!$J$2:$J$1001,$B$3,Model!$L$2:$L$1001,$B$4,Model!$C$2:$C$1001,$L48)</f>
        <v>88944</v>
      </c>
      <c r="O48" s="57" t="n">
        <f aca="false">$N48+ROW()/1000000</f>
        <v>88944.000048</v>
      </c>
      <c r="P48" s="46"/>
      <c r="Q48" s="46"/>
      <c r="R48" s="46"/>
      <c r="S48" s="46"/>
      <c r="T48" s="2" t="s">
        <v>229</v>
      </c>
      <c r="U48" s="56" t="n">
        <f aca="false">COUNTIFS(Model!$J$2:$J$1001,$B$3,Model!$L$2:$L$1001,$B$4,Model!$I$2:$I$1001,$T48)</f>
        <v>5</v>
      </c>
      <c r="V48" s="55" t="n">
        <f aca="false">SUMIFS(Model!$N$2:$N$1001,Model!$J$2:$J$1001,$B$3,Model!$L$2:$L$1001,$B$4,Model!$I$2:$I$1001,$T48)</f>
        <v>13433</v>
      </c>
      <c r="W48" s="58" t="n">
        <f aca="false">$U48+$V48/1000000000+ROW()/1000000000000</f>
        <v>5.000013433048</v>
      </c>
      <c r="X48" s="46"/>
      <c r="Y48" s="46"/>
      <c r="Z48" s="46"/>
      <c r="AA48" s="46"/>
      <c r="AB48" s="46"/>
      <c r="AC48" s="2" t="s">
        <v>230</v>
      </c>
      <c r="AD48" s="2" t="str">
        <f aca="false">INDEX(Customers!$B$2:$B$101,MATCH($AC48,Customers!$A$2:$A$101,0))</f>
        <v>Eshani Sharma</v>
      </c>
      <c r="AE48" s="55" t="n">
        <f aca="false">SUMIFS(Model!$N$2:$N$1001,Model!$J$2:$J$1001,$B$3,Model!$L$2:$L$1001,$B$4,Model!$B$2:$B$1001,$AC48)</f>
        <v>28243</v>
      </c>
      <c r="AF48" s="56" t="n">
        <f aca="false">COUNTIFS(Model!$J$2:$J$1001,$B$3,Model!$L$2:$L$1001,$B$4,Model!$B$2:$B$1001,$AC48)</f>
        <v>9</v>
      </c>
      <c r="AG48" s="57" t="n">
        <f aca="false">$AE48+ROW()/1000000</f>
        <v>28243.000048</v>
      </c>
      <c r="AH48" s="46"/>
      <c r="AI48" s="46"/>
      <c r="AJ48" s="46"/>
      <c r="AK48" s="46"/>
      <c r="AL48" s="46"/>
      <c r="AM48" s="46"/>
    </row>
    <row r="49" customFormat="false" ht="15" hidden="false" customHeight="false" outlineLevel="0" collapsed="false">
      <c r="A49" s="2" t="s">
        <v>231</v>
      </c>
      <c r="B49" s="55" t="n">
        <f aca="false">SUMIFS(Model!$N$2:$N$1001,Model!$J$2:$J$1001,$B$3,Model!$L$2:$L$1001,$B$4,Model!$T$2:$T$1001,7)</f>
        <v>147749</v>
      </c>
      <c r="C49" s="56" t="n">
        <f aca="false">COUNTIFS(Model!$J$2:$J$1001,$B$3,Model!$L$2:$L$1001,$B$4,Model!$T$2:$T$1001,7)</f>
        <v>51</v>
      </c>
      <c r="D49" s="46"/>
      <c r="E49" s="46"/>
      <c r="F49" s="46"/>
      <c r="G49" s="46"/>
      <c r="H49" s="46"/>
      <c r="I49" s="46"/>
      <c r="J49" s="46"/>
      <c r="K49" s="46"/>
      <c r="L49" s="2" t="n">
        <v>43</v>
      </c>
      <c r="M49" s="2" t="str">
        <f aca="false">INDEX(Products!$B$2:$B$71,MATCH($L49,Products!$A$2:$A$71,0))</f>
        <v>Quisquam Pack</v>
      </c>
      <c r="N49" s="55" t="n">
        <f aca="false">SUMIFS(Model!$N$2:$N$1001,Model!$J$2:$J$1001,$B$3,Model!$L$2:$L$1001,$B$4,Model!$C$2:$C$1001,$L49)</f>
        <v>42000</v>
      </c>
      <c r="O49" s="57" t="n">
        <f aca="false">$N49+ROW()/1000000</f>
        <v>42000.000049</v>
      </c>
      <c r="P49" s="46"/>
      <c r="Q49" s="46"/>
      <c r="R49" s="46"/>
      <c r="S49" s="46"/>
      <c r="T49" s="2" t="s">
        <v>232</v>
      </c>
      <c r="U49" s="56" t="n">
        <f aca="false">COUNTIFS(Model!$J$2:$J$1001,$B$3,Model!$L$2:$L$1001,$B$4,Model!$I$2:$I$1001,$T49)</f>
        <v>5</v>
      </c>
      <c r="V49" s="55" t="n">
        <f aca="false">SUMIFS(Model!$N$2:$N$1001,Model!$J$2:$J$1001,$B$3,Model!$L$2:$L$1001,$B$4,Model!$I$2:$I$1001,$T49)</f>
        <v>21974</v>
      </c>
      <c r="W49" s="58" t="n">
        <f aca="false">$U49+$V49/1000000000+ROW()/1000000000000</f>
        <v>5.000021974049</v>
      </c>
      <c r="X49" s="46"/>
      <c r="Y49" s="46"/>
      <c r="Z49" s="46"/>
      <c r="AA49" s="46"/>
      <c r="AB49" s="46"/>
      <c r="AC49" s="2" t="s">
        <v>233</v>
      </c>
      <c r="AD49" s="2" t="str">
        <f aca="false">INDEX(Customers!$B$2:$B$101,MATCH($AC49,Customers!$A$2:$A$101,0))</f>
        <v>Yasmin Sheth</v>
      </c>
      <c r="AE49" s="55" t="n">
        <f aca="false">SUMIFS(Model!$N$2:$N$1001,Model!$J$2:$J$1001,$B$3,Model!$L$2:$L$1001,$B$4,Model!$B$2:$B$1001,$AC49)</f>
        <v>28053</v>
      </c>
      <c r="AF49" s="56" t="n">
        <f aca="false">COUNTIFS(Model!$J$2:$J$1001,$B$3,Model!$L$2:$L$1001,$B$4,Model!$B$2:$B$1001,$AC49)</f>
        <v>7</v>
      </c>
      <c r="AG49" s="57" t="n">
        <f aca="false">$AE49+ROW()/1000000</f>
        <v>28053.000049</v>
      </c>
      <c r="AH49" s="46"/>
      <c r="AI49" s="46"/>
      <c r="AJ49" s="46"/>
      <c r="AK49" s="46"/>
      <c r="AL49" s="46"/>
      <c r="AM49" s="46"/>
    </row>
    <row r="50" customFormat="false" ht="15" hidden="false" customHeight="false" outlineLevel="0" collapsed="false">
      <c r="A50" s="2" t="s">
        <v>234</v>
      </c>
      <c r="B50" s="55" t="n">
        <f aca="false">SUMIFS(Model!$N$2:$N$1001,Model!$J$2:$J$1001,$B$3,Model!$L$2:$L$1001,$B$4,Model!$T$2:$T$1001,8)</f>
        <v>133617</v>
      </c>
      <c r="C50" s="56" t="n">
        <f aca="false">COUNTIFS(Model!$J$2:$J$1001,$B$3,Model!$L$2:$L$1001,$B$4,Model!$T$2:$T$1001,8)</f>
        <v>34</v>
      </c>
      <c r="D50" s="46"/>
      <c r="E50" s="46"/>
      <c r="F50" s="46"/>
      <c r="G50" s="46"/>
      <c r="H50" s="46"/>
      <c r="I50" s="46"/>
      <c r="J50" s="46"/>
      <c r="K50" s="46"/>
      <c r="L50" s="2" t="n">
        <v>44</v>
      </c>
      <c r="M50" s="2" t="str">
        <f aca="false">INDEX(Products!$B$2:$B$71,MATCH($L50,Products!$A$2:$A$71,0))</f>
        <v>Dolorum Set</v>
      </c>
      <c r="N50" s="55" t="n">
        <f aca="false">SUMIFS(Model!$N$2:$N$1001,Model!$J$2:$J$1001,$B$3,Model!$L$2:$L$1001,$B$4,Model!$C$2:$C$1001,$L50)</f>
        <v>34936</v>
      </c>
      <c r="O50" s="57" t="n">
        <f aca="false">$N50+ROW()/1000000</f>
        <v>34936.00005</v>
      </c>
      <c r="P50" s="46"/>
      <c r="Q50" s="46"/>
      <c r="R50" s="46"/>
      <c r="S50" s="46"/>
      <c r="T50" s="2" t="s">
        <v>235</v>
      </c>
      <c r="U50" s="56" t="n">
        <f aca="false">COUNTIFS(Model!$J$2:$J$1001,$B$3,Model!$L$2:$L$1001,$B$4,Model!$I$2:$I$1001,$T50)</f>
        <v>4</v>
      </c>
      <c r="V50" s="55" t="n">
        <f aca="false">SUMIFS(Model!$N$2:$N$1001,Model!$J$2:$J$1001,$B$3,Model!$L$2:$L$1001,$B$4,Model!$I$2:$I$1001,$T50)</f>
        <v>6780</v>
      </c>
      <c r="W50" s="58" t="n">
        <f aca="false">$U50+$V50/1000000000+ROW()/1000000000000</f>
        <v>4.00000678005</v>
      </c>
      <c r="X50" s="46"/>
      <c r="Y50" s="46"/>
      <c r="Z50" s="46"/>
      <c r="AA50" s="46"/>
      <c r="AB50" s="46"/>
      <c r="AC50" s="2" t="s">
        <v>236</v>
      </c>
      <c r="AD50" s="2" t="str">
        <f aca="false">INDEX(Customers!$B$2:$B$101,MATCH($AC50,Customers!$A$2:$A$101,0))</f>
        <v>Seher Mann</v>
      </c>
      <c r="AE50" s="55" t="n">
        <f aca="false">SUMIFS(Model!$N$2:$N$1001,Model!$J$2:$J$1001,$B$3,Model!$L$2:$L$1001,$B$4,Model!$B$2:$B$1001,$AC50)</f>
        <v>70409</v>
      </c>
      <c r="AF50" s="56" t="n">
        <f aca="false">COUNTIFS(Model!$J$2:$J$1001,$B$3,Model!$L$2:$L$1001,$B$4,Model!$B$2:$B$1001,$AC50)</f>
        <v>17</v>
      </c>
      <c r="AG50" s="57" t="n">
        <f aca="false">$AE50+ROW()/1000000</f>
        <v>70409.00005</v>
      </c>
      <c r="AH50" s="46"/>
      <c r="AI50" s="46"/>
      <c r="AJ50" s="46"/>
      <c r="AK50" s="46"/>
      <c r="AL50" s="46"/>
      <c r="AM50" s="46"/>
    </row>
    <row r="51" customFormat="false" ht="15" hidden="false" customHeight="false" outlineLevel="0" collapsed="false">
      <c r="A51" s="2" t="s">
        <v>237</v>
      </c>
      <c r="B51" s="55" t="n">
        <f aca="false">SUMIFS(Model!$N$2:$N$1001,Model!$J$2:$J$1001,$B$3,Model!$L$2:$L$1001,$B$4,Model!$T$2:$T$1001,9)</f>
        <v>153678</v>
      </c>
      <c r="C51" s="56" t="n">
        <f aca="false">COUNTIFS(Model!$J$2:$J$1001,$B$3,Model!$L$2:$L$1001,$B$4,Model!$T$2:$T$1001,9)</f>
        <v>49</v>
      </c>
      <c r="D51" s="46"/>
      <c r="E51" s="46"/>
      <c r="F51" s="46"/>
      <c r="G51" s="46"/>
      <c r="H51" s="46"/>
      <c r="I51" s="46"/>
      <c r="J51" s="46"/>
      <c r="K51" s="46"/>
      <c r="L51" s="2" t="n">
        <v>45</v>
      </c>
      <c r="M51" s="2" t="str">
        <f aca="false">INDEX(Products!$B$2:$B$71,MATCH($L51,Products!$A$2:$A$71,0))</f>
        <v>Iusto Set</v>
      </c>
      <c r="N51" s="55" t="n">
        <f aca="false">SUMIFS(Model!$N$2:$N$1001,Model!$J$2:$J$1001,$B$3,Model!$L$2:$L$1001,$B$4,Model!$C$2:$C$1001,$L51)</f>
        <v>30324</v>
      </c>
      <c r="O51" s="57" t="n">
        <f aca="false">$N51+ROW()/1000000</f>
        <v>30324.000051</v>
      </c>
      <c r="P51" s="46"/>
      <c r="Q51" s="46"/>
      <c r="R51" s="46"/>
      <c r="S51" s="46"/>
      <c r="T51" s="2" t="s">
        <v>238</v>
      </c>
      <c r="U51" s="56" t="n">
        <f aca="false">COUNTIFS(Model!$J$2:$J$1001,$B$3,Model!$L$2:$L$1001,$B$4,Model!$I$2:$I$1001,$T51)</f>
        <v>6</v>
      </c>
      <c r="V51" s="55" t="n">
        <f aca="false">SUMIFS(Model!$N$2:$N$1001,Model!$J$2:$J$1001,$B$3,Model!$L$2:$L$1001,$B$4,Model!$I$2:$I$1001,$T51)</f>
        <v>17024</v>
      </c>
      <c r="W51" s="58" t="n">
        <f aca="false">$U51+$V51/1000000000+ROW()/1000000000000</f>
        <v>6.000017024051</v>
      </c>
      <c r="X51" s="46"/>
      <c r="Y51" s="46"/>
      <c r="Z51" s="46"/>
      <c r="AA51" s="46"/>
      <c r="AB51" s="46"/>
      <c r="AC51" s="2" t="s">
        <v>239</v>
      </c>
      <c r="AD51" s="2" t="str">
        <f aca="false">INDEX(Customers!$B$2:$B$101,MATCH($AC51,Customers!$A$2:$A$101,0))</f>
        <v>Divit Mahajan</v>
      </c>
      <c r="AE51" s="55" t="n">
        <f aca="false">SUMIFS(Model!$N$2:$N$1001,Model!$J$2:$J$1001,$B$3,Model!$L$2:$L$1001,$B$4,Model!$B$2:$B$1001,$AC51)</f>
        <v>61294</v>
      </c>
      <c r="AF51" s="56" t="n">
        <f aca="false">COUNTIFS(Model!$J$2:$J$1001,$B$3,Model!$L$2:$L$1001,$B$4,Model!$B$2:$B$1001,$AC51)</f>
        <v>15</v>
      </c>
      <c r="AG51" s="57" t="n">
        <f aca="false">$AE51+ROW()/1000000</f>
        <v>61294.000051</v>
      </c>
      <c r="AH51" s="46"/>
      <c r="AI51" s="46"/>
      <c r="AJ51" s="46"/>
      <c r="AK51" s="46"/>
      <c r="AL51" s="46"/>
      <c r="AM51" s="46"/>
    </row>
    <row r="52" customFormat="false" ht="15" hidden="false" customHeight="false" outlineLevel="0" collapsed="false">
      <c r="A52" s="2" t="s">
        <v>240</v>
      </c>
      <c r="B52" s="55" t="n">
        <f aca="false">SUMIFS(Model!$N$2:$N$1001,Model!$J$2:$J$1001,$B$3,Model!$L$2:$L$1001,$B$4,Model!$T$2:$T$1001,10)</f>
        <v>94985</v>
      </c>
      <c r="C52" s="56" t="n">
        <f aca="false">COUNTIFS(Model!$J$2:$J$1001,$B$3,Model!$L$2:$L$1001,$B$4,Model!$T$2:$T$1001,10)</f>
        <v>29</v>
      </c>
      <c r="D52" s="46"/>
      <c r="E52" s="46"/>
      <c r="F52" s="46"/>
      <c r="G52" s="46"/>
      <c r="H52" s="46"/>
      <c r="I52" s="46"/>
      <c r="J52" s="46"/>
      <c r="K52" s="46"/>
      <c r="L52" s="2" t="n">
        <v>46</v>
      </c>
      <c r="M52" s="2" t="str">
        <f aca="false">INDEX(Products!$B$2:$B$71,MATCH($L52,Products!$A$2:$A$71,0))</f>
        <v>Pariatur Set</v>
      </c>
      <c r="N52" s="55" t="n">
        <f aca="false">SUMIFS(Model!$N$2:$N$1001,Model!$J$2:$J$1001,$B$3,Model!$L$2:$L$1001,$B$4,Model!$C$2:$C$1001,$L52)</f>
        <v>30320</v>
      </c>
      <c r="O52" s="57" t="n">
        <f aca="false">$N52+ROW()/1000000</f>
        <v>30320.000052</v>
      </c>
      <c r="P52" s="46"/>
      <c r="Q52" s="46"/>
      <c r="R52" s="46"/>
      <c r="S52" s="46"/>
      <c r="T52" s="2" t="s">
        <v>241</v>
      </c>
      <c r="U52" s="56" t="n">
        <f aca="false">COUNTIFS(Model!$J$2:$J$1001,$B$3,Model!$L$2:$L$1001,$B$4,Model!$I$2:$I$1001,$T52)</f>
        <v>8</v>
      </c>
      <c r="V52" s="55" t="n">
        <f aca="false">SUMIFS(Model!$N$2:$N$1001,Model!$J$2:$J$1001,$B$3,Model!$L$2:$L$1001,$B$4,Model!$I$2:$I$1001,$T52)</f>
        <v>36141</v>
      </c>
      <c r="W52" s="58" t="n">
        <f aca="false">$U52+$V52/1000000000+ROW()/1000000000000</f>
        <v>8.000036141052</v>
      </c>
      <c r="X52" s="46"/>
      <c r="Y52" s="46"/>
      <c r="Z52" s="46"/>
      <c r="AA52" s="46"/>
      <c r="AB52" s="46"/>
      <c r="AC52" s="2" t="s">
        <v>242</v>
      </c>
      <c r="AD52" s="2" t="str">
        <f aca="false">INDEX(Customers!$B$2:$B$101,MATCH($AC52,Customers!$A$2:$A$101,0))</f>
        <v>Tara Kannan</v>
      </c>
      <c r="AE52" s="55" t="n">
        <f aca="false">SUMIFS(Model!$N$2:$N$1001,Model!$J$2:$J$1001,$B$3,Model!$L$2:$L$1001,$B$4,Model!$B$2:$B$1001,$AC52)</f>
        <v>29150</v>
      </c>
      <c r="AF52" s="56" t="n">
        <f aca="false">COUNTIFS(Model!$J$2:$J$1001,$B$3,Model!$L$2:$L$1001,$B$4,Model!$B$2:$B$1001,$AC52)</f>
        <v>14</v>
      </c>
      <c r="AG52" s="57" t="n">
        <f aca="false">$AE52+ROW()/1000000</f>
        <v>29150.000052</v>
      </c>
      <c r="AH52" s="46"/>
      <c r="AI52" s="46"/>
      <c r="AJ52" s="46"/>
      <c r="AK52" s="46"/>
      <c r="AL52" s="46"/>
      <c r="AM52" s="46"/>
    </row>
    <row r="53" customFormat="false" ht="15" hidden="false" customHeight="false" outlineLevel="0" collapsed="false">
      <c r="A53" s="2" t="s">
        <v>243</v>
      </c>
      <c r="B53" s="55" t="n">
        <f aca="false">SUMIFS(Model!$N$2:$N$1001,Model!$J$2:$J$1001,$B$3,Model!$L$2:$L$1001,$B$4,Model!$T$2:$T$1001,11)</f>
        <v>130287</v>
      </c>
      <c r="C53" s="56" t="n">
        <f aca="false">COUNTIFS(Model!$J$2:$J$1001,$B$3,Model!$L$2:$L$1001,$B$4,Model!$T$2:$T$1001,11)</f>
        <v>35</v>
      </c>
      <c r="D53" s="46"/>
      <c r="E53" s="46"/>
      <c r="F53" s="46"/>
      <c r="G53" s="46"/>
      <c r="H53" s="46"/>
      <c r="I53" s="46"/>
      <c r="J53" s="46"/>
      <c r="K53" s="46"/>
      <c r="L53" s="2" t="n">
        <v>47</v>
      </c>
      <c r="M53" s="2" t="str">
        <f aca="false">INDEX(Products!$B$2:$B$71,MATCH($L53,Products!$A$2:$A$71,0))</f>
        <v>Harum Pack</v>
      </c>
      <c r="N53" s="55" t="n">
        <f aca="false">SUMIFS(Model!$N$2:$N$1001,Model!$J$2:$J$1001,$B$3,Model!$L$2:$L$1001,$B$4,Model!$C$2:$C$1001,$L53)</f>
        <v>101556</v>
      </c>
      <c r="O53" s="57" t="n">
        <f aca="false">$N53+ROW()/1000000</f>
        <v>101556.000053</v>
      </c>
      <c r="P53" s="46"/>
      <c r="Q53" s="46"/>
      <c r="R53" s="46"/>
      <c r="S53" s="46"/>
      <c r="T53" s="2" t="s">
        <v>244</v>
      </c>
      <c r="U53" s="56" t="n">
        <f aca="false">COUNTIFS(Model!$J$2:$J$1001,$B$3,Model!$L$2:$L$1001,$B$4,Model!$I$2:$I$1001,$T53)</f>
        <v>4</v>
      </c>
      <c r="V53" s="55" t="n">
        <f aca="false">SUMIFS(Model!$N$2:$N$1001,Model!$J$2:$J$1001,$B$3,Model!$L$2:$L$1001,$B$4,Model!$I$2:$I$1001,$T53)</f>
        <v>23434</v>
      </c>
      <c r="W53" s="58" t="n">
        <f aca="false">$U53+$V53/1000000000+ROW()/1000000000000</f>
        <v>4.000023434053</v>
      </c>
      <c r="X53" s="46"/>
      <c r="Y53" s="46"/>
      <c r="Z53" s="46"/>
      <c r="AA53" s="46"/>
      <c r="AB53" s="46"/>
      <c r="AC53" s="2" t="s">
        <v>245</v>
      </c>
      <c r="AD53" s="2" t="str">
        <f aca="false">INDEX(Customers!$B$2:$B$101,MATCH($AC53,Customers!$A$2:$A$101,0))</f>
        <v>Bhamini Ravi</v>
      </c>
      <c r="AE53" s="55" t="n">
        <f aca="false">SUMIFS(Model!$N$2:$N$1001,Model!$J$2:$J$1001,$B$3,Model!$L$2:$L$1001,$B$4,Model!$B$2:$B$1001,$AC53)</f>
        <v>28829</v>
      </c>
      <c r="AF53" s="56" t="n">
        <f aca="false">COUNTIFS(Model!$J$2:$J$1001,$B$3,Model!$L$2:$L$1001,$B$4,Model!$B$2:$B$1001,$AC53)</f>
        <v>12</v>
      </c>
      <c r="AG53" s="57" t="n">
        <f aca="false">$AE53+ROW()/1000000</f>
        <v>28829.000053</v>
      </c>
      <c r="AH53" s="46"/>
      <c r="AI53" s="46"/>
      <c r="AJ53" s="46"/>
      <c r="AK53" s="46"/>
      <c r="AL53" s="46"/>
      <c r="AM53" s="46"/>
    </row>
    <row r="54" customFormat="false" ht="15" hidden="false" customHeight="false" outlineLevel="0" collapsed="false">
      <c r="A54" s="2" t="s">
        <v>246</v>
      </c>
      <c r="B54" s="55" t="n">
        <f aca="false">SUMIFS(Model!$N$2:$N$1001,Model!$J$2:$J$1001,$B$3,Model!$L$2:$L$1001,$B$4,Model!$T$2:$T$1001,12)</f>
        <v>162394</v>
      </c>
      <c r="C54" s="56" t="n">
        <f aca="false">COUNTIFS(Model!$J$2:$J$1001,$B$3,Model!$L$2:$L$1001,$B$4,Model!$T$2:$T$1001,12)</f>
        <v>43</v>
      </c>
      <c r="D54" s="46"/>
      <c r="E54" s="46"/>
      <c r="F54" s="46"/>
      <c r="G54" s="46"/>
      <c r="H54" s="46"/>
      <c r="I54" s="46"/>
      <c r="J54" s="46"/>
      <c r="K54" s="46"/>
      <c r="L54" s="2" t="n">
        <v>48</v>
      </c>
      <c r="M54" s="2" t="str">
        <f aca="false">INDEX(Products!$B$2:$B$71,MATCH($L54,Products!$A$2:$A$71,0))</f>
        <v>Maiores Gift</v>
      </c>
      <c r="N54" s="55" t="n">
        <f aca="false">SUMIFS(Model!$N$2:$N$1001,Model!$J$2:$J$1001,$B$3,Model!$L$2:$L$1001,$B$4,Model!$C$2:$C$1001,$L54)</f>
        <v>12557</v>
      </c>
      <c r="O54" s="57" t="n">
        <f aca="false">$N54+ROW()/1000000</f>
        <v>12557.000054</v>
      </c>
      <c r="P54" s="46"/>
      <c r="Q54" s="46"/>
      <c r="R54" s="46"/>
      <c r="S54" s="46"/>
      <c r="T54" s="2" t="s">
        <v>247</v>
      </c>
      <c r="U54" s="56" t="n">
        <f aca="false">COUNTIFS(Model!$J$2:$J$1001,$B$3,Model!$L$2:$L$1001,$B$4,Model!$I$2:$I$1001,$T54)</f>
        <v>2</v>
      </c>
      <c r="V54" s="55" t="n">
        <f aca="false">SUMIFS(Model!$N$2:$N$1001,Model!$J$2:$J$1001,$B$3,Model!$L$2:$L$1001,$B$4,Model!$I$2:$I$1001,$T54)</f>
        <v>9620</v>
      </c>
      <c r="W54" s="58" t="n">
        <f aca="false">$U54+$V54/1000000000+ROW()/1000000000000</f>
        <v>2.000009620054</v>
      </c>
      <c r="X54" s="46"/>
      <c r="Y54" s="46"/>
      <c r="Z54" s="46"/>
      <c r="AA54" s="46"/>
      <c r="AB54" s="46"/>
      <c r="AC54" s="2" t="s">
        <v>248</v>
      </c>
      <c r="AD54" s="2" t="str">
        <f aca="false">INDEX(Customers!$B$2:$B$101,MATCH($AC54,Customers!$A$2:$A$101,0))</f>
        <v>Aradhya Kale</v>
      </c>
      <c r="AE54" s="55" t="n">
        <f aca="false">SUMIFS(Model!$N$2:$N$1001,Model!$J$2:$J$1001,$B$3,Model!$L$2:$L$1001,$B$4,Model!$B$2:$B$1001,$AC54)</f>
        <v>24465</v>
      </c>
      <c r="AF54" s="56" t="n">
        <f aca="false">COUNTIFS(Model!$J$2:$J$1001,$B$3,Model!$L$2:$L$1001,$B$4,Model!$B$2:$B$1001,$AC54)</f>
        <v>9</v>
      </c>
      <c r="AG54" s="57" t="n">
        <f aca="false">$AE54+ROW()/1000000</f>
        <v>24465.000054</v>
      </c>
      <c r="AH54" s="46"/>
      <c r="AI54" s="46"/>
      <c r="AJ54" s="46"/>
      <c r="AK54" s="46"/>
      <c r="AL54" s="46"/>
      <c r="AM54" s="46"/>
    </row>
    <row r="55" customFormat="false" ht="15" hidden="false" customHeight="false" outlineLevel="0" collapsed="false">
      <c r="A55" s="2" t="s">
        <v>249</v>
      </c>
      <c r="B55" s="55" t="n">
        <f aca="false">SUMIFS(Model!$N$2:$N$1001,Model!$J$2:$J$1001,$B$3,Model!$L$2:$L$1001,$B$4,Model!$T$2:$T$1001,13)</f>
        <v>152340</v>
      </c>
      <c r="C55" s="56" t="n">
        <f aca="false">COUNTIFS(Model!$J$2:$J$1001,$B$3,Model!$L$2:$L$1001,$B$4,Model!$T$2:$T$1001,13)</f>
        <v>39</v>
      </c>
      <c r="D55" s="46"/>
      <c r="E55" s="46"/>
      <c r="F55" s="46"/>
      <c r="G55" s="46"/>
      <c r="H55" s="46"/>
      <c r="I55" s="46"/>
      <c r="J55" s="46"/>
      <c r="K55" s="46"/>
      <c r="L55" s="2" t="n">
        <v>49</v>
      </c>
      <c r="M55" s="2" t="str">
        <f aca="false">INDEX(Products!$B$2:$B$71,MATCH($L55,Products!$A$2:$A$71,0))</f>
        <v>Voluptate Pack</v>
      </c>
      <c r="N55" s="55" t="n">
        <f aca="false">SUMIFS(Model!$N$2:$N$1001,Model!$J$2:$J$1001,$B$3,Model!$L$2:$L$1001,$B$4,Model!$C$2:$C$1001,$L55)</f>
        <v>51471</v>
      </c>
      <c r="O55" s="57" t="n">
        <f aca="false">$N55+ROW()/1000000</f>
        <v>51471.000055</v>
      </c>
      <c r="P55" s="46"/>
      <c r="Q55" s="46"/>
      <c r="R55" s="46"/>
      <c r="S55" s="46"/>
      <c r="T55" s="2" t="s">
        <v>250</v>
      </c>
      <c r="U55" s="56" t="n">
        <f aca="false">COUNTIFS(Model!$J$2:$J$1001,$B$3,Model!$L$2:$L$1001,$B$4,Model!$I$2:$I$1001,$T55)</f>
        <v>2</v>
      </c>
      <c r="V55" s="55" t="n">
        <f aca="false">SUMIFS(Model!$N$2:$N$1001,Model!$J$2:$J$1001,$B$3,Model!$L$2:$L$1001,$B$4,Model!$I$2:$I$1001,$T55)</f>
        <v>11236</v>
      </c>
      <c r="W55" s="58" t="n">
        <f aca="false">$U55+$V55/1000000000+ROW()/1000000000000</f>
        <v>2.000011236055</v>
      </c>
      <c r="X55" s="46"/>
      <c r="Y55" s="46"/>
      <c r="Z55" s="46"/>
      <c r="AA55" s="46"/>
      <c r="AB55" s="46"/>
      <c r="AC55" s="2" t="s">
        <v>251</v>
      </c>
      <c r="AD55" s="2" t="str">
        <f aca="false">INDEX(Customers!$B$2:$B$101,MATCH($AC55,Customers!$A$2:$A$101,0))</f>
        <v>Aarush Balasubramanian</v>
      </c>
      <c r="AE55" s="55" t="n">
        <f aca="false">SUMIFS(Model!$N$2:$N$1001,Model!$J$2:$J$1001,$B$3,Model!$L$2:$L$1001,$B$4,Model!$B$2:$B$1001,$AC55)</f>
        <v>38936</v>
      </c>
      <c r="AF55" s="56" t="n">
        <f aca="false">COUNTIFS(Model!$J$2:$J$1001,$B$3,Model!$L$2:$L$1001,$B$4,Model!$B$2:$B$1001,$AC55)</f>
        <v>8</v>
      </c>
      <c r="AG55" s="57" t="n">
        <f aca="false">$AE55+ROW()/1000000</f>
        <v>38936.000055</v>
      </c>
      <c r="AH55" s="46"/>
      <c r="AI55" s="46"/>
      <c r="AJ55" s="46"/>
      <c r="AK55" s="46"/>
      <c r="AL55" s="46"/>
      <c r="AM55" s="46"/>
    </row>
    <row r="56" customFormat="false" ht="15" hidden="false" customHeight="false" outlineLevel="0" collapsed="false">
      <c r="A56" s="2" t="s">
        <v>252</v>
      </c>
      <c r="B56" s="55" t="n">
        <f aca="false">SUMIFS(Model!$N$2:$N$1001,Model!$J$2:$J$1001,$B$3,Model!$L$2:$L$1001,$B$4,Model!$T$2:$T$1001,14)</f>
        <v>126406</v>
      </c>
      <c r="C56" s="56" t="n">
        <f aca="false">COUNTIFS(Model!$J$2:$J$1001,$B$3,Model!$L$2:$L$1001,$B$4,Model!$T$2:$T$1001,14)</f>
        <v>42</v>
      </c>
      <c r="D56" s="46"/>
      <c r="E56" s="46"/>
      <c r="F56" s="46"/>
      <c r="G56" s="46"/>
      <c r="H56" s="46"/>
      <c r="I56" s="46"/>
      <c r="J56" s="46"/>
      <c r="K56" s="46"/>
      <c r="L56" s="2" t="n">
        <v>50</v>
      </c>
      <c r="M56" s="2" t="str">
        <f aca="false">INDEX(Products!$B$2:$B$71,MATCH($L56,Products!$A$2:$A$71,0))</f>
        <v>Eligendi Set</v>
      </c>
      <c r="N56" s="55" t="n">
        <f aca="false">SUMIFS(Model!$N$2:$N$1001,Model!$J$2:$J$1001,$B$3,Model!$L$2:$L$1001,$B$4,Model!$C$2:$C$1001,$L56)</f>
        <v>16880</v>
      </c>
      <c r="O56" s="57" t="n">
        <f aca="false">$N56+ROW()/1000000</f>
        <v>16880.000056</v>
      </c>
      <c r="P56" s="46"/>
      <c r="Q56" s="46"/>
      <c r="R56" s="46"/>
      <c r="S56" s="46"/>
      <c r="T56" s="2" t="s">
        <v>253</v>
      </c>
      <c r="U56" s="56" t="n">
        <f aca="false">COUNTIFS(Model!$J$2:$J$1001,$B$3,Model!$L$2:$L$1001,$B$4,Model!$I$2:$I$1001,$T56)</f>
        <v>2</v>
      </c>
      <c r="V56" s="55" t="n">
        <f aca="false">SUMIFS(Model!$N$2:$N$1001,Model!$J$2:$J$1001,$B$3,Model!$L$2:$L$1001,$B$4,Model!$I$2:$I$1001,$T56)</f>
        <v>8156</v>
      </c>
      <c r="W56" s="58" t="n">
        <f aca="false">$U56+$V56/1000000000+ROW()/1000000000000</f>
        <v>2.000008156056</v>
      </c>
      <c r="X56" s="46"/>
      <c r="Y56" s="46"/>
      <c r="Z56" s="46"/>
      <c r="AA56" s="46"/>
      <c r="AB56" s="46"/>
      <c r="AC56" s="2" t="s">
        <v>254</v>
      </c>
      <c r="AD56" s="2" t="str">
        <f aca="false">INDEX(Customers!$B$2:$B$101,MATCH($AC56,Customers!$A$2:$A$101,0))</f>
        <v>Chirag Srinivas</v>
      </c>
      <c r="AE56" s="55" t="n">
        <f aca="false">SUMIFS(Model!$N$2:$N$1001,Model!$J$2:$J$1001,$B$3,Model!$L$2:$L$1001,$B$4,Model!$B$2:$B$1001,$AC56)</f>
        <v>40896</v>
      </c>
      <c r="AF56" s="56" t="n">
        <f aca="false">COUNTIFS(Model!$J$2:$J$1001,$B$3,Model!$L$2:$L$1001,$B$4,Model!$B$2:$B$1001,$AC56)</f>
        <v>11</v>
      </c>
      <c r="AG56" s="57" t="n">
        <f aca="false">$AE56+ROW()/1000000</f>
        <v>40896.000056</v>
      </c>
      <c r="AH56" s="46"/>
      <c r="AI56" s="46"/>
      <c r="AJ56" s="46"/>
      <c r="AK56" s="46"/>
      <c r="AL56" s="46"/>
      <c r="AM56" s="46"/>
    </row>
    <row r="57" customFormat="false" ht="15" hidden="false" customHeight="false" outlineLevel="0" collapsed="false">
      <c r="A57" s="2" t="s">
        <v>255</v>
      </c>
      <c r="B57" s="55" t="n">
        <f aca="false">SUMIFS(Model!$N$2:$N$1001,Model!$J$2:$J$1001,$B$3,Model!$L$2:$L$1001,$B$4,Model!$T$2:$T$1001,15)</f>
        <v>163586</v>
      </c>
      <c r="C57" s="56" t="n">
        <f aca="false">COUNTIFS(Model!$J$2:$J$1001,$B$3,Model!$L$2:$L$1001,$B$4,Model!$T$2:$T$1001,15)</f>
        <v>47</v>
      </c>
      <c r="D57" s="46"/>
      <c r="E57" s="46"/>
      <c r="F57" s="46"/>
      <c r="G57" s="46"/>
      <c r="H57" s="46"/>
      <c r="I57" s="46"/>
      <c r="J57" s="46"/>
      <c r="K57" s="46"/>
      <c r="L57" s="2" t="n">
        <v>51</v>
      </c>
      <c r="M57" s="2" t="str">
        <f aca="false">INDEX(Products!$B$2:$B$71,MATCH($L57,Products!$A$2:$A$71,0))</f>
        <v>Fugit Set</v>
      </c>
      <c r="N57" s="55" t="n">
        <f aca="false">SUMIFS(Model!$N$2:$N$1001,Model!$J$2:$J$1001,$B$3,Model!$L$2:$L$1001,$B$4,Model!$C$2:$C$1001,$L57)</f>
        <v>68292</v>
      </c>
      <c r="O57" s="57" t="n">
        <f aca="false">$N57+ROW()/1000000</f>
        <v>68292.000057</v>
      </c>
      <c r="P57" s="46"/>
      <c r="Q57" s="46"/>
      <c r="R57" s="46"/>
      <c r="S57" s="46"/>
      <c r="T57" s="2" t="s">
        <v>256</v>
      </c>
      <c r="U57" s="56" t="n">
        <f aca="false">COUNTIFS(Model!$J$2:$J$1001,$B$3,Model!$L$2:$L$1001,$B$4,Model!$I$2:$I$1001,$T57)</f>
        <v>1</v>
      </c>
      <c r="V57" s="55" t="n">
        <f aca="false">SUMIFS(Model!$N$2:$N$1001,Model!$J$2:$J$1001,$B$3,Model!$L$2:$L$1001,$B$4,Model!$I$2:$I$1001,$T57)</f>
        <v>8720</v>
      </c>
      <c r="W57" s="58" t="n">
        <f aca="false">$U57+$V57/1000000000+ROW()/1000000000000</f>
        <v>1.000008720057</v>
      </c>
      <c r="X57" s="46"/>
      <c r="Y57" s="46"/>
      <c r="Z57" s="46"/>
      <c r="AA57" s="46"/>
      <c r="AB57" s="46"/>
      <c r="AC57" s="2" t="s">
        <v>257</v>
      </c>
      <c r="AD57" s="2" t="str">
        <f aca="false">INDEX(Customers!$B$2:$B$101,MATCH($AC57,Customers!$A$2:$A$101,0))</f>
        <v>Aradhya Batta</v>
      </c>
      <c r="AE57" s="55" t="n">
        <f aca="false">SUMIFS(Model!$N$2:$N$1001,Model!$J$2:$J$1001,$B$3,Model!$L$2:$L$1001,$B$4,Model!$B$2:$B$1001,$AC57)</f>
        <v>50856</v>
      </c>
      <c r="AF57" s="56" t="n">
        <f aca="false">COUNTIFS(Model!$J$2:$J$1001,$B$3,Model!$L$2:$L$1001,$B$4,Model!$B$2:$B$1001,$AC57)</f>
        <v>14</v>
      </c>
      <c r="AG57" s="57" t="n">
        <f aca="false">$AE57+ROW()/1000000</f>
        <v>50856.000057</v>
      </c>
      <c r="AH57" s="46"/>
      <c r="AI57" s="46"/>
      <c r="AJ57" s="46"/>
      <c r="AK57" s="46"/>
      <c r="AL57" s="46"/>
      <c r="AM57" s="46"/>
    </row>
    <row r="58" customFormat="false" ht="15" hidden="false" customHeight="false" outlineLevel="0" collapsed="false">
      <c r="A58" s="2" t="s">
        <v>258</v>
      </c>
      <c r="B58" s="55" t="n">
        <f aca="false">SUMIFS(Model!$N$2:$N$1001,Model!$J$2:$J$1001,$B$3,Model!$L$2:$L$1001,$B$4,Model!$T$2:$T$1001,16)</f>
        <v>128797</v>
      </c>
      <c r="C58" s="56" t="n">
        <f aca="false">COUNTIFS(Model!$J$2:$J$1001,$B$3,Model!$L$2:$L$1001,$B$4,Model!$T$2:$T$1001,16)</f>
        <v>38</v>
      </c>
      <c r="D58" s="46"/>
      <c r="E58" s="46"/>
      <c r="F58" s="46"/>
      <c r="G58" s="46"/>
      <c r="H58" s="46"/>
      <c r="I58" s="46"/>
      <c r="J58" s="46"/>
      <c r="K58" s="46"/>
      <c r="L58" s="2" t="n">
        <v>52</v>
      </c>
      <c r="M58" s="2" t="str">
        <f aca="false">INDEX(Products!$B$2:$B$71,MATCH($L58,Products!$A$2:$A$71,0))</f>
        <v>Dolorum Box</v>
      </c>
      <c r="N58" s="55" t="n">
        <f aca="false">SUMIFS(Model!$N$2:$N$1001,Model!$J$2:$J$1001,$B$3,Model!$L$2:$L$1001,$B$4,Model!$C$2:$C$1001,$L58)</f>
        <v>8024</v>
      </c>
      <c r="O58" s="57" t="n">
        <f aca="false">$N58+ROW()/1000000</f>
        <v>8024.000058</v>
      </c>
      <c r="P58" s="46"/>
      <c r="Q58" s="46"/>
      <c r="R58" s="46"/>
      <c r="S58" s="46"/>
      <c r="T58" s="2" t="s">
        <v>259</v>
      </c>
      <c r="U58" s="56" t="n">
        <f aca="false">COUNTIFS(Model!$J$2:$J$1001,$B$3,Model!$L$2:$L$1001,$B$4,Model!$I$2:$I$1001,$T58)</f>
        <v>2</v>
      </c>
      <c r="V58" s="55" t="n">
        <f aca="false">SUMIFS(Model!$N$2:$N$1001,Model!$J$2:$J$1001,$B$3,Model!$L$2:$L$1001,$B$4,Model!$I$2:$I$1001,$T58)</f>
        <v>13182</v>
      </c>
      <c r="W58" s="58" t="n">
        <f aca="false">$U58+$V58/1000000000+ROW()/1000000000000</f>
        <v>2.000013182058</v>
      </c>
      <c r="X58" s="46"/>
      <c r="Y58" s="46"/>
      <c r="Z58" s="46"/>
      <c r="AA58" s="46"/>
      <c r="AB58" s="46"/>
      <c r="AC58" s="2" t="s">
        <v>260</v>
      </c>
      <c r="AD58" s="2" t="str">
        <f aca="false">INDEX(Customers!$B$2:$B$101,MATCH($AC58,Customers!$A$2:$A$101,0))</f>
        <v>Vardaniya Apte</v>
      </c>
      <c r="AE58" s="55" t="n">
        <f aca="false">SUMIFS(Model!$N$2:$N$1001,Model!$J$2:$J$1001,$B$3,Model!$L$2:$L$1001,$B$4,Model!$B$2:$B$1001,$AC58)</f>
        <v>40731</v>
      </c>
      <c r="AF58" s="56" t="n">
        <f aca="false">COUNTIFS(Model!$J$2:$J$1001,$B$3,Model!$L$2:$L$1001,$B$4,Model!$B$2:$B$1001,$AC58)</f>
        <v>11</v>
      </c>
      <c r="AG58" s="57" t="n">
        <f aca="false">$AE58+ROW()/1000000</f>
        <v>40731.000058</v>
      </c>
      <c r="AH58" s="46"/>
      <c r="AI58" s="46"/>
      <c r="AJ58" s="46"/>
      <c r="AK58" s="46"/>
      <c r="AL58" s="46"/>
      <c r="AM58" s="46"/>
    </row>
    <row r="59" customFormat="false" ht="15" hidden="false" customHeight="false" outlineLevel="0" collapsed="false">
      <c r="A59" s="2" t="s">
        <v>261</v>
      </c>
      <c r="B59" s="55" t="n">
        <f aca="false">SUMIFS(Model!$N$2:$N$1001,Model!$J$2:$J$1001,$B$3,Model!$L$2:$L$1001,$B$4,Model!$T$2:$T$1001,17)</f>
        <v>155373</v>
      </c>
      <c r="C59" s="56" t="n">
        <f aca="false">COUNTIFS(Model!$J$2:$J$1001,$B$3,Model!$L$2:$L$1001,$B$4,Model!$T$2:$T$1001,17)</f>
        <v>43</v>
      </c>
      <c r="D59" s="46"/>
      <c r="E59" s="46"/>
      <c r="F59" s="46"/>
      <c r="G59" s="46"/>
      <c r="H59" s="46"/>
      <c r="I59" s="46"/>
      <c r="J59" s="46"/>
      <c r="K59" s="46"/>
      <c r="L59" s="2" t="n">
        <v>53</v>
      </c>
      <c r="M59" s="2" t="str">
        <f aca="false">INDEX(Products!$B$2:$B$71,MATCH($L59,Products!$A$2:$A$71,0))</f>
        <v>Ipsam Set</v>
      </c>
      <c r="N59" s="55" t="n">
        <f aca="false">SUMIFS(Model!$N$2:$N$1001,Model!$J$2:$J$1001,$B$3,Model!$L$2:$L$1001,$B$4,Model!$C$2:$C$1001,$L59)</f>
        <v>85272</v>
      </c>
      <c r="O59" s="57" t="n">
        <f aca="false">$N59+ROW()/1000000</f>
        <v>85272.000059</v>
      </c>
      <c r="P59" s="46"/>
      <c r="Q59" s="46"/>
      <c r="R59" s="46"/>
      <c r="S59" s="46"/>
      <c r="T59" s="2" t="s">
        <v>262</v>
      </c>
      <c r="U59" s="56" t="n">
        <f aca="false">COUNTIFS(Model!$J$2:$J$1001,$B$3,Model!$L$2:$L$1001,$B$4,Model!$I$2:$I$1001,$T59)</f>
        <v>4</v>
      </c>
      <c r="V59" s="55" t="n">
        <f aca="false">SUMIFS(Model!$N$2:$N$1001,Model!$J$2:$J$1001,$B$3,Model!$L$2:$L$1001,$B$4,Model!$I$2:$I$1001,$T59)</f>
        <v>12167</v>
      </c>
      <c r="W59" s="58" t="n">
        <f aca="false">$U59+$V59/1000000000+ROW()/1000000000000</f>
        <v>4.000012167059</v>
      </c>
      <c r="X59" s="46"/>
      <c r="Y59" s="46"/>
      <c r="Z59" s="46"/>
      <c r="AA59" s="46"/>
      <c r="AB59" s="46"/>
      <c r="AC59" s="2" t="s">
        <v>263</v>
      </c>
      <c r="AD59" s="2" t="str">
        <f aca="false">INDEX(Customers!$B$2:$B$101,MATCH($AC59,Customers!$A$2:$A$101,0))</f>
        <v>Kismat Kapadia</v>
      </c>
      <c r="AE59" s="55" t="n">
        <f aca="false">SUMIFS(Model!$N$2:$N$1001,Model!$J$2:$J$1001,$B$3,Model!$L$2:$L$1001,$B$4,Model!$B$2:$B$1001,$AC59)</f>
        <v>32732</v>
      </c>
      <c r="AF59" s="56" t="n">
        <f aca="false">COUNTIFS(Model!$J$2:$J$1001,$B$3,Model!$L$2:$L$1001,$B$4,Model!$B$2:$B$1001,$AC59)</f>
        <v>12</v>
      </c>
      <c r="AG59" s="57" t="n">
        <f aca="false">$AE59+ROW()/1000000</f>
        <v>32732.000059</v>
      </c>
      <c r="AH59" s="46"/>
      <c r="AI59" s="46"/>
      <c r="AJ59" s="46"/>
      <c r="AK59" s="46"/>
      <c r="AL59" s="46"/>
      <c r="AM59" s="46"/>
    </row>
    <row r="60" customFormat="false" ht="15" hidden="false" customHeight="false" outlineLevel="0" collapsed="false">
      <c r="A60" s="2" t="s">
        <v>264</v>
      </c>
      <c r="B60" s="55" t="n">
        <f aca="false">SUMIFS(Model!$N$2:$N$1001,Model!$J$2:$J$1001,$B$3,Model!$L$2:$L$1001,$B$4,Model!$T$2:$T$1001,18)</f>
        <v>173118</v>
      </c>
      <c r="C60" s="56" t="n">
        <f aca="false">COUNTIFS(Model!$J$2:$J$1001,$B$3,Model!$L$2:$L$1001,$B$4,Model!$T$2:$T$1001,18)</f>
        <v>48</v>
      </c>
      <c r="D60" s="46"/>
      <c r="E60" s="46"/>
      <c r="F60" s="46"/>
      <c r="G60" s="46"/>
      <c r="H60" s="46"/>
      <c r="I60" s="46"/>
      <c r="J60" s="46"/>
      <c r="K60" s="46"/>
      <c r="L60" s="2" t="n">
        <v>54</v>
      </c>
      <c r="M60" s="2" t="str">
        <f aca="false">INDEX(Products!$B$2:$B$71,MATCH($L60,Products!$A$2:$A$71,0))</f>
        <v>Occaecati Gift</v>
      </c>
      <c r="N60" s="55" t="n">
        <f aca="false">SUMIFS(Model!$N$2:$N$1001,Model!$J$2:$J$1001,$B$3,Model!$L$2:$L$1001,$B$4,Model!$C$2:$C$1001,$L60)</f>
        <v>56856</v>
      </c>
      <c r="O60" s="57" t="n">
        <f aca="false">$N60+ROW()/1000000</f>
        <v>56856.00006</v>
      </c>
      <c r="P60" s="46"/>
      <c r="Q60" s="46"/>
      <c r="R60" s="46"/>
      <c r="S60" s="46"/>
      <c r="T60" s="2" t="s">
        <v>265</v>
      </c>
      <c r="U60" s="56" t="n">
        <f aca="false">COUNTIFS(Model!$J$2:$J$1001,$B$3,Model!$L$2:$L$1001,$B$4,Model!$I$2:$I$1001,$T60)</f>
        <v>3</v>
      </c>
      <c r="V60" s="55" t="n">
        <f aca="false">SUMIFS(Model!$N$2:$N$1001,Model!$J$2:$J$1001,$B$3,Model!$L$2:$L$1001,$B$4,Model!$I$2:$I$1001,$T60)</f>
        <v>10230</v>
      </c>
      <c r="W60" s="58" t="n">
        <f aca="false">$U60+$V60/1000000000+ROW()/1000000000000</f>
        <v>3.00001023006</v>
      </c>
      <c r="X60" s="46"/>
      <c r="Y60" s="46"/>
      <c r="Z60" s="46"/>
      <c r="AA60" s="46"/>
      <c r="AB60" s="46"/>
      <c r="AC60" s="2" t="s">
        <v>266</v>
      </c>
      <c r="AD60" s="2" t="str">
        <f aca="false">INDEX(Customers!$B$2:$B$101,MATCH($AC60,Customers!$A$2:$A$101,0))</f>
        <v>Umang Ahuja</v>
      </c>
      <c r="AE60" s="55" t="n">
        <f aca="false">SUMIFS(Model!$N$2:$N$1001,Model!$J$2:$J$1001,$B$3,Model!$L$2:$L$1001,$B$4,Model!$B$2:$B$1001,$AC60)</f>
        <v>28005</v>
      </c>
      <c r="AF60" s="56" t="n">
        <f aca="false">COUNTIFS(Model!$J$2:$J$1001,$B$3,Model!$L$2:$L$1001,$B$4,Model!$B$2:$B$1001,$AC60)</f>
        <v>11</v>
      </c>
      <c r="AG60" s="57" t="n">
        <f aca="false">$AE60+ROW()/1000000</f>
        <v>28005.00006</v>
      </c>
      <c r="AH60" s="46"/>
      <c r="AI60" s="46"/>
      <c r="AJ60" s="46"/>
      <c r="AK60" s="46"/>
      <c r="AL60" s="46"/>
      <c r="AM60" s="46"/>
    </row>
    <row r="61" customFormat="false" ht="15" hidden="false" customHeight="false" outlineLevel="0" collapsed="false">
      <c r="A61" s="2" t="s">
        <v>267</v>
      </c>
      <c r="B61" s="55" t="n">
        <f aca="false">SUMIFS(Model!$N$2:$N$1001,Model!$J$2:$J$1001,$B$3,Model!$L$2:$L$1001,$B$4,Model!$T$2:$T$1001,19)</f>
        <v>185771</v>
      </c>
      <c r="C61" s="56" t="n">
        <f aca="false">COUNTIFS(Model!$J$2:$J$1001,$B$3,Model!$L$2:$L$1001,$B$4,Model!$T$2:$T$1001,19)</f>
        <v>53</v>
      </c>
      <c r="D61" s="46"/>
      <c r="E61" s="46"/>
      <c r="F61" s="46"/>
      <c r="G61" s="46"/>
      <c r="H61" s="46"/>
      <c r="I61" s="46"/>
      <c r="J61" s="46"/>
      <c r="K61" s="46"/>
      <c r="L61" s="2" t="n">
        <v>55</v>
      </c>
      <c r="M61" s="2" t="str">
        <f aca="false">INDEX(Products!$B$2:$B$71,MATCH($L61,Products!$A$2:$A$71,0))</f>
        <v>Dolores Gift</v>
      </c>
      <c r="N61" s="55" t="n">
        <f aca="false">SUMIFS(Model!$N$2:$N$1001,Model!$J$2:$J$1001,$B$3,Model!$L$2:$L$1001,$B$4,Model!$C$2:$C$1001,$L61)</f>
        <v>106624</v>
      </c>
      <c r="O61" s="57" t="n">
        <f aca="false">$N61+ROW()/1000000</f>
        <v>106624.000061</v>
      </c>
      <c r="P61" s="46"/>
      <c r="Q61" s="46"/>
      <c r="R61" s="46"/>
      <c r="S61" s="46"/>
      <c r="T61" s="2" t="s">
        <v>268</v>
      </c>
      <c r="U61" s="56" t="n">
        <f aca="false">COUNTIFS(Model!$J$2:$J$1001,$B$3,Model!$L$2:$L$1001,$B$4,Model!$I$2:$I$1001,$T61)</f>
        <v>6</v>
      </c>
      <c r="V61" s="55" t="n">
        <f aca="false">SUMIFS(Model!$N$2:$N$1001,Model!$J$2:$J$1001,$B$3,Model!$L$2:$L$1001,$B$4,Model!$I$2:$I$1001,$T61)</f>
        <v>23958</v>
      </c>
      <c r="W61" s="58" t="n">
        <f aca="false">$U61+$V61/1000000000+ROW()/1000000000000</f>
        <v>6.000023958061</v>
      </c>
      <c r="X61" s="46"/>
      <c r="Y61" s="46"/>
      <c r="Z61" s="46"/>
      <c r="AA61" s="46"/>
      <c r="AB61" s="46"/>
      <c r="AC61" s="2" t="s">
        <v>269</v>
      </c>
      <c r="AD61" s="2" t="str">
        <f aca="false">INDEX(Customers!$B$2:$B$101,MATCH($AC61,Customers!$A$2:$A$101,0))</f>
        <v>Umang Luthra</v>
      </c>
      <c r="AE61" s="55" t="n">
        <f aca="false">SUMIFS(Model!$N$2:$N$1001,Model!$J$2:$J$1001,$B$3,Model!$L$2:$L$1001,$B$4,Model!$B$2:$B$1001,$AC61)</f>
        <v>46022</v>
      </c>
      <c r="AF61" s="56" t="n">
        <f aca="false">COUNTIFS(Model!$J$2:$J$1001,$B$3,Model!$L$2:$L$1001,$B$4,Model!$B$2:$B$1001,$AC61)</f>
        <v>10</v>
      </c>
      <c r="AG61" s="57" t="n">
        <f aca="false">$AE61+ROW()/1000000</f>
        <v>46022.000061</v>
      </c>
      <c r="AH61" s="46"/>
      <c r="AI61" s="46"/>
      <c r="AJ61" s="46"/>
      <c r="AK61" s="46"/>
      <c r="AL61" s="46"/>
      <c r="AM61" s="46"/>
    </row>
    <row r="62" customFormat="false" ht="15" hidden="false" customHeight="false" outlineLevel="0" collapsed="false">
      <c r="A62" s="2" t="s">
        <v>270</v>
      </c>
      <c r="B62" s="55" t="n">
        <f aca="false">SUMIFS(Model!$N$2:$N$1001,Model!$J$2:$J$1001,$B$3,Model!$L$2:$L$1001,$B$4,Model!$T$2:$T$1001,20)</f>
        <v>186426</v>
      </c>
      <c r="C62" s="56" t="n">
        <f aca="false">COUNTIFS(Model!$J$2:$J$1001,$B$3,Model!$L$2:$L$1001,$B$4,Model!$T$2:$T$1001,20)</f>
        <v>47</v>
      </c>
      <c r="D62" s="46"/>
      <c r="E62" s="46"/>
      <c r="F62" s="46"/>
      <c r="G62" s="46"/>
      <c r="H62" s="46"/>
      <c r="I62" s="46"/>
      <c r="J62" s="46"/>
      <c r="K62" s="46"/>
      <c r="L62" s="2" t="n">
        <v>56</v>
      </c>
      <c r="M62" s="2" t="str">
        <f aca="false">INDEX(Products!$B$2:$B$71,MATCH($L62,Products!$A$2:$A$71,0))</f>
        <v>Quia Gift</v>
      </c>
      <c r="N62" s="55" t="n">
        <f aca="false">SUMIFS(Model!$N$2:$N$1001,Model!$J$2:$J$1001,$B$3,Model!$L$2:$L$1001,$B$4,Model!$C$2:$C$1001,$L62)</f>
        <v>45792</v>
      </c>
      <c r="O62" s="57" t="n">
        <f aca="false">$N62+ROW()/1000000</f>
        <v>45792.000062</v>
      </c>
      <c r="P62" s="46"/>
      <c r="Q62" s="46"/>
      <c r="R62" s="46"/>
      <c r="S62" s="46"/>
      <c r="T62" s="2" t="s">
        <v>271</v>
      </c>
      <c r="U62" s="56" t="n">
        <f aca="false">COUNTIFS(Model!$J$2:$J$1001,$B$3,Model!$L$2:$L$1001,$B$4,Model!$I$2:$I$1001,$T62)</f>
        <v>3</v>
      </c>
      <c r="V62" s="55" t="n">
        <f aca="false">SUMIFS(Model!$N$2:$N$1001,Model!$J$2:$J$1001,$B$3,Model!$L$2:$L$1001,$B$4,Model!$I$2:$I$1001,$T62)</f>
        <v>5282</v>
      </c>
      <c r="W62" s="58" t="n">
        <f aca="false">$U62+$V62/1000000000+ROW()/1000000000000</f>
        <v>3.000005282062</v>
      </c>
      <c r="X62" s="46"/>
      <c r="Y62" s="46"/>
      <c r="Z62" s="46"/>
      <c r="AA62" s="46"/>
      <c r="AB62" s="46"/>
      <c r="AC62" s="2" t="s">
        <v>272</v>
      </c>
      <c r="AD62" s="2" t="str">
        <f aca="false">INDEX(Customers!$B$2:$B$101,MATCH($AC62,Customers!$A$2:$A$101,0))</f>
        <v>Pihu Choudhury</v>
      </c>
      <c r="AE62" s="55" t="n">
        <f aca="false">SUMIFS(Model!$N$2:$N$1001,Model!$J$2:$J$1001,$B$3,Model!$L$2:$L$1001,$B$4,Model!$B$2:$B$1001,$AC62)</f>
        <v>34313</v>
      </c>
      <c r="AF62" s="56" t="n">
        <f aca="false">COUNTIFS(Model!$J$2:$J$1001,$B$3,Model!$L$2:$L$1001,$B$4,Model!$B$2:$B$1001,$AC62)</f>
        <v>13</v>
      </c>
      <c r="AG62" s="57" t="n">
        <f aca="false">$AE62+ROW()/1000000</f>
        <v>34313.000062</v>
      </c>
      <c r="AH62" s="46"/>
      <c r="AI62" s="46"/>
      <c r="AJ62" s="46"/>
      <c r="AK62" s="46"/>
      <c r="AL62" s="46"/>
      <c r="AM62" s="46"/>
    </row>
    <row r="63" customFormat="false" ht="15" hidden="false" customHeight="false" outlineLevel="0" collapsed="false">
      <c r="A63" s="2" t="s">
        <v>273</v>
      </c>
      <c r="B63" s="55" t="n">
        <f aca="false">SUMIFS(Model!$N$2:$N$1001,Model!$J$2:$J$1001,$B$3,Model!$L$2:$L$1001,$B$4,Model!$T$2:$T$1001,21)</f>
        <v>155466</v>
      </c>
      <c r="C63" s="56" t="n">
        <f aca="false">COUNTIFS(Model!$J$2:$J$1001,$B$3,Model!$L$2:$L$1001,$B$4,Model!$T$2:$T$1001,21)</f>
        <v>48</v>
      </c>
      <c r="D63" s="46"/>
      <c r="E63" s="46"/>
      <c r="F63" s="46"/>
      <c r="G63" s="46"/>
      <c r="H63" s="46"/>
      <c r="I63" s="46"/>
      <c r="J63" s="46"/>
      <c r="K63" s="46"/>
      <c r="L63" s="2" t="n">
        <v>57</v>
      </c>
      <c r="M63" s="2" t="str">
        <f aca="false">INDEX(Products!$B$2:$B$71,MATCH($L63,Products!$A$2:$A$71,0))</f>
        <v>Voluptatem Box</v>
      </c>
      <c r="N63" s="55" t="n">
        <f aca="false">SUMIFS(Model!$N$2:$N$1001,Model!$J$2:$J$1001,$B$3,Model!$L$2:$L$1001,$B$4,Model!$C$2:$C$1001,$L63)</f>
        <v>60116</v>
      </c>
      <c r="O63" s="57" t="n">
        <f aca="false">$N63+ROW()/1000000</f>
        <v>60116.000063</v>
      </c>
      <c r="P63" s="46"/>
      <c r="Q63" s="46"/>
      <c r="R63" s="46"/>
      <c r="S63" s="46"/>
      <c r="T63" s="2" t="s">
        <v>274</v>
      </c>
      <c r="U63" s="56" t="n">
        <f aca="false">COUNTIFS(Model!$J$2:$J$1001,$B$3,Model!$L$2:$L$1001,$B$4,Model!$I$2:$I$1001,$T63)</f>
        <v>2</v>
      </c>
      <c r="V63" s="55" t="n">
        <f aca="false">SUMIFS(Model!$N$2:$N$1001,Model!$J$2:$J$1001,$B$3,Model!$L$2:$L$1001,$B$4,Model!$I$2:$I$1001,$T63)</f>
        <v>8457</v>
      </c>
      <c r="W63" s="58" t="n">
        <f aca="false">$U63+$V63/1000000000+ROW()/1000000000000</f>
        <v>2.000008457063</v>
      </c>
      <c r="X63" s="46"/>
      <c r="Y63" s="46"/>
      <c r="Z63" s="46"/>
      <c r="AA63" s="46"/>
      <c r="AB63" s="46"/>
      <c r="AC63" s="2" t="s">
        <v>275</v>
      </c>
      <c r="AD63" s="2" t="str">
        <f aca="false">INDEX(Customers!$B$2:$B$101,MATCH($AC63,Customers!$A$2:$A$101,0))</f>
        <v>Zain Hegde</v>
      </c>
      <c r="AE63" s="55" t="n">
        <f aca="false">SUMIFS(Model!$N$2:$N$1001,Model!$J$2:$J$1001,$B$3,Model!$L$2:$L$1001,$B$4,Model!$B$2:$B$1001,$AC63)</f>
        <v>28825</v>
      </c>
      <c r="AF63" s="56" t="n">
        <f aca="false">COUNTIFS(Model!$J$2:$J$1001,$B$3,Model!$L$2:$L$1001,$B$4,Model!$B$2:$B$1001,$AC63)</f>
        <v>7</v>
      </c>
      <c r="AG63" s="57" t="n">
        <f aca="false">$AE63+ROW()/1000000</f>
        <v>28825.000063</v>
      </c>
      <c r="AH63" s="46"/>
      <c r="AI63" s="46"/>
      <c r="AJ63" s="46"/>
      <c r="AK63" s="46"/>
      <c r="AL63" s="46"/>
      <c r="AM63" s="46"/>
    </row>
    <row r="64" customFormat="false" ht="15" hidden="false" customHeight="false" outlineLevel="0" collapsed="false">
      <c r="A64" s="2" t="s">
        <v>276</v>
      </c>
      <c r="B64" s="55" t="n">
        <f aca="false">SUMIFS(Model!$N$2:$N$1001,Model!$J$2:$J$1001,$B$3,Model!$L$2:$L$1001,$B$4,Model!$T$2:$T$1001,22)</f>
        <v>125912</v>
      </c>
      <c r="C64" s="56" t="n">
        <f aca="false">COUNTIFS(Model!$J$2:$J$1001,$B$3,Model!$L$2:$L$1001,$B$4,Model!$T$2:$T$1001,22)</f>
        <v>40</v>
      </c>
      <c r="D64" s="46"/>
      <c r="E64" s="46"/>
      <c r="F64" s="46"/>
      <c r="G64" s="46"/>
      <c r="H64" s="46"/>
      <c r="I64" s="46"/>
      <c r="J64" s="46"/>
      <c r="K64" s="46"/>
      <c r="L64" s="2" t="n">
        <v>58</v>
      </c>
      <c r="M64" s="2" t="str">
        <f aca="false">INDEX(Products!$B$2:$B$71,MATCH($L64,Products!$A$2:$A$71,0))</f>
        <v>Sed Pack</v>
      </c>
      <c r="N64" s="55" t="n">
        <f aca="false">SUMIFS(Model!$N$2:$N$1001,Model!$J$2:$J$1001,$B$3,Model!$L$2:$L$1001,$B$4,Model!$C$2:$C$1001,$L64)</f>
        <v>67140</v>
      </c>
      <c r="O64" s="57" t="n">
        <f aca="false">$N64+ROW()/1000000</f>
        <v>67140.000064</v>
      </c>
      <c r="P64" s="46"/>
      <c r="Q64" s="46"/>
      <c r="R64" s="46"/>
      <c r="S64" s="46"/>
      <c r="T64" s="2" t="s">
        <v>277</v>
      </c>
      <c r="U64" s="56" t="n">
        <f aca="false">COUNTIFS(Model!$J$2:$J$1001,$B$3,Model!$L$2:$L$1001,$B$4,Model!$I$2:$I$1001,$T64)</f>
        <v>4</v>
      </c>
      <c r="V64" s="55" t="n">
        <f aca="false">SUMIFS(Model!$N$2:$N$1001,Model!$J$2:$J$1001,$B$3,Model!$L$2:$L$1001,$B$4,Model!$I$2:$I$1001,$T64)</f>
        <v>6052</v>
      </c>
      <c r="W64" s="58" t="n">
        <f aca="false">$U64+$V64/1000000000+ROW()/1000000000000</f>
        <v>4.000006052064</v>
      </c>
      <c r="X64" s="46"/>
      <c r="Y64" s="46"/>
      <c r="Z64" s="46"/>
      <c r="AA64" s="46"/>
      <c r="AB64" s="46"/>
      <c r="AC64" s="2" t="s">
        <v>278</v>
      </c>
      <c r="AD64" s="2" t="str">
        <f aca="false">INDEX(Customers!$B$2:$B$101,MATCH($AC64,Customers!$A$2:$A$101,0))</f>
        <v>Charvi Kanda</v>
      </c>
      <c r="AE64" s="55" t="n">
        <f aca="false">SUMIFS(Model!$N$2:$N$1001,Model!$J$2:$J$1001,$B$3,Model!$L$2:$L$1001,$B$4,Model!$B$2:$B$1001,$AC64)</f>
        <v>35678</v>
      </c>
      <c r="AF64" s="56" t="n">
        <f aca="false">COUNTIFS(Model!$J$2:$J$1001,$B$3,Model!$L$2:$L$1001,$B$4,Model!$B$2:$B$1001,$AC64)</f>
        <v>11</v>
      </c>
      <c r="AG64" s="57" t="n">
        <f aca="false">$AE64+ROW()/1000000</f>
        <v>35678.000064</v>
      </c>
      <c r="AH64" s="46"/>
      <c r="AI64" s="46"/>
      <c r="AJ64" s="46"/>
      <c r="AK64" s="46"/>
      <c r="AL64" s="46"/>
      <c r="AM64" s="46"/>
    </row>
    <row r="65" customFormat="false" ht="15" hidden="false" customHeight="false" outlineLevel="0" collapsed="false">
      <c r="A65" s="2" t="s">
        <v>279</v>
      </c>
      <c r="B65" s="55" t="n">
        <f aca="false">SUMIFS(Model!$N$2:$N$1001,Model!$J$2:$J$1001,$B$3,Model!$L$2:$L$1001,$B$4,Model!$T$2:$T$1001,23)</f>
        <v>168511</v>
      </c>
      <c r="C65" s="56" t="n">
        <f aca="false">COUNTIFS(Model!$J$2:$J$1001,$B$3,Model!$L$2:$L$1001,$B$4,Model!$T$2:$T$1001,23)</f>
        <v>44</v>
      </c>
      <c r="D65" s="46"/>
      <c r="E65" s="46"/>
      <c r="F65" s="46"/>
      <c r="G65" s="46"/>
      <c r="H65" s="46"/>
      <c r="I65" s="46"/>
      <c r="J65" s="46"/>
      <c r="K65" s="46"/>
      <c r="L65" s="2" t="n">
        <v>59</v>
      </c>
      <c r="M65" s="2" t="str">
        <f aca="false">INDEX(Products!$B$2:$B$71,MATCH($L65,Products!$A$2:$A$71,0))</f>
        <v>Pariatur Box</v>
      </c>
      <c r="N65" s="55" t="n">
        <f aca="false">SUMIFS(Model!$N$2:$N$1001,Model!$J$2:$J$1001,$B$3,Model!$L$2:$L$1001,$B$4,Model!$C$2:$C$1001,$L65)</f>
        <v>26763</v>
      </c>
      <c r="O65" s="57" t="n">
        <f aca="false">$N65+ROW()/1000000</f>
        <v>26763.000065</v>
      </c>
      <c r="P65" s="46"/>
      <c r="Q65" s="46"/>
      <c r="R65" s="46"/>
      <c r="S65" s="46"/>
      <c r="T65" s="2" t="s">
        <v>280</v>
      </c>
      <c r="U65" s="56" t="n">
        <f aca="false">COUNTIFS(Model!$J$2:$J$1001,$B$3,Model!$L$2:$L$1001,$B$4,Model!$I$2:$I$1001,$T65)</f>
        <v>3</v>
      </c>
      <c r="V65" s="55" t="n">
        <f aca="false">SUMIFS(Model!$N$2:$N$1001,Model!$J$2:$J$1001,$B$3,Model!$L$2:$L$1001,$B$4,Model!$I$2:$I$1001,$T65)</f>
        <v>3103</v>
      </c>
      <c r="W65" s="58" t="n">
        <f aca="false">$U65+$V65/1000000000+ROW()/1000000000000</f>
        <v>3.000003103065</v>
      </c>
      <c r="X65" s="46"/>
      <c r="Y65" s="46"/>
      <c r="Z65" s="46"/>
      <c r="AA65" s="46"/>
      <c r="AB65" s="46"/>
      <c r="AC65" s="2" t="s">
        <v>281</v>
      </c>
      <c r="AD65" s="2" t="str">
        <f aca="false">INDEX(Customers!$B$2:$B$101,MATCH($AC65,Customers!$A$2:$A$101,0))</f>
        <v>Nirvi Wagle</v>
      </c>
      <c r="AE65" s="55" t="n">
        <f aca="false">SUMIFS(Model!$N$2:$N$1001,Model!$J$2:$J$1001,$B$3,Model!$L$2:$L$1001,$B$4,Model!$B$2:$B$1001,$AC65)</f>
        <v>31128</v>
      </c>
      <c r="AF65" s="56" t="n">
        <f aca="false">COUNTIFS(Model!$J$2:$J$1001,$B$3,Model!$L$2:$L$1001,$B$4,Model!$B$2:$B$1001,$AC65)</f>
        <v>8</v>
      </c>
      <c r="AG65" s="57" t="n">
        <f aca="false">$AE65+ROW()/1000000</f>
        <v>31128.000065</v>
      </c>
      <c r="AH65" s="46"/>
      <c r="AI65" s="46"/>
      <c r="AJ65" s="46"/>
      <c r="AK65" s="46"/>
      <c r="AL65" s="46"/>
      <c r="AM65" s="46"/>
    </row>
    <row r="66" customFormat="false" ht="15" hidden="false" customHeight="false" outlineLevel="0" collapsed="false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2" t="n">
        <v>60</v>
      </c>
      <c r="M66" s="2" t="str">
        <f aca="false">INDEX(Products!$B$2:$B$71,MATCH($L66,Products!$A$2:$A$71,0))</f>
        <v>Ea Set</v>
      </c>
      <c r="N66" s="55" t="n">
        <f aca="false">SUMIFS(Model!$N$2:$N$1001,Model!$J$2:$J$1001,$B$3,Model!$L$2:$L$1001,$B$4,Model!$C$2:$C$1001,$L66)</f>
        <v>36388</v>
      </c>
      <c r="O66" s="57" t="n">
        <f aca="false">$N66+ROW()/1000000</f>
        <v>36388.000066</v>
      </c>
      <c r="P66" s="46"/>
      <c r="Q66" s="46"/>
      <c r="R66" s="46"/>
      <c r="S66" s="46"/>
      <c r="T66" s="2" t="s">
        <v>282</v>
      </c>
      <c r="U66" s="56" t="n">
        <f aca="false">COUNTIFS(Model!$J$2:$J$1001,$B$3,Model!$L$2:$L$1001,$B$4,Model!$I$2:$I$1001,$T66)</f>
        <v>3</v>
      </c>
      <c r="V66" s="55" t="n">
        <f aca="false">SUMIFS(Model!$N$2:$N$1001,Model!$J$2:$J$1001,$B$3,Model!$L$2:$L$1001,$B$4,Model!$I$2:$I$1001,$T66)</f>
        <v>17087</v>
      </c>
      <c r="W66" s="58" t="n">
        <f aca="false">$U66+$V66/1000000000+ROW()/1000000000000</f>
        <v>3.000017087066</v>
      </c>
      <c r="X66" s="46"/>
      <c r="Y66" s="46"/>
      <c r="Z66" s="46"/>
      <c r="AA66" s="46"/>
      <c r="AB66" s="46"/>
      <c r="AC66" s="2" t="s">
        <v>283</v>
      </c>
      <c r="AD66" s="2" t="str">
        <f aca="false">INDEX(Customers!$B$2:$B$101,MATCH($AC66,Customers!$A$2:$A$101,0))</f>
        <v>Riya Wagle</v>
      </c>
      <c r="AE66" s="55" t="n">
        <f aca="false">SUMIFS(Model!$N$2:$N$1001,Model!$J$2:$J$1001,$B$3,Model!$L$2:$L$1001,$B$4,Model!$B$2:$B$1001,$AC66)</f>
        <v>45635</v>
      </c>
      <c r="AF66" s="56" t="n">
        <f aca="false">COUNTIFS(Model!$J$2:$J$1001,$B$3,Model!$L$2:$L$1001,$B$4,Model!$B$2:$B$1001,$AC66)</f>
        <v>10</v>
      </c>
      <c r="AG66" s="57" t="n">
        <f aca="false">$AE66+ROW()/1000000</f>
        <v>45635.000066</v>
      </c>
      <c r="AH66" s="46"/>
      <c r="AI66" s="46"/>
      <c r="AJ66" s="46"/>
      <c r="AK66" s="46"/>
      <c r="AL66" s="46"/>
      <c r="AM66" s="46"/>
    </row>
    <row r="67" customFormat="false" ht="15" hidden="false" customHeight="false" outlineLevel="0" collapsed="false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2" t="n">
        <v>61</v>
      </c>
      <c r="M67" s="2" t="str">
        <f aca="false">INDEX(Products!$B$2:$B$71,MATCH($L67,Products!$A$2:$A$71,0))</f>
        <v>Iusto Box</v>
      </c>
      <c r="N67" s="55" t="n">
        <f aca="false">SUMIFS(Model!$N$2:$N$1001,Model!$J$2:$J$1001,$B$3,Model!$L$2:$L$1001,$B$4,Model!$C$2:$C$1001,$L67)</f>
        <v>25110</v>
      </c>
      <c r="O67" s="57" t="n">
        <f aca="false">$N67+ROW()/1000000</f>
        <v>25110.000067</v>
      </c>
      <c r="P67" s="46"/>
      <c r="Q67" s="46"/>
      <c r="R67" s="46"/>
      <c r="S67" s="46"/>
      <c r="T67" s="2" t="s">
        <v>284</v>
      </c>
      <c r="U67" s="56" t="n">
        <f aca="false">COUNTIFS(Model!$J$2:$J$1001,$B$3,Model!$L$2:$L$1001,$B$4,Model!$I$2:$I$1001,$T67)</f>
        <v>3</v>
      </c>
      <c r="V67" s="55" t="n">
        <f aca="false">SUMIFS(Model!$N$2:$N$1001,Model!$J$2:$J$1001,$B$3,Model!$L$2:$L$1001,$B$4,Model!$I$2:$I$1001,$T67)</f>
        <v>5354</v>
      </c>
      <c r="W67" s="58" t="n">
        <f aca="false">$U67+$V67/1000000000+ROW()/1000000000000</f>
        <v>3.000005354067</v>
      </c>
      <c r="X67" s="46"/>
      <c r="Y67" s="46"/>
      <c r="Z67" s="46"/>
      <c r="AA67" s="46"/>
      <c r="AB67" s="46"/>
      <c r="AC67" s="2" t="s">
        <v>285</v>
      </c>
      <c r="AD67" s="2" t="str">
        <f aca="false">INDEX(Customers!$B$2:$B$101,MATCH($AC67,Customers!$A$2:$A$101,0))</f>
        <v>Akarsh Ramesh</v>
      </c>
      <c r="AE67" s="55" t="n">
        <f aca="false">SUMIFS(Model!$N$2:$N$1001,Model!$J$2:$J$1001,$B$3,Model!$L$2:$L$1001,$B$4,Model!$B$2:$B$1001,$AC67)</f>
        <v>50313</v>
      </c>
      <c r="AF67" s="56" t="n">
        <f aca="false">COUNTIFS(Model!$J$2:$J$1001,$B$3,Model!$L$2:$L$1001,$B$4,Model!$B$2:$B$1001,$AC67)</f>
        <v>13</v>
      </c>
      <c r="AG67" s="57" t="n">
        <f aca="false">$AE67+ROW()/1000000</f>
        <v>50313.000067</v>
      </c>
      <c r="AH67" s="46"/>
      <c r="AI67" s="46"/>
      <c r="AJ67" s="46"/>
      <c r="AK67" s="46"/>
      <c r="AL67" s="46"/>
      <c r="AM67" s="46"/>
    </row>
    <row r="68" customFormat="false" ht="15" hidden="false" customHeight="false" outlineLevel="0" collapsed="false">
      <c r="A68" s="49" t="s">
        <v>286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2" t="n">
        <v>62</v>
      </c>
      <c r="M68" s="2" t="str">
        <f aca="false">INDEX(Products!$B$2:$B$71,MATCH($L68,Products!$A$2:$A$71,0))</f>
        <v>Sed Set</v>
      </c>
      <c r="N68" s="55" t="n">
        <f aca="false">SUMIFS(Model!$N$2:$N$1001,Model!$J$2:$J$1001,$B$3,Model!$L$2:$L$1001,$B$4,Model!$C$2:$C$1001,$L68)</f>
        <v>54240</v>
      </c>
      <c r="O68" s="57" t="n">
        <f aca="false">$N68+ROW()/1000000</f>
        <v>54240.000068</v>
      </c>
      <c r="P68" s="46"/>
      <c r="Q68" s="46"/>
      <c r="R68" s="46"/>
      <c r="S68" s="46"/>
      <c r="T68" s="2" t="s">
        <v>287</v>
      </c>
      <c r="U68" s="56" t="n">
        <f aca="false">COUNTIFS(Model!$J$2:$J$1001,$B$3,Model!$L$2:$L$1001,$B$4,Model!$I$2:$I$1001,$T68)</f>
        <v>3</v>
      </c>
      <c r="V68" s="55" t="n">
        <f aca="false">SUMIFS(Model!$N$2:$N$1001,Model!$J$2:$J$1001,$B$3,Model!$L$2:$L$1001,$B$4,Model!$I$2:$I$1001,$T68)</f>
        <v>6187</v>
      </c>
      <c r="W68" s="58" t="n">
        <f aca="false">$U68+$V68/1000000000+ROW()/1000000000000</f>
        <v>3.000006187068</v>
      </c>
      <c r="X68" s="46"/>
      <c r="Y68" s="46"/>
      <c r="Z68" s="46"/>
      <c r="AA68" s="46"/>
      <c r="AB68" s="46"/>
      <c r="AC68" s="2" t="s">
        <v>288</v>
      </c>
      <c r="AD68" s="2" t="str">
        <f aca="false">INDEX(Customers!$B$2:$B$101,MATCH($AC68,Customers!$A$2:$A$101,0))</f>
        <v>Inaaya  Sarraf</v>
      </c>
      <c r="AE68" s="55" t="n">
        <f aca="false">SUMIFS(Model!$N$2:$N$1001,Model!$J$2:$J$1001,$B$3,Model!$L$2:$L$1001,$B$4,Model!$B$2:$B$1001,$AC68)</f>
        <v>29721</v>
      </c>
      <c r="AF68" s="56" t="n">
        <f aca="false">COUNTIFS(Model!$J$2:$J$1001,$B$3,Model!$L$2:$L$1001,$B$4,Model!$B$2:$B$1001,$AC68)</f>
        <v>9</v>
      </c>
      <c r="AG68" s="57" t="n">
        <f aca="false">$AE68+ROW()/1000000</f>
        <v>29721.000068</v>
      </c>
      <c r="AH68" s="46"/>
      <c r="AI68" s="46"/>
      <c r="AJ68" s="46"/>
      <c r="AK68" s="46"/>
      <c r="AL68" s="46"/>
      <c r="AM68" s="46"/>
    </row>
    <row r="69" customFormat="false" ht="15" hidden="false" customHeight="false" outlineLevel="0" collapsed="false">
      <c r="A69" s="50" t="s">
        <v>289</v>
      </c>
      <c r="B69" s="50" t="n">
        <v>1</v>
      </c>
      <c r="C69" s="52" t="n">
        <f aca="false">COUNTIFS(Model!$J$2:$J$1001,$B$3,Model!$L$2:$L$1001,$B$4,Model!$U$2:$U$1001,$B69)</f>
        <v>141</v>
      </c>
      <c r="D69" s="51" t="n">
        <f aca="false">SUMIFS(Model!$N$2:$N$1001,Model!$J$2:$J$1001,$B$3,Model!$L$2:$L$1001,$B$4,Model!$U$2:$U$1001,$B69)</f>
        <v>461670</v>
      </c>
      <c r="E69" s="46"/>
      <c r="F69" s="46"/>
      <c r="G69" s="46"/>
      <c r="H69" s="46"/>
      <c r="I69" s="46"/>
      <c r="J69" s="46"/>
      <c r="K69" s="46"/>
      <c r="L69" s="2" t="n">
        <v>63</v>
      </c>
      <c r="M69" s="2" t="str">
        <f aca="false">INDEX(Products!$B$2:$B$71,MATCH($L69,Products!$A$2:$A$71,0))</f>
        <v>Adipisci Set</v>
      </c>
      <c r="N69" s="55" t="n">
        <f aca="false">SUMIFS(Model!$N$2:$N$1001,Model!$J$2:$J$1001,$B$3,Model!$L$2:$L$1001,$B$4,Model!$C$2:$C$1001,$L69)</f>
        <v>32352</v>
      </c>
      <c r="O69" s="57" t="n">
        <f aca="false">$N69+ROW()/1000000</f>
        <v>32352.000069</v>
      </c>
      <c r="P69" s="46"/>
      <c r="Q69" s="46"/>
      <c r="R69" s="46"/>
      <c r="S69" s="46"/>
      <c r="T69" s="2" t="s">
        <v>290</v>
      </c>
      <c r="U69" s="56" t="n">
        <f aca="false">COUNTIFS(Model!$J$2:$J$1001,$B$3,Model!$L$2:$L$1001,$B$4,Model!$I$2:$I$1001,$T69)</f>
        <v>7</v>
      </c>
      <c r="V69" s="55" t="n">
        <f aca="false">SUMIFS(Model!$N$2:$N$1001,Model!$J$2:$J$1001,$B$3,Model!$L$2:$L$1001,$B$4,Model!$I$2:$I$1001,$T69)</f>
        <v>22428</v>
      </c>
      <c r="W69" s="58" t="n">
        <f aca="false">$U69+$V69/1000000000+ROW()/1000000000000</f>
        <v>7.000022428069</v>
      </c>
      <c r="X69" s="46"/>
      <c r="Y69" s="46"/>
      <c r="Z69" s="46"/>
      <c r="AA69" s="46"/>
      <c r="AB69" s="46"/>
      <c r="AC69" s="2" t="s">
        <v>291</v>
      </c>
      <c r="AD69" s="2" t="str">
        <f aca="false">INDEX(Customers!$B$2:$B$101,MATCH($AC69,Customers!$A$2:$A$101,0))</f>
        <v>Arhaan Ahluwalia</v>
      </c>
      <c r="AE69" s="55" t="n">
        <f aca="false">SUMIFS(Model!$N$2:$N$1001,Model!$J$2:$J$1001,$B$3,Model!$L$2:$L$1001,$B$4,Model!$B$2:$B$1001,$AC69)</f>
        <v>43857</v>
      </c>
      <c r="AF69" s="56" t="n">
        <f aca="false">COUNTIFS(Model!$J$2:$J$1001,$B$3,Model!$L$2:$L$1001,$B$4,Model!$B$2:$B$1001,$AC69)</f>
        <v>12</v>
      </c>
      <c r="AG69" s="57" t="n">
        <f aca="false">$AE69+ROW()/1000000</f>
        <v>43857.000069</v>
      </c>
      <c r="AH69" s="46"/>
      <c r="AI69" s="46"/>
      <c r="AJ69" s="46"/>
      <c r="AK69" s="46"/>
      <c r="AL69" s="46"/>
      <c r="AM69" s="46"/>
    </row>
    <row r="70" customFormat="false" ht="15" hidden="false" customHeight="false" outlineLevel="0" collapsed="false">
      <c r="A70" s="2" t="s">
        <v>292</v>
      </c>
      <c r="B70" s="2" t="n">
        <v>2</v>
      </c>
      <c r="C70" s="56" t="n">
        <f aca="false">COUNTIFS(Model!$J$2:$J$1001,$B$3,Model!$L$2:$L$1001,$B$4,Model!$U$2:$U$1001,$B70)</f>
        <v>165</v>
      </c>
      <c r="D70" s="55" t="n">
        <f aca="false">SUMIFS(Model!$N$2:$N$1001,Model!$J$2:$J$1001,$B$3,Model!$L$2:$L$1001,$B$4,Model!$U$2:$U$1001,$B70)</f>
        <v>677223</v>
      </c>
      <c r="E70" s="46"/>
      <c r="F70" s="46"/>
      <c r="G70" s="46"/>
      <c r="H70" s="46"/>
      <c r="I70" s="46"/>
      <c r="J70" s="46"/>
      <c r="K70" s="46"/>
      <c r="L70" s="2" t="n">
        <v>64</v>
      </c>
      <c r="M70" s="2" t="str">
        <f aca="false">INDEX(Products!$B$2:$B$71,MATCH($L70,Products!$A$2:$A$71,0))</f>
        <v>Nostrum Box</v>
      </c>
      <c r="N70" s="55" t="n">
        <f aca="false">SUMIFS(Model!$N$2:$N$1001,Model!$J$2:$J$1001,$B$3,Model!$L$2:$L$1001,$B$4,Model!$C$2:$C$1001,$L70)</f>
        <v>97656</v>
      </c>
      <c r="O70" s="57" t="n">
        <f aca="false">$N70+ROW()/1000000</f>
        <v>97656.00007</v>
      </c>
      <c r="P70" s="46"/>
      <c r="Q70" s="46"/>
      <c r="R70" s="46"/>
      <c r="S70" s="46"/>
      <c r="T70" s="2" t="s">
        <v>293</v>
      </c>
      <c r="U70" s="56" t="n">
        <f aca="false">COUNTIFS(Model!$J$2:$J$1001,$B$3,Model!$L$2:$L$1001,$B$4,Model!$I$2:$I$1001,$T70)</f>
        <v>2</v>
      </c>
      <c r="V70" s="55" t="n">
        <f aca="false">SUMIFS(Model!$N$2:$N$1001,Model!$J$2:$J$1001,$B$3,Model!$L$2:$L$1001,$B$4,Model!$I$2:$I$1001,$T70)</f>
        <v>3188</v>
      </c>
      <c r="W70" s="58" t="n">
        <f aca="false">$U70+$V70/1000000000+ROW()/1000000000000</f>
        <v>2.00000318807</v>
      </c>
      <c r="X70" s="46"/>
      <c r="Y70" s="46"/>
      <c r="Z70" s="46"/>
      <c r="AA70" s="46"/>
      <c r="AB70" s="46"/>
      <c r="AC70" s="2" t="s">
        <v>294</v>
      </c>
      <c r="AD70" s="2" t="str">
        <f aca="false">INDEX(Customers!$B$2:$B$101,MATCH($AC70,Customers!$A$2:$A$101,0))</f>
        <v>Indrajit Kale</v>
      </c>
      <c r="AE70" s="55" t="n">
        <f aca="false">SUMIFS(Model!$N$2:$N$1001,Model!$J$2:$J$1001,$B$3,Model!$L$2:$L$1001,$B$4,Model!$B$2:$B$1001,$AC70)</f>
        <v>36991</v>
      </c>
      <c r="AF70" s="56" t="n">
        <f aca="false">COUNTIFS(Model!$J$2:$J$1001,$B$3,Model!$L$2:$L$1001,$B$4,Model!$B$2:$B$1001,$AC70)</f>
        <v>12</v>
      </c>
      <c r="AG70" s="57" t="n">
        <f aca="false">$AE70+ROW()/1000000</f>
        <v>36991.00007</v>
      </c>
      <c r="AH70" s="46"/>
      <c r="AI70" s="46"/>
      <c r="AJ70" s="46"/>
      <c r="AK70" s="46"/>
      <c r="AL70" s="46"/>
      <c r="AM70" s="46"/>
    </row>
    <row r="71" customFormat="false" ht="15" hidden="false" customHeight="false" outlineLevel="0" collapsed="false">
      <c r="A71" s="2" t="s">
        <v>295</v>
      </c>
      <c r="B71" s="2" t="n">
        <v>3</v>
      </c>
      <c r="C71" s="56" t="n">
        <f aca="false">COUNTIFS(Model!$J$2:$J$1001,$B$3,Model!$L$2:$L$1001,$B$4,Model!$U$2:$U$1001,$B71)</f>
        <v>112</v>
      </c>
      <c r="D71" s="55" t="n">
        <f aca="false">SUMIFS(Model!$N$2:$N$1001,Model!$J$2:$J$1001,$B$3,Model!$L$2:$L$1001,$B$4,Model!$U$2:$U$1001,$B71)</f>
        <v>415192</v>
      </c>
      <c r="E71" s="46"/>
      <c r="F71" s="46"/>
      <c r="G71" s="46"/>
      <c r="H71" s="46"/>
      <c r="I71" s="46"/>
      <c r="J71" s="46"/>
      <c r="K71" s="46"/>
      <c r="L71" s="2" t="n">
        <v>65</v>
      </c>
      <c r="M71" s="2" t="str">
        <f aca="false">INDEX(Products!$B$2:$B$71,MATCH($L71,Products!$A$2:$A$71,0))</f>
        <v>Error Gift</v>
      </c>
      <c r="N71" s="55" t="n">
        <f aca="false">SUMIFS(Model!$N$2:$N$1001,Model!$J$2:$J$1001,$B$3,Model!$L$2:$L$1001,$B$4,Model!$C$2:$C$1001,$L71)</f>
        <v>60640</v>
      </c>
      <c r="O71" s="57" t="n">
        <f aca="false">$N71+ROW()/1000000</f>
        <v>60640.000071</v>
      </c>
      <c r="P71" s="46"/>
      <c r="Q71" s="46"/>
      <c r="R71" s="46"/>
      <c r="S71" s="46"/>
      <c r="T71" s="2" t="s">
        <v>296</v>
      </c>
      <c r="U71" s="56" t="n">
        <f aca="false">COUNTIFS(Model!$J$2:$J$1001,$B$3,Model!$L$2:$L$1001,$B$4,Model!$I$2:$I$1001,$T71)</f>
        <v>3</v>
      </c>
      <c r="V71" s="55" t="n">
        <f aca="false">SUMIFS(Model!$N$2:$N$1001,Model!$J$2:$J$1001,$B$3,Model!$L$2:$L$1001,$B$4,Model!$I$2:$I$1001,$T71)</f>
        <v>10429</v>
      </c>
      <c r="W71" s="58" t="n">
        <f aca="false">$U71+$V71/1000000000+ROW()/1000000000000</f>
        <v>3.000010429071</v>
      </c>
      <c r="X71" s="46"/>
      <c r="Y71" s="46"/>
      <c r="Z71" s="46"/>
      <c r="AA71" s="46"/>
      <c r="AB71" s="46"/>
      <c r="AC71" s="2" t="s">
        <v>297</v>
      </c>
      <c r="AD71" s="2" t="str">
        <f aca="false">INDEX(Customers!$B$2:$B$101,MATCH($AC71,Customers!$A$2:$A$101,0))</f>
        <v>Badal Vora</v>
      </c>
      <c r="AE71" s="55" t="n">
        <f aca="false">SUMIFS(Model!$N$2:$N$1001,Model!$J$2:$J$1001,$B$3,Model!$L$2:$L$1001,$B$4,Model!$B$2:$B$1001,$AC71)</f>
        <v>33684</v>
      </c>
      <c r="AF71" s="56" t="n">
        <f aca="false">COUNTIFS(Model!$J$2:$J$1001,$B$3,Model!$L$2:$L$1001,$B$4,Model!$B$2:$B$1001,$AC71)</f>
        <v>8</v>
      </c>
      <c r="AG71" s="57" t="n">
        <f aca="false">$AE71+ROW()/1000000</f>
        <v>33684.000071</v>
      </c>
      <c r="AH71" s="46"/>
      <c r="AI71" s="46"/>
      <c r="AJ71" s="46"/>
      <c r="AK71" s="46"/>
      <c r="AL71" s="46"/>
      <c r="AM71" s="46"/>
    </row>
    <row r="72" customFormat="false" ht="15" hidden="false" customHeight="false" outlineLevel="0" collapsed="false">
      <c r="A72" s="2" t="s">
        <v>298</v>
      </c>
      <c r="B72" s="2" t="n">
        <v>4</v>
      </c>
      <c r="C72" s="56" t="n">
        <f aca="false">COUNTIFS(Model!$J$2:$J$1001,$B$3,Model!$L$2:$L$1001,$B$4,Model!$U$2:$U$1001,$B72)</f>
        <v>130</v>
      </c>
      <c r="D72" s="55" t="n">
        <f aca="false">SUMIFS(Model!$N$2:$N$1001,Model!$J$2:$J$1001,$B$3,Model!$L$2:$L$1001,$B$4,Model!$U$2:$U$1001,$B72)</f>
        <v>418354</v>
      </c>
      <c r="E72" s="46"/>
      <c r="F72" s="46"/>
      <c r="G72" s="46"/>
      <c r="H72" s="46"/>
      <c r="I72" s="46"/>
      <c r="J72" s="46"/>
      <c r="K72" s="46"/>
      <c r="L72" s="2" t="n">
        <v>66</v>
      </c>
      <c r="M72" s="2" t="str">
        <f aca="false">INDEX(Products!$B$2:$B$71,MATCH($L72,Products!$A$2:$A$71,0))</f>
        <v>Quas Box</v>
      </c>
      <c r="N72" s="55" t="n">
        <f aca="false">SUMIFS(Model!$N$2:$N$1001,Model!$J$2:$J$1001,$B$3,Model!$L$2:$L$1001,$B$4,Model!$C$2:$C$1001,$L72)</f>
        <v>9760</v>
      </c>
      <c r="O72" s="57" t="n">
        <f aca="false">$N72+ROW()/1000000</f>
        <v>9760.000072</v>
      </c>
      <c r="P72" s="46"/>
      <c r="Q72" s="46"/>
      <c r="R72" s="46"/>
      <c r="S72" s="46"/>
      <c r="T72" s="2" t="s">
        <v>299</v>
      </c>
      <c r="U72" s="56" t="n">
        <f aca="false">COUNTIFS(Model!$J$2:$J$1001,$B$3,Model!$L$2:$L$1001,$B$4,Model!$I$2:$I$1001,$T72)</f>
        <v>1</v>
      </c>
      <c r="V72" s="55" t="n">
        <f aca="false">SUMIFS(Model!$N$2:$N$1001,Model!$J$2:$J$1001,$B$3,Model!$L$2:$L$1001,$B$4,Model!$I$2:$I$1001,$T72)</f>
        <v>1194</v>
      </c>
      <c r="W72" s="58" t="n">
        <f aca="false">$U72+$V72/1000000000+ROW()/1000000000000</f>
        <v>1.000001194072</v>
      </c>
      <c r="X72" s="46"/>
      <c r="Y72" s="46"/>
      <c r="Z72" s="46"/>
      <c r="AA72" s="46"/>
      <c r="AB72" s="46"/>
      <c r="AC72" s="2" t="s">
        <v>300</v>
      </c>
      <c r="AD72" s="2" t="str">
        <f aca="false">INDEX(Customers!$B$2:$B$101,MATCH($AC72,Customers!$A$2:$A$101,0))</f>
        <v>Eshani Buch</v>
      </c>
      <c r="AE72" s="55" t="n">
        <f aca="false">SUMIFS(Model!$N$2:$N$1001,Model!$J$2:$J$1001,$B$3,Model!$L$2:$L$1001,$B$4,Model!$B$2:$B$1001,$AC72)</f>
        <v>23870</v>
      </c>
      <c r="AF72" s="56" t="n">
        <f aca="false">COUNTIFS(Model!$J$2:$J$1001,$B$3,Model!$L$2:$L$1001,$B$4,Model!$B$2:$B$1001,$AC72)</f>
        <v>10</v>
      </c>
      <c r="AG72" s="57" t="n">
        <f aca="false">$AE72+ROW()/1000000</f>
        <v>23870.000072</v>
      </c>
      <c r="AH72" s="46"/>
      <c r="AI72" s="46"/>
      <c r="AJ72" s="46"/>
      <c r="AK72" s="46"/>
      <c r="AL72" s="46"/>
      <c r="AM72" s="46"/>
    </row>
    <row r="73" customFormat="false" ht="15" hidden="false" customHeight="false" outlineLevel="0" collapsed="false">
      <c r="A73" s="2" t="s">
        <v>301</v>
      </c>
      <c r="B73" s="2" t="n">
        <v>5</v>
      </c>
      <c r="C73" s="56" t="n">
        <f aca="false">COUNTIFS(Model!$J$2:$J$1001,$B$3,Model!$L$2:$L$1001,$B$4,Model!$U$2:$U$1001,$B73)</f>
        <v>143</v>
      </c>
      <c r="D73" s="55" t="n">
        <f aca="false">SUMIFS(Model!$N$2:$N$1001,Model!$J$2:$J$1001,$B$3,Model!$L$2:$L$1001,$B$4,Model!$U$2:$U$1001,$B73)</f>
        <v>475447</v>
      </c>
      <c r="E73" s="46"/>
      <c r="F73" s="46"/>
      <c r="G73" s="46"/>
      <c r="H73" s="46"/>
      <c r="I73" s="46"/>
      <c r="J73" s="46"/>
      <c r="K73" s="46"/>
      <c r="L73" s="2" t="n">
        <v>67</v>
      </c>
      <c r="M73" s="2" t="str">
        <f aca="false">INDEX(Products!$B$2:$B$71,MATCH($L73,Products!$A$2:$A$71,0))</f>
        <v>Maiores Box</v>
      </c>
      <c r="N73" s="55" t="n">
        <f aca="false">SUMIFS(Model!$N$2:$N$1001,Model!$J$2:$J$1001,$B$3,Model!$L$2:$L$1001,$B$4,Model!$C$2:$C$1001,$L73)</f>
        <v>65952</v>
      </c>
      <c r="O73" s="57" t="n">
        <f aca="false">$N73+ROW()/1000000</f>
        <v>65952.000073</v>
      </c>
      <c r="P73" s="46"/>
      <c r="Q73" s="46"/>
      <c r="R73" s="46"/>
      <c r="S73" s="46"/>
      <c r="T73" s="2" t="s">
        <v>302</v>
      </c>
      <c r="U73" s="56" t="n">
        <f aca="false">COUNTIFS(Model!$J$2:$J$1001,$B$3,Model!$L$2:$L$1001,$B$4,Model!$I$2:$I$1001,$T73)</f>
        <v>1</v>
      </c>
      <c r="V73" s="55" t="n">
        <f aca="false">SUMIFS(Model!$N$2:$N$1001,Model!$J$2:$J$1001,$B$3,Model!$L$2:$L$1001,$B$4,Model!$I$2:$I$1001,$T73)</f>
        <v>5595</v>
      </c>
      <c r="W73" s="58" t="n">
        <f aca="false">$U73+$V73/1000000000+ROW()/1000000000000</f>
        <v>1.000005595073</v>
      </c>
      <c r="X73" s="46"/>
      <c r="Y73" s="46"/>
      <c r="Z73" s="46"/>
      <c r="AA73" s="46"/>
      <c r="AB73" s="46"/>
      <c r="AC73" s="2" t="s">
        <v>303</v>
      </c>
      <c r="AD73" s="2" t="str">
        <f aca="false">INDEX(Customers!$B$2:$B$101,MATCH($AC73,Customers!$A$2:$A$101,0))</f>
        <v>Eva Sankaran</v>
      </c>
      <c r="AE73" s="55" t="n">
        <f aca="false">SUMIFS(Model!$N$2:$N$1001,Model!$J$2:$J$1001,$B$3,Model!$L$2:$L$1001,$B$4,Model!$B$2:$B$1001,$AC73)</f>
        <v>38028</v>
      </c>
      <c r="AF73" s="56" t="n">
        <f aca="false">COUNTIFS(Model!$J$2:$J$1001,$B$3,Model!$L$2:$L$1001,$B$4,Model!$B$2:$B$1001,$AC73)</f>
        <v>12</v>
      </c>
      <c r="AG73" s="57" t="n">
        <f aca="false">$AE73+ROW()/1000000</f>
        <v>38028.000073</v>
      </c>
      <c r="AH73" s="46"/>
      <c r="AI73" s="46"/>
      <c r="AJ73" s="46"/>
      <c r="AK73" s="46"/>
      <c r="AL73" s="46"/>
      <c r="AM73" s="46"/>
    </row>
    <row r="74" customFormat="false" ht="15" hidden="false" customHeight="false" outlineLevel="0" collapsed="false">
      <c r="A74" s="2" t="s">
        <v>304</v>
      </c>
      <c r="B74" s="2" t="n">
        <v>6</v>
      </c>
      <c r="C74" s="56" t="n">
        <f aca="false">COUNTIFS(Model!$J$2:$J$1001,$B$3,Model!$L$2:$L$1001,$B$4,Model!$U$2:$U$1001,$B74)</f>
        <v>133</v>
      </c>
      <c r="D74" s="55" t="n">
        <f aca="false">SUMIFS(Model!$N$2:$N$1001,Model!$J$2:$J$1001,$B$3,Model!$L$2:$L$1001,$B$4,Model!$U$2:$U$1001,$B74)</f>
        <v>444960</v>
      </c>
      <c r="E74" s="46"/>
      <c r="F74" s="46"/>
      <c r="G74" s="46"/>
      <c r="H74" s="46"/>
      <c r="I74" s="46"/>
      <c r="J74" s="46"/>
      <c r="K74" s="46"/>
      <c r="L74" s="2" t="n">
        <v>68</v>
      </c>
      <c r="M74" s="2" t="str">
        <f aca="false">INDEX(Products!$B$2:$B$71,MATCH($L74,Products!$A$2:$A$71,0))</f>
        <v>Quas Gift</v>
      </c>
      <c r="N74" s="55" t="n">
        <f aca="false">SUMIFS(Model!$N$2:$N$1001,Model!$J$2:$J$1001,$B$3,Model!$L$2:$L$1001,$B$4,Model!$C$2:$C$1001,$L74)</f>
        <v>15522</v>
      </c>
      <c r="O74" s="57" t="n">
        <f aca="false">$N74+ROW()/1000000</f>
        <v>15522.000074</v>
      </c>
      <c r="P74" s="46"/>
      <c r="Q74" s="46"/>
      <c r="R74" s="46"/>
      <c r="S74" s="46"/>
      <c r="T74" s="2" t="s">
        <v>305</v>
      </c>
      <c r="U74" s="56" t="n">
        <f aca="false">COUNTIFS(Model!$J$2:$J$1001,$B$3,Model!$L$2:$L$1001,$B$4,Model!$I$2:$I$1001,$T74)</f>
        <v>3</v>
      </c>
      <c r="V74" s="55" t="n">
        <f aca="false">SUMIFS(Model!$N$2:$N$1001,Model!$J$2:$J$1001,$B$3,Model!$L$2:$L$1001,$B$4,Model!$I$2:$I$1001,$T74)</f>
        <v>9406</v>
      </c>
      <c r="W74" s="58" t="n">
        <f aca="false">$U74+$V74/1000000000+ROW()/1000000000000</f>
        <v>3.000009406074</v>
      </c>
      <c r="X74" s="46"/>
      <c r="Y74" s="46"/>
      <c r="Z74" s="46"/>
      <c r="AA74" s="46"/>
      <c r="AB74" s="46"/>
      <c r="AC74" s="2" t="s">
        <v>306</v>
      </c>
      <c r="AD74" s="2" t="str">
        <f aca="false">INDEX(Customers!$B$2:$B$101,MATCH($AC74,Customers!$A$2:$A$101,0))</f>
        <v>Ritvik Garde</v>
      </c>
      <c r="AE74" s="55" t="n">
        <f aca="false">SUMIFS(Model!$N$2:$N$1001,Model!$J$2:$J$1001,$B$3,Model!$L$2:$L$1001,$B$4,Model!$B$2:$B$1001,$AC74)</f>
        <v>25168</v>
      </c>
      <c r="AF74" s="56" t="n">
        <f aca="false">COUNTIFS(Model!$J$2:$J$1001,$B$3,Model!$L$2:$L$1001,$B$4,Model!$B$2:$B$1001,$AC74)</f>
        <v>8</v>
      </c>
      <c r="AG74" s="57" t="n">
        <f aca="false">$AE74+ROW()/1000000</f>
        <v>25168.000074</v>
      </c>
      <c r="AH74" s="46"/>
      <c r="AI74" s="46"/>
      <c r="AJ74" s="46"/>
      <c r="AK74" s="46"/>
      <c r="AL74" s="46"/>
      <c r="AM74" s="46"/>
    </row>
    <row r="75" customFormat="false" ht="15" hidden="false" customHeight="false" outlineLevel="0" collapsed="false">
      <c r="A75" s="2" t="s">
        <v>307</v>
      </c>
      <c r="B75" s="2" t="n">
        <v>7</v>
      </c>
      <c r="C75" s="56" t="n">
        <f aca="false">COUNTIFS(Model!$J$2:$J$1001,$B$3,Model!$L$2:$L$1001,$B$4,Model!$U$2:$U$1001,$B75)</f>
        <v>176</v>
      </c>
      <c r="D75" s="55" t="n">
        <f aca="false">SUMIFS(Model!$N$2:$N$1001,Model!$J$2:$J$1001,$B$3,Model!$L$2:$L$1001,$B$4,Model!$U$2:$U$1001,$B75)</f>
        <v>628138</v>
      </c>
      <c r="E75" s="46"/>
      <c r="F75" s="46"/>
      <c r="G75" s="46"/>
      <c r="H75" s="46"/>
      <c r="I75" s="46"/>
      <c r="J75" s="46"/>
      <c r="K75" s="46"/>
      <c r="L75" s="2" t="n">
        <v>69</v>
      </c>
      <c r="M75" s="2" t="str">
        <f aca="false">INDEX(Products!$B$2:$B$71,MATCH($L75,Products!$A$2:$A$71,0))</f>
        <v>Id Box</v>
      </c>
      <c r="N75" s="55" t="n">
        <f aca="false">SUMIFS(Model!$N$2:$N$1001,Model!$J$2:$J$1001,$B$3,Model!$L$2:$L$1001,$B$4,Model!$C$2:$C$1001,$L75)</f>
        <v>34930</v>
      </c>
      <c r="O75" s="57" t="n">
        <f aca="false">$N75+ROW()/1000000</f>
        <v>34930.000075</v>
      </c>
      <c r="P75" s="46"/>
      <c r="Q75" s="46"/>
      <c r="R75" s="46"/>
      <c r="S75" s="46"/>
      <c r="T75" s="2" t="s">
        <v>308</v>
      </c>
      <c r="U75" s="56" t="n">
        <f aca="false">COUNTIFS(Model!$J$2:$J$1001,$B$3,Model!$L$2:$L$1001,$B$4,Model!$I$2:$I$1001,$T75)</f>
        <v>3</v>
      </c>
      <c r="V75" s="55" t="n">
        <f aca="false">SUMIFS(Model!$N$2:$N$1001,Model!$J$2:$J$1001,$B$3,Model!$L$2:$L$1001,$B$4,Model!$I$2:$I$1001,$T75)</f>
        <v>2213</v>
      </c>
      <c r="W75" s="58" t="n">
        <f aca="false">$U75+$V75/1000000000+ROW()/1000000000000</f>
        <v>3.000002213075</v>
      </c>
      <c r="X75" s="46"/>
      <c r="Y75" s="46"/>
      <c r="Z75" s="46"/>
      <c r="AA75" s="46"/>
      <c r="AB75" s="46"/>
      <c r="AC75" s="2" t="s">
        <v>309</v>
      </c>
      <c r="AD75" s="2" t="str">
        <f aca="false">INDEX(Customers!$B$2:$B$101,MATCH($AC75,Customers!$A$2:$A$101,0))</f>
        <v>Hunar Tripathi</v>
      </c>
      <c r="AE75" s="55" t="n">
        <f aca="false">SUMIFS(Model!$N$2:$N$1001,Model!$J$2:$J$1001,$B$3,Model!$L$2:$L$1001,$B$4,Model!$B$2:$B$1001,$AC75)</f>
        <v>38017</v>
      </c>
      <c r="AF75" s="56" t="n">
        <f aca="false">COUNTIFS(Model!$J$2:$J$1001,$B$3,Model!$L$2:$L$1001,$B$4,Model!$B$2:$B$1001,$AC75)</f>
        <v>9</v>
      </c>
      <c r="AG75" s="57" t="n">
        <f aca="false">$AE75+ROW()/1000000</f>
        <v>38017.000075</v>
      </c>
      <c r="AH75" s="46"/>
      <c r="AI75" s="46"/>
      <c r="AJ75" s="46"/>
      <c r="AK75" s="46"/>
      <c r="AL75" s="46"/>
      <c r="AM75" s="46"/>
    </row>
    <row r="76" customFormat="false" ht="15" hidden="false" customHeight="false" outlineLevel="0" collapsed="false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2" t="n">
        <v>70</v>
      </c>
      <c r="M76" s="2" t="str">
        <f aca="false">INDEX(Products!$B$2:$B$71,MATCH($L76,Products!$A$2:$A$71,0))</f>
        <v>Error Gift</v>
      </c>
      <c r="N76" s="55" t="n">
        <f aca="false">SUMIFS(Model!$N$2:$N$1001,Model!$J$2:$J$1001,$B$3,Model!$L$2:$L$1001,$B$4,Model!$C$2:$C$1001,$L76)</f>
        <v>36372</v>
      </c>
      <c r="O76" s="57" t="n">
        <f aca="false">$N76+ROW()/1000000</f>
        <v>36372.000076</v>
      </c>
      <c r="P76" s="46"/>
      <c r="Q76" s="46"/>
      <c r="R76" s="46"/>
      <c r="S76" s="46"/>
      <c r="T76" s="2" t="s">
        <v>310</v>
      </c>
      <c r="U76" s="56" t="n">
        <f aca="false">COUNTIFS(Model!$J$2:$J$1001,$B$3,Model!$L$2:$L$1001,$B$4,Model!$I$2:$I$1001,$T76)</f>
        <v>3</v>
      </c>
      <c r="V76" s="55" t="n">
        <f aca="false">SUMIFS(Model!$N$2:$N$1001,Model!$J$2:$J$1001,$B$3,Model!$L$2:$L$1001,$B$4,Model!$I$2:$I$1001,$T76)</f>
        <v>13029</v>
      </c>
      <c r="W76" s="58" t="n">
        <f aca="false">$U76+$V76/1000000000+ROW()/1000000000000</f>
        <v>3.000013029076</v>
      </c>
      <c r="X76" s="46"/>
      <c r="Y76" s="46"/>
      <c r="Z76" s="46"/>
      <c r="AA76" s="46"/>
      <c r="AB76" s="46"/>
      <c r="AC76" s="2" t="s">
        <v>311</v>
      </c>
      <c r="AD76" s="2" t="str">
        <f aca="false">INDEX(Customers!$B$2:$B$101,MATCH($AC76,Customers!$A$2:$A$101,0))</f>
        <v>Emir Gokhale</v>
      </c>
      <c r="AE76" s="55" t="n">
        <f aca="false">SUMIFS(Model!$N$2:$N$1001,Model!$J$2:$J$1001,$B$3,Model!$L$2:$L$1001,$B$4,Model!$B$2:$B$1001,$AC76)</f>
        <v>39355</v>
      </c>
      <c r="AF76" s="56" t="n">
        <f aca="false">COUNTIFS(Model!$J$2:$J$1001,$B$3,Model!$L$2:$L$1001,$B$4,Model!$B$2:$B$1001,$AC76)</f>
        <v>11</v>
      </c>
      <c r="AG76" s="57" t="n">
        <f aca="false">$AE76+ROW()/1000000</f>
        <v>39355.000076</v>
      </c>
      <c r="AH76" s="46"/>
      <c r="AI76" s="46"/>
      <c r="AJ76" s="46"/>
      <c r="AK76" s="46"/>
      <c r="AL76" s="46"/>
      <c r="AM76" s="46"/>
    </row>
    <row r="77" customFormat="false" ht="15" hidden="false" customHeight="false" outlineLevel="0" collapsed="false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2" t="s">
        <v>312</v>
      </c>
      <c r="U77" s="56" t="n">
        <f aca="false">COUNTIFS(Model!$J$2:$J$1001,$B$3,Model!$L$2:$L$1001,$B$4,Model!$I$2:$I$1001,$T77)</f>
        <v>5</v>
      </c>
      <c r="V77" s="55" t="n">
        <f aca="false">SUMIFS(Model!$N$2:$N$1001,Model!$J$2:$J$1001,$B$3,Model!$L$2:$L$1001,$B$4,Model!$I$2:$I$1001,$T77)</f>
        <v>23451</v>
      </c>
      <c r="W77" s="58" t="n">
        <f aca="false">$U77+$V77/1000000000+ROW()/1000000000000</f>
        <v>5.000023451077</v>
      </c>
      <c r="X77" s="46"/>
      <c r="Y77" s="46"/>
      <c r="Z77" s="46"/>
      <c r="AA77" s="46"/>
      <c r="AB77" s="46"/>
      <c r="AC77" s="2" t="s">
        <v>313</v>
      </c>
      <c r="AD77" s="2" t="str">
        <f aca="false">INDEX(Customers!$B$2:$B$101,MATCH($AC77,Customers!$A$2:$A$101,0))</f>
        <v>Purab Sheth</v>
      </c>
      <c r="AE77" s="55" t="n">
        <f aca="false">SUMIFS(Model!$N$2:$N$1001,Model!$J$2:$J$1001,$B$3,Model!$L$2:$L$1001,$B$4,Model!$B$2:$B$1001,$AC77)</f>
        <v>35825</v>
      </c>
      <c r="AF77" s="56" t="n">
        <f aca="false">COUNTIFS(Model!$J$2:$J$1001,$B$3,Model!$L$2:$L$1001,$B$4,Model!$B$2:$B$1001,$AC77)</f>
        <v>12</v>
      </c>
      <c r="AG77" s="57" t="n">
        <f aca="false">$AE77+ROW()/1000000</f>
        <v>35825.000077</v>
      </c>
      <c r="AH77" s="46"/>
      <c r="AI77" s="46"/>
      <c r="AJ77" s="46"/>
      <c r="AK77" s="46"/>
      <c r="AL77" s="46"/>
      <c r="AM77" s="46"/>
    </row>
    <row r="78" customFormat="false" ht="15" hidden="false" customHeight="false" outlineLevel="0" collapsed="false">
      <c r="A78" s="49" t="s">
        <v>314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2" t="s">
        <v>315</v>
      </c>
      <c r="U78" s="56" t="n">
        <f aca="false">COUNTIFS(Model!$J$2:$J$1001,$B$3,Model!$L$2:$L$1001,$B$4,Model!$I$2:$I$1001,$T78)</f>
        <v>2</v>
      </c>
      <c r="V78" s="55" t="n">
        <f aca="false">SUMIFS(Model!$N$2:$N$1001,Model!$J$2:$J$1001,$B$3,Model!$L$2:$L$1001,$B$4,Model!$I$2:$I$1001,$T78)</f>
        <v>5483</v>
      </c>
      <c r="W78" s="58" t="n">
        <f aca="false">$U78+$V78/1000000000+ROW()/1000000000000</f>
        <v>2.000005483078</v>
      </c>
      <c r="X78" s="46"/>
      <c r="Y78" s="46"/>
      <c r="Z78" s="46"/>
      <c r="AA78" s="46"/>
      <c r="AB78" s="46"/>
      <c r="AC78" s="2" t="s">
        <v>316</v>
      </c>
      <c r="AD78" s="2" t="str">
        <f aca="false">INDEX(Customers!$B$2:$B$101,MATCH($AC78,Customers!$A$2:$A$101,0))</f>
        <v>Charvi Karnik</v>
      </c>
      <c r="AE78" s="55" t="n">
        <f aca="false">SUMIFS(Model!$N$2:$N$1001,Model!$J$2:$J$1001,$B$3,Model!$L$2:$L$1001,$B$4,Model!$B$2:$B$1001,$AC78)</f>
        <v>33067</v>
      </c>
      <c r="AF78" s="56" t="n">
        <f aca="false">COUNTIFS(Model!$J$2:$J$1001,$B$3,Model!$L$2:$L$1001,$B$4,Model!$B$2:$B$1001,$AC78)</f>
        <v>9</v>
      </c>
      <c r="AG78" s="57" t="n">
        <f aca="false">$AE78+ROW()/1000000</f>
        <v>33067.000078</v>
      </c>
      <c r="AH78" s="46"/>
      <c r="AI78" s="46"/>
      <c r="AJ78" s="46"/>
      <c r="AK78" s="46"/>
      <c r="AL78" s="46"/>
      <c r="AM78" s="46"/>
    </row>
    <row r="79" customFormat="false" ht="15" hidden="false" customHeight="false" outlineLevel="0" collapsed="false">
      <c r="A79" s="50" t="s">
        <v>317</v>
      </c>
      <c r="B79" s="52" t="n">
        <f aca="false">COUNTIFS(Model!$J$2:$J$1001,$B$3,Model!$L$2:$L$1001,$B$4,Model!$Y$2:$Y$1001,$A79)</f>
        <v>148</v>
      </c>
      <c r="C79" s="61" t="n">
        <f aca="false">IFERROR($B79/SUM($B$79:$B$84),0)</f>
        <v>0.148</v>
      </c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2" t="s">
        <v>318</v>
      </c>
      <c r="U79" s="56" t="n">
        <f aca="false">COUNTIFS(Model!$J$2:$J$1001,$B$3,Model!$L$2:$L$1001,$B$4,Model!$I$2:$I$1001,$T79)</f>
        <v>3</v>
      </c>
      <c r="V79" s="55" t="n">
        <f aca="false">SUMIFS(Model!$N$2:$N$1001,Model!$J$2:$J$1001,$B$3,Model!$L$2:$L$1001,$B$4,Model!$I$2:$I$1001,$T79)</f>
        <v>11198</v>
      </c>
      <c r="W79" s="58" t="n">
        <f aca="false">$U79+$V79/1000000000+ROW()/1000000000000</f>
        <v>3.000011198079</v>
      </c>
      <c r="X79" s="46"/>
      <c r="Y79" s="46"/>
      <c r="Z79" s="46"/>
      <c r="AA79" s="46"/>
      <c r="AB79" s="46"/>
      <c r="AC79" s="2" t="s">
        <v>319</v>
      </c>
      <c r="AD79" s="2" t="str">
        <f aca="false">INDEX(Customers!$B$2:$B$101,MATCH($AC79,Customers!$A$2:$A$101,0))</f>
        <v>Zeeshan Tailor</v>
      </c>
      <c r="AE79" s="55" t="n">
        <f aca="false">SUMIFS(Model!$N$2:$N$1001,Model!$J$2:$J$1001,$B$3,Model!$L$2:$L$1001,$B$4,Model!$B$2:$B$1001,$AC79)</f>
        <v>12863</v>
      </c>
      <c r="AF79" s="56" t="n">
        <f aca="false">COUNTIFS(Model!$J$2:$J$1001,$B$3,Model!$L$2:$L$1001,$B$4,Model!$B$2:$B$1001,$AC79)</f>
        <v>6</v>
      </c>
      <c r="AG79" s="57" t="n">
        <f aca="false">$AE79+ROW()/1000000</f>
        <v>12863.000079</v>
      </c>
      <c r="AH79" s="46"/>
      <c r="AI79" s="46"/>
      <c r="AJ79" s="46"/>
      <c r="AK79" s="46"/>
      <c r="AL79" s="46"/>
      <c r="AM79" s="46"/>
    </row>
    <row r="80" customFormat="false" ht="15" hidden="false" customHeight="false" outlineLevel="0" collapsed="false">
      <c r="A80" s="2" t="s">
        <v>320</v>
      </c>
      <c r="B80" s="56" t="n">
        <f aca="false">COUNTIFS(Model!$J$2:$J$1001,$B$3,Model!$L$2:$L$1001,$B$4,Model!$Y$2:$Y$1001,$A80)</f>
        <v>199</v>
      </c>
      <c r="C80" s="62" t="n">
        <f aca="false">IFERROR($B80/SUM($B$79:$B$84),0)</f>
        <v>0.199</v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2" t="s">
        <v>321</v>
      </c>
      <c r="U80" s="56" t="n">
        <f aca="false">COUNTIFS(Model!$J$2:$J$1001,$B$3,Model!$L$2:$L$1001,$B$4,Model!$I$2:$I$1001,$T80)</f>
        <v>7</v>
      </c>
      <c r="V80" s="55" t="n">
        <f aca="false">SUMIFS(Model!$N$2:$N$1001,Model!$J$2:$J$1001,$B$3,Model!$L$2:$L$1001,$B$4,Model!$I$2:$I$1001,$T80)</f>
        <v>25662</v>
      </c>
      <c r="W80" s="58" t="n">
        <f aca="false">$U80+$V80/1000000000+ROW()/1000000000000</f>
        <v>7.00002566208</v>
      </c>
      <c r="X80" s="46"/>
      <c r="Y80" s="46"/>
      <c r="Z80" s="46"/>
      <c r="AA80" s="46"/>
      <c r="AB80" s="46"/>
      <c r="AC80" s="2" t="s">
        <v>322</v>
      </c>
      <c r="AD80" s="2" t="str">
        <f aca="false">INDEX(Customers!$B$2:$B$101,MATCH($AC80,Customers!$A$2:$A$101,0))</f>
        <v>Vanya Apte</v>
      </c>
      <c r="AE80" s="55" t="n">
        <f aca="false">SUMIFS(Model!$N$2:$N$1001,Model!$J$2:$J$1001,$B$3,Model!$L$2:$L$1001,$B$4,Model!$B$2:$B$1001,$AC80)</f>
        <v>29303</v>
      </c>
      <c r="AF80" s="56" t="n">
        <f aca="false">COUNTIFS(Model!$J$2:$J$1001,$B$3,Model!$L$2:$L$1001,$B$4,Model!$B$2:$B$1001,$AC80)</f>
        <v>7</v>
      </c>
      <c r="AG80" s="57" t="n">
        <f aca="false">$AE80+ROW()/1000000</f>
        <v>29303.00008</v>
      </c>
      <c r="AH80" s="46"/>
      <c r="AI80" s="46"/>
      <c r="AJ80" s="46"/>
      <c r="AK80" s="46"/>
      <c r="AL80" s="46"/>
      <c r="AM80" s="46"/>
    </row>
    <row r="81" customFormat="false" ht="15" hidden="false" customHeight="false" outlineLevel="0" collapsed="false">
      <c r="A81" s="2" t="s">
        <v>323</v>
      </c>
      <c r="B81" s="56" t="n">
        <f aca="false">COUNTIFS(Model!$J$2:$J$1001,$B$3,Model!$L$2:$L$1001,$B$4,Model!$Y$2:$Y$1001,$A81)</f>
        <v>214</v>
      </c>
      <c r="C81" s="62" t="n">
        <f aca="false">IFERROR($B81/SUM($B$79:$B$84),0)</f>
        <v>0.214</v>
      </c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2" t="s">
        <v>324</v>
      </c>
      <c r="U81" s="56" t="n">
        <f aca="false">COUNTIFS(Model!$J$2:$J$1001,$B$3,Model!$L$2:$L$1001,$B$4,Model!$I$2:$I$1001,$T81)</f>
        <v>4</v>
      </c>
      <c r="V81" s="55" t="n">
        <f aca="false">SUMIFS(Model!$N$2:$N$1001,Model!$J$2:$J$1001,$B$3,Model!$L$2:$L$1001,$B$4,Model!$I$2:$I$1001,$T81)</f>
        <v>12118</v>
      </c>
      <c r="W81" s="58" t="n">
        <f aca="false">$U81+$V81/1000000000+ROW()/1000000000000</f>
        <v>4.000012118081</v>
      </c>
      <c r="X81" s="46"/>
      <c r="Y81" s="46"/>
      <c r="Z81" s="46"/>
      <c r="AA81" s="46"/>
      <c r="AB81" s="46"/>
      <c r="AC81" s="2" t="s">
        <v>325</v>
      </c>
      <c r="AD81" s="2" t="str">
        <f aca="false">INDEX(Customers!$B$2:$B$101,MATCH($AC81,Customers!$A$2:$A$101,0))</f>
        <v>Yashvi Bansal</v>
      </c>
      <c r="AE81" s="55" t="n">
        <f aca="false">SUMIFS(Model!$N$2:$N$1001,Model!$J$2:$J$1001,$B$3,Model!$L$2:$L$1001,$B$4,Model!$B$2:$B$1001,$AC81)</f>
        <v>13859</v>
      </c>
      <c r="AF81" s="56" t="n">
        <f aca="false">COUNTIFS(Model!$J$2:$J$1001,$B$3,Model!$L$2:$L$1001,$B$4,Model!$B$2:$B$1001,$AC81)</f>
        <v>6</v>
      </c>
      <c r="AG81" s="57" t="n">
        <f aca="false">$AE81+ROW()/1000000</f>
        <v>13859.000081</v>
      </c>
      <c r="AH81" s="46"/>
      <c r="AI81" s="46"/>
      <c r="AJ81" s="46"/>
      <c r="AK81" s="46"/>
      <c r="AL81" s="46"/>
      <c r="AM81" s="46"/>
    </row>
    <row r="82" customFormat="false" ht="15" hidden="false" customHeight="false" outlineLevel="0" collapsed="false">
      <c r="A82" s="2" t="s">
        <v>326</v>
      </c>
      <c r="B82" s="56" t="n">
        <f aca="false">COUNTIFS(Model!$J$2:$J$1001,$B$3,Model!$L$2:$L$1001,$B$4,Model!$Y$2:$Y$1001,$A82)</f>
        <v>180</v>
      </c>
      <c r="C82" s="62" t="n">
        <f aca="false">IFERROR($B82/SUM($B$79:$B$84),0)</f>
        <v>0.18</v>
      </c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2" t="s">
        <v>327</v>
      </c>
      <c r="U82" s="56" t="n">
        <f aca="false">COUNTIFS(Model!$J$2:$J$1001,$B$3,Model!$L$2:$L$1001,$B$4,Model!$I$2:$I$1001,$T82)</f>
        <v>5</v>
      </c>
      <c r="V82" s="55" t="n">
        <f aca="false">SUMIFS(Model!$N$2:$N$1001,Model!$J$2:$J$1001,$B$3,Model!$L$2:$L$1001,$B$4,Model!$I$2:$I$1001,$T82)</f>
        <v>21229</v>
      </c>
      <c r="W82" s="58" t="n">
        <f aca="false">$U82+$V82/1000000000+ROW()/1000000000000</f>
        <v>5.000021229082</v>
      </c>
      <c r="X82" s="46"/>
      <c r="Y82" s="46"/>
      <c r="Z82" s="46"/>
      <c r="AA82" s="46"/>
      <c r="AB82" s="46"/>
      <c r="AC82" s="2" t="s">
        <v>328</v>
      </c>
      <c r="AD82" s="2" t="str">
        <f aca="false">INDEX(Customers!$B$2:$B$101,MATCH($AC82,Customers!$A$2:$A$101,0))</f>
        <v>Oorja Dayal</v>
      </c>
      <c r="AE82" s="55" t="n">
        <f aca="false">SUMIFS(Model!$N$2:$N$1001,Model!$J$2:$J$1001,$B$3,Model!$L$2:$L$1001,$B$4,Model!$B$2:$B$1001,$AC82)</f>
        <v>25892</v>
      </c>
      <c r="AF82" s="56" t="n">
        <f aca="false">COUNTIFS(Model!$J$2:$J$1001,$B$3,Model!$L$2:$L$1001,$B$4,Model!$B$2:$B$1001,$AC82)</f>
        <v>6</v>
      </c>
      <c r="AG82" s="57" t="n">
        <f aca="false">$AE82+ROW()/1000000</f>
        <v>25892.000082</v>
      </c>
      <c r="AH82" s="46"/>
      <c r="AI82" s="46"/>
      <c r="AJ82" s="46"/>
      <c r="AK82" s="46"/>
      <c r="AL82" s="46"/>
      <c r="AM82" s="46"/>
    </row>
    <row r="83" customFormat="false" ht="15" hidden="false" customHeight="false" outlineLevel="0" collapsed="false">
      <c r="A83" s="2" t="s">
        <v>329</v>
      </c>
      <c r="B83" s="56" t="n">
        <f aca="false">COUNTIFS(Model!$J$2:$J$1001,$B$3,Model!$L$2:$L$1001,$B$4,Model!$Y$2:$Y$1001,$A83)</f>
        <v>213</v>
      </c>
      <c r="C83" s="62" t="n">
        <f aca="false">IFERROR($B83/SUM($B$79:$B$84),0)</f>
        <v>0.213</v>
      </c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2" t="s">
        <v>330</v>
      </c>
      <c r="U83" s="56" t="n">
        <f aca="false">COUNTIFS(Model!$J$2:$J$1001,$B$3,Model!$L$2:$L$1001,$B$4,Model!$I$2:$I$1001,$T83)</f>
        <v>2</v>
      </c>
      <c r="V83" s="55" t="n">
        <f aca="false">SUMIFS(Model!$N$2:$N$1001,Model!$J$2:$J$1001,$B$3,Model!$L$2:$L$1001,$B$4,Model!$I$2:$I$1001,$T83)</f>
        <v>2529</v>
      </c>
      <c r="W83" s="58" t="n">
        <f aca="false">$U83+$V83/1000000000+ROW()/1000000000000</f>
        <v>2.000002529083</v>
      </c>
      <c r="X83" s="46"/>
      <c r="Y83" s="46"/>
      <c r="Z83" s="46"/>
      <c r="AA83" s="46"/>
      <c r="AB83" s="46"/>
      <c r="AC83" s="2" t="s">
        <v>331</v>
      </c>
      <c r="AD83" s="2" t="str">
        <f aca="false">INDEX(Customers!$B$2:$B$101,MATCH($AC83,Customers!$A$2:$A$101,0))</f>
        <v>Gokul Ahluwalia</v>
      </c>
      <c r="AE83" s="55" t="n">
        <f aca="false">SUMIFS(Model!$N$2:$N$1001,Model!$J$2:$J$1001,$B$3,Model!$L$2:$L$1001,$B$4,Model!$B$2:$B$1001,$AC83)</f>
        <v>48915</v>
      </c>
      <c r="AF83" s="56" t="n">
        <f aca="false">COUNTIFS(Model!$J$2:$J$1001,$B$3,Model!$L$2:$L$1001,$B$4,Model!$B$2:$B$1001,$AC83)</f>
        <v>11</v>
      </c>
      <c r="AG83" s="57" t="n">
        <f aca="false">$AE83+ROW()/1000000</f>
        <v>48915.000083</v>
      </c>
      <c r="AH83" s="46"/>
      <c r="AI83" s="46"/>
      <c r="AJ83" s="46"/>
      <c r="AK83" s="46"/>
      <c r="AL83" s="46"/>
      <c r="AM83" s="46"/>
    </row>
    <row r="84" customFormat="false" ht="15" hidden="false" customHeight="false" outlineLevel="0" collapsed="false">
      <c r="A84" s="2" t="s">
        <v>332</v>
      </c>
      <c r="B84" s="56" t="n">
        <f aca="false">COUNTIFS(Model!$J$2:$J$1001,$B$3,Model!$L$2:$L$1001,$B$4,Model!$Y$2:$Y$1001,$A84)</f>
        <v>46</v>
      </c>
      <c r="C84" s="62" t="n">
        <f aca="false">IFERROR($B84/SUM($B$79:$B$84),0)</f>
        <v>0.046</v>
      </c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2" t="s">
        <v>333</v>
      </c>
      <c r="U84" s="56" t="n">
        <f aca="false">COUNTIFS(Model!$J$2:$J$1001,$B$3,Model!$L$2:$L$1001,$B$4,Model!$I$2:$I$1001,$T84)</f>
        <v>3</v>
      </c>
      <c r="V84" s="55" t="n">
        <f aca="false">SUMIFS(Model!$N$2:$N$1001,Model!$J$2:$J$1001,$B$3,Model!$L$2:$L$1001,$B$4,Model!$I$2:$I$1001,$T84)</f>
        <v>19793</v>
      </c>
      <c r="W84" s="58" t="n">
        <f aca="false">$U84+$V84/1000000000+ROW()/1000000000000</f>
        <v>3.000019793084</v>
      </c>
      <c r="X84" s="46"/>
      <c r="Y84" s="46"/>
      <c r="Z84" s="46"/>
      <c r="AA84" s="46"/>
      <c r="AB84" s="46"/>
      <c r="AC84" s="2" t="s">
        <v>334</v>
      </c>
      <c r="AD84" s="2" t="str">
        <f aca="false">INDEX(Customers!$B$2:$B$101,MATCH($AC84,Customers!$A$2:$A$101,0))</f>
        <v>Jivika Rajan</v>
      </c>
      <c r="AE84" s="55" t="n">
        <f aca="false">SUMIFS(Model!$N$2:$N$1001,Model!$J$2:$J$1001,$B$3,Model!$L$2:$L$1001,$B$4,Model!$B$2:$B$1001,$AC84)</f>
        <v>44597</v>
      </c>
      <c r="AF84" s="56" t="n">
        <f aca="false">COUNTIFS(Model!$J$2:$J$1001,$B$3,Model!$L$2:$L$1001,$B$4,Model!$B$2:$B$1001,$AC84)</f>
        <v>9</v>
      </c>
      <c r="AG84" s="57" t="n">
        <f aca="false">$AE84+ROW()/1000000</f>
        <v>44597.000084</v>
      </c>
      <c r="AH84" s="46"/>
      <c r="AI84" s="46"/>
      <c r="AJ84" s="46"/>
      <c r="AK84" s="46"/>
      <c r="AL84" s="46"/>
      <c r="AM84" s="46"/>
    </row>
    <row r="85" customFormat="false" ht="15" hidden="false" customHeight="false" outlineLevel="0" collapsed="false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2" t="s">
        <v>335</v>
      </c>
      <c r="U85" s="56" t="n">
        <f aca="false">COUNTIFS(Model!$J$2:$J$1001,$B$3,Model!$L$2:$L$1001,$B$4,Model!$I$2:$I$1001,$T85)</f>
        <v>3</v>
      </c>
      <c r="V85" s="55" t="n">
        <f aca="false">SUMIFS(Model!$N$2:$N$1001,Model!$J$2:$J$1001,$B$3,Model!$L$2:$L$1001,$B$4,Model!$I$2:$I$1001,$T85)</f>
        <v>9778</v>
      </c>
      <c r="W85" s="58" t="n">
        <f aca="false">$U85+$V85/1000000000+ROW()/1000000000000</f>
        <v>3.000009778085</v>
      </c>
      <c r="X85" s="46"/>
      <c r="Y85" s="46"/>
      <c r="Z85" s="46"/>
      <c r="AA85" s="46"/>
      <c r="AB85" s="46"/>
      <c r="AC85" s="2" t="s">
        <v>336</v>
      </c>
      <c r="AD85" s="2" t="str">
        <f aca="false">INDEX(Customers!$B$2:$B$101,MATCH($AC85,Customers!$A$2:$A$101,0))</f>
        <v>Vedika Sankaran</v>
      </c>
      <c r="AE85" s="55" t="n">
        <f aca="false">SUMIFS(Model!$N$2:$N$1001,Model!$J$2:$J$1001,$B$3,Model!$L$2:$L$1001,$B$4,Model!$B$2:$B$1001,$AC85)</f>
        <v>21593</v>
      </c>
      <c r="AF85" s="56" t="n">
        <f aca="false">COUNTIFS(Model!$J$2:$J$1001,$B$3,Model!$L$2:$L$1001,$B$4,Model!$B$2:$B$1001,$AC85)</f>
        <v>9</v>
      </c>
      <c r="AG85" s="57" t="n">
        <f aca="false">$AE85+ROW()/1000000</f>
        <v>21593.000085</v>
      </c>
      <c r="AH85" s="46"/>
      <c r="AI85" s="46"/>
      <c r="AJ85" s="46"/>
      <c r="AK85" s="46"/>
      <c r="AL85" s="46"/>
      <c r="AM85" s="46"/>
    </row>
    <row r="86" customFormat="false" ht="15" hidden="false" customHeight="false" outlineLevel="0" collapsed="false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2" t="s">
        <v>337</v>
      </c>
      <c r="U86" s="56" t="n">
        <f aca="false">COUNTIFS(Model!$J$2:$J$1001,$B$3,Model!$L$2:$L$1001,$B$4,Model!$I$2:$I$1001,$T86)</f>
        <v>2</v>
      </c>
      <c r="V86" s="55" t="n">
        <f aca="false">SUMIFS(Model!$N$2:$N$1001,Model!$J$2:$J$1001,$B$3,Model!$L$2:$L$1001,$B$4,Model!$I$2:$I$1001,$T86)</f>
        <v>10426</v>
      </c>
      <c r="W86" s="58" t="n">
        <f aca="false">$U86+$V86/1000000000+ROW()/1000000000000</f>
        <v>2.000010426086</v>
      </c>
      <c r="X86" s="46"/>
      <c r="Y86" s="46"/>
      <c r="Z86" s="46"/>
      <c r="AA86" s="46"/>
      <c r="AB86" s="46"/>
      <c r="AC86" s="2" t="s">
        <v>338</v>
      </c>
      <c r="AD86" s="2" t="str">
        <f aca="false">INDEX(Customers!$B$2:$B$101,MATCH($AC86,Customers!$A$2:$A$101,0))</f>
        <v>Mohanlal Garde</v>
      </c>
      <c r="AE86" s="55" t="n">
        <f aca="false">SUMIFS(Model!$N$2:$N$1001,Model!$J$2:$J$1001,$B$3,Model!$L$2:$L$1001,$B$4,Model!$B$2:$B$1001,$AC86)</f>
        <v>22226</v>
      </c>
      <c r="AF86" s="56" t="n">
        <f aca="false">COUNTIFS(Model!$J$2:$J$1001,$B$3,Model!$L$2:$L$1001,$B$4,Model!$B$2:$B$1001,$AC86)</f>
        <v>8</v>
      </c>
      <c r="AG86" s="57" t="n">
        <f aca="false">$AE86+ROW()/1000000</f>
        <v>22226.000086</v>
      </c>
      <c r="AH86" s="46"/>
      <c r="AI86" s="46"/>
      <c r="AJ86" s="46"/>
      <c r="AK86" s="46"/>
      <c r="AL86" s="46"/>
      <c r="AM86" s="46"/>
    </row>
    <row r="87" customFormat="false" ht="15" hidden="false" customHeight="false" outlineLevel="0" collapsed="false">
      <c r="A87" s="49" t="s">
        <v>339</v>
      </c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2" t="s">
        <v>340</v>
      </c>
      <c r="U87" s="56" t="n">
        <f aca="false">COUNTIFS(Model!$J$2:$J$1001,$B$3,Model!$L$2:$L$1001,$B$4,Model!$I$2:$I$1001,$T87)</f>
        <v>4</v>
      </c>
      <c r="V87" s="55" t="n">
        <f aca="false">SUMIFS(Model!$N$2:$N$1001,Model!$J$2:$J$1001,$B$3,Model!$L$2:$L$1001,$B$4,Model!$I$2:$I$1001,$T87)</f>
        <v>16900</v>
      </c>
      <c r="W87" s="58" t="n">
        <f aca="false">$U87+$V87/1000000000+ROW()/1000000000000</f>
        <v>4.000016900087</v>
      </c>
      <c r="X87" s="46"/>
      <c r="Y87" s="46"/>
      <c r="Z87" s="46"/>
      <c r="AA87" s="46"/>
      <c r="AB87" s="46"/>
      <c r="AC87" s="2" t="s">
        <v>341</v>
      </c>
      <c r="AD87" s="2" t="str">
        <f aca="false">INDEX(Customers!$B$2:$B$101,MATCH($AC87,Customers!$A$2:$A$101,0))</f>
        <v>Kaira Ramachandran</v>
      </c>
      <c r="AE87" s="55" t="n">
        <f aca="false">SUMIFS(Model!$N$2:$N$1001,Model!$J$2:$J$1001,$B$3,Model!$L$2:$L$1001,$B$4,Model!$B$2:$B$1001,$AC87)</f>
        <v>22223</v>
      </c>
      <c r="AF87" s="56" t="n">
        <f aca="false">COUNTIFS(Model!$J$2:$J$1001,$B$3,Model!$L$2:$L$1001,$B$4,Model!$B$2:$B$1001,$AC87)</f>
        <v>6</v>
      </c>
      <c r="AG87" s="57" t="n">
        <f aca="false">$AE87+ROW()/1000000</f>
        <v>22223.000087</v>
      </c>
      <c r="AH87" s="46"/>
      <c r="AI87" s="46"/>
      <c r="AJ87" s="46"/>
      <c r="AK87" s="46"/>
      <c r="AL87" s="46"/>
      <c r="AM87" s="46"/>
    </row>
    <row r="88" customFormat="false" ht="15" hidden="false" customHeight="false" outlineLevel="0" collapsed="false">
      <c r="A88" s="50" t="s">
        <v>342</v>
      </c>
      <c r="B88" s="51" t="n">
        <f aca="false">SUMIFS(Model!$N$2:$N$1001,Model!$J$2:$J$1001,$B$3,Model!$L$2:$L$1001,$B$4,Model!$X$2:$X$1001,$A88)</f>
        <v>142345</v>
      </c>
      <c r="C88" s="52" t="n">
        <f aca="false">COUNTIFS(Model!$J$2:$J$1001,$B$3,Model!$L$2:$L$1001,$B$4,Model!$X$2:$X$1001,$A88)</f>
        <v>142</v>
      </c>
      <c r="D88" s="61" t="n">
        <f aca="false">IFERROR($B88/SUM($B$88:$B$91),0)</f>
        <v>0.0404276190973887</v>
      </c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2" t="s">
        <v>343</v>
      </c>
      <c r="U88" s="56" t="n">
        <f aca="false">COUNTIFS(Model!$J$2:$J$1001,$B$3,Model!$L$2:$L$1001,$B$4,Model!$I$2:$I$1001,$T88)</f>
        <v>2</v>
      </c>
      <c r="V88" s="55" t="n">
        <f aca="false">SUMIFS(Model!$N$2:$N$1001,Model!$J$2:$J$1001,$B$3,Model!$L$2:$L$1001,$B$4,Model!$I$2:$I$1001,$T88)</f>
        <v>6878</v>
      </c>
      <c r="W88" s="58" t="n">
        <f aca="false">$U88+$V88/1000000000+ROW()/1000000000000</f>
        <v>2.000006878088</v>
      </c>
      <c r="X88" s="46"/>
      <c r="Y88" s="46"/>
      <c r="Z88" s="46"/>
      <c r="AA88" s="46"/>
      <c r="AB88" s="46"/>
      <c r="AC88" s="2" t="s">
        <v>344</v>
      </c>
      <c r="AD88" s="2" t="str">
        <f aca="false">INDEX(Customers!$B$2:$B$101,MATCH($AC88,Customers!$A$2:$A$101,0))</f>
        <v>Anya Chaudhari</v>
      </c>
      <c r="AE88" s="55" t="n">
        <f aca="false">SUMIFS(Model!$N$2:$N$1001,Model!$J$2:$J$1001,$B$3,Model!$L$2:$L$1001,$B$4,Model!$B$2:$B$1001,$AC88)</f>
        <v>26728</v>
      </c>
      <c r="AF88" s="56" t="n">
        <f aca="false">COUNTIFS(Model!$J$2:$J$1001,$B$3,Model!$L$2:$L$1001,$B$4,Model!$B$2:$B$1001,$AC88)</f>
        <v>8</v>
      </c>
      <c r="AG88" s="57" t="n">
        <f aca="false">$AE88+ROW()/1000000</f>
        <v>26728.000088</v>
      </c>
      <c r="AH88" s="46"/>
      <c r="AI88" s="46"/>
      <c r="AJ88" s="46"/>
      <c r="AK88" s="46"/>
      <c r="AL88" s="46"/>
      <c r="AM88" s="46"/>
    </row>
    <row r="89" customFormat="false" ht="15" hidden="false" customHeight="false" outlineLevel="0" collapsed="false">
      <c r="A89" s="2" t="s">
        <v>345</v>
      </c>
      <c r="B89" s="55" t="n">
        <f aca="false">SUMIFS(Model!$N$2:$N$1001,Model!$J$2:$J$1001,$B$3,Model!$L$2:$L$1001,$B$4,Model!$X$2:$X$1001,$A89)</f>
        <v>572374</v>
      </c>
      <c r="C89" s="56" t="n">
        <f aca="false">COUNTIFS(Model!$J$2:$J$1001,$B$3,Model!$L$2:$L$1001,$B$4,Model!$X$2:$X$1001,$A89)</f>
        <v>256</v>
      </c>
      <c r="D89" s="62" t="n">
        <f aca="false">IFERROR($B89/SUM($B$88:$B$91),0)</f>
        <v>0.162560806865354</v>
      </c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2" t="s">
        <v>346</v>
      </c>
      <c r="U89" s="56" t="n">
        <f aca="false">COUNTIFS(Model!$J$2:$J$1001,$B$3,Model!$L$2:$L$1001,$B$4,Model!$I$2:$I$1001,$T89)</f>
        <v>2</v>
      </c>
      <c r="V89" s="55" t="n">
        <f aca="false">SUMIFS(Model!$N$2:$N$1001,Model!$J$2:$J$1001,$B$3,Model!$L$2:$L$1001,$B$4,Model!$I$2:$I$1001,$T89)</f>
        <v>9371</v>
      </c>
      <c r="W89" s="58" t="n">
        <f aca="false">$U89+$V89/1000000000+ROW()/1000000000000</f>
        <v>2.000009371089</v>
      </c>
      <c r="X89" s="46"/>
      <c r="Y89" s="46"/>
      <c r="Z89" s="46"/>
      <c r="AA89" s="46"/>
      <c r="AB89" s="46"/>
      <c r="AC89" s="2" t="s">
        <v>347</v>
      </c>
      <c r="AD89" s="2" t="str">
        <f aca="false">INDEX(Customers!$B$2:$B$101,MATCH($AC89,Customers!$A$2:$A$101,0))</f>
        <v>Aaryahi Sodhi</v>
      </c>
      <c r="AE89" s="55" t="n">
        <f aca="false">SUMIFS(Model!$N$2:$N$1001,Model!$J$2:$J$1001,$B$3,Model!$L$2:$L$1001,$B$4,Model!$B$2:$B$1001,$AC89)</f>
        <v>42088</v>
      </c>
      <c r="AF89" s="56" t="n">
        <f aca="false">COUNTIFS(Model!$J$2:$J$1001,$B$3,Model!$L$2:$L$1001,$B$4,Model!$B$2:$B$1001,$AC89)</f>
        <v>14</v>
      </c>
      <c r="AG89" s="57" t="n">
        <f aca="false">$AE89+ROW()/1000000</f>
        <v>42088.000089</v>
      </c>
      <c r="AH89" s="46"/>
      <c r="AI89" s="46"/>
      <c r="AJ89" s="46"/>
      <c r="AK89" s="46"/>
      <c r="AL89" s="46"/>
      <c r="AM89" s="46"/>
    </row>
    <row r="90" customFormat="false" ht="15" hidden="false" customHeight="false" outlineLevel="0" collapsed="false">
      <c r="A90" s="2" t="s">
        <v>348</v>
      </c>
      <c r="B90" s="55" t="n">
        <f aca="false">SUMIFS(Model!$N$2:$N$1001,Model!$J$2:$J$1001,$B$3,Model!$L$2:$L$1001,$B$4,Model!$X$2:$X$1001,$A90)</f>
        <v>1029016</v>
      </c>
      <c r="C90" s="56" t="n">
        <f aca="false">COUNTIFS(Model!$J$2:$J$1001,$B$3,Model!$L$2:$L$1001,$B$4,Model!$X$2:$X$1001,$A90)</f>
        <v>276</v>
      </c>
      <c r="D90" s="62" t="n">
        <f aca="false">IFERROR($B90/SUM($B$88:$B$91),0)</f>
        <v>0.292252393081025</v>
      </c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2" t="s">
        <v>349</v>
      </c>
      <c r="U90" s="56" t="n">
        <f aca="false">COUNTIFS(Model!$J$2:$J$1001,$B$3,Model!$L$2:$L$1001,$B$4,Model!$I$2:$I$1001,$T90)</f>
        <v>3</v>
      </c>
      <c r="V90" s="55" t="n">
        <f aca="false">SUMIFS(Model!$N$2:$N$1001,Model!$J$2:$J$1001,$B$3,Model!$L$2:$L$1001,$B$4,Model!$I$2:$I$1001,$T90)</f>
        <v>13182</v>
      </c>
      <c r="W90" s="58" t="n">
        <f aca="false">$U90+$V90/1000000000+ROW()/1000000000000</f>
        <v>3.00001318209</v>
      </c>
      <c r="X90" s="46"/>
      <c r="Y90" s="46"/>
      <c r="Z90" s="46"/>
      <c r="AA90" s="46"/>
      <c r="AB90" s="46"/>
      <c r="AC90" s="2" t="s">
        <v>350</v>
      </c>
      <c r="AD90" s="2" t="str">
        <f aca="false">INDEX(Customers!$B$2:$B$101,MATCH($AC90,Customers!$A$2:$A$101,0))</f>
        <v>Anahita Shankar</v>
      </c>
      <c r="AE90" s="55" t="n">
        <f aca="false">SUMIFS(Model!$N$2:$N$1001,Model!$J$2:$J$1001,$B$3,Model!$L$2:$L$1001,$B$4,Model!$B$2:$B$1001,$AC90)</f>
        <v>49100</v>
      </c>
      <c r="AF90" s="56" t="n">
        <f aca="false">COUNTIFS(Model!$J$2:$J$1001,$B$3,Model!$L$2:$L$1001,$B$4,Model!$B$2:$B$1001,$AC90)</f>
        <v>13</v>
      </c>
      <c r="AG90" s="57" t="n">
        <f aca="false">$AE90+ROW()/1000000</f>
        <v>49100.00009</v>
      </c>
      <c r="AH90" s="46"/>
      <c r="AI90" s="46"/>
      <c r="AJ90" s="46"/>
      <c r="AK90" s="46"/>
      <c r="AL90" s="46"/>
      <c r="AM90" s="46"/>
    </row>
    <row r="91" customFormat="false" ht="15" hidden="false" customHeight="false" outlineLevel="0" collapsed="false">
      <c r="A91" s="2" t="s">
        <v>351</v>
      </c>
      <c r="B91" s="55" t="n">
        <f aca="false">SUMIFS(Model!$N$2:$N$1001,Model!$J$2:$J$1001,$B$3,Model!$L$2:$L$1001,$B$4,Model!$X$2:$X$1001,$A91)</f>
        <v>1777249</v>
      </c>
      <c r="C91" s="56" t="n">
        <f aca="false">COUNTIFS(Model!$J$2:$J$1001,$B$3,Model!$L$2:$L$1001,$B$4,Model!$X$2:$X$1001,$A91)</f>
        <v>326</v>
      </c>
      <c r="D91" s="62" t="n">
        <f aca="false">IFERROR($B91/SUM($B$88:$B$91),0)</f>
        <v>0.504759180956233</v>
      </c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2" t="s">
        <v>352</v>
      </c>
      <c r="U91" s="56" t="n">
        <f aca="false">COUNTIFS(Model!$J$2:$J$1001,$B$3,Model!$L$2:$L$1001,$B$4,Model!$I$2:$I$1001,$T91)</f>
        <v>1</v>
      </c>
      <c r="V91" s="55" t="n">
        <f aca="false">SUMIFS(Model!$N$2:$N$1001,Model!$J$2:$J$1001,$B$3,Model!$L$2:$L$1001,$B$4,Model!$I$2:$I$1001,$T91)</f>
        <v>1865</v>
      </c>
      <c r="W91" s="58" t="n">
        <f aca="false">$U91+$V91/1000000000+ROW()/1000000000000</f>
        <v>1.000001865091</v>
      </c>
      <c r="X91" s="46"/>
      <c r="Y91" s="46"/>
      <c r="Z91" s="46"/>
      <c r="AA91" s="46"/>
      <c r="AB91" s="46"/>
      <c r="AC91" s="2" t="s">
        <v>353</v>
      </c>
      <c r="AD91" s="2" t="str">
        <f aca="false">INDEX(Customers!$B$2:$B$101,MATCH($AC91,Customers!$A$2:$A$101,0))</f>
        <v>Bhamini Johal</v>
      </c>
      <c r="AE91" s="55" t="n">
        <f aca="false">SUMIFS(Model!$N$2:$N$1001,Model!$J$2:$J$1001,$B$3,Model!$L$2:$L$1001,$B$4,Model!$B$2:$B$1001,$AC91)</f>
        <v>23373</v>
      </c>
      <c r="AF91" s="56" t="n">
        <f aca="false">COUNTIFS(Model!$J$2:$J$1001,$B$3,Model!$L$2:$L$1001,$B$4,Model!$B$2:$B$1001,$AC91)</f>
        <v>6</v>
      </c>
      <c r="AG91" s="57" t="n">
        <f aca="false">$AE91+ROW()/1000000</f>
        <v>23373.000091</v>
      </c>
      <c r="AH91" s="46"/>
      <c r="AI91" s="46"/>
      <c r="AJ91" s="46"/>
      <c r="AK91" s="46"/>
      <c r="AL91" s="46"/>
      <c r="AM91" s="46"/>
    </row>
    <row r="92" customFormat="false" ht="15" hidden="false" customHeight="false" outlineLevel="0" collapsed="false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2" t="s">
        <v>354</v>
      </c>
      <c r="U92" s="56" t="n">
        <f aca="false">COUNTIFS(Model!$J$2:$J$1001,$B$3,Model!$L$2:$L$1001,$B$4,Model!$I$2:$I$1001,$T92)</f>
        <v>3</v>
      </c>
      <c r="V92" s="55" t="n">
        <f aca="false">SUMIFS(Model!$N$2:$N$1001,Model!$J$2:$J$1001,$B$3,Model!$L$2:$L$1001,$B$4,Model!$I$2:$I$1001,$T92)</f>
        <v>9972</v>
      </c>
      <c r="W92" s="58" t="n">
        <f aca="false">$U92+$V92/1000000000+ROW()/1000000000000</f>
        <v>3.000009972092</v>
      </c>
      <c r="X92" s="46"/>
      <c r="Y92" s="46"/>
      <c r="Z92" s="46"/>
      <c r="AA92" s="46"/>
      <c r="AB92" s="46"/>
      <c r="AC92" s="2" t="s">
        <v>355</v>
      </c>
      <c r="AD92" s="2" t="str">
        <f aca="false">INDEX(Customers!$B$2:$B$101,MATCH($AC92,Customers!$A$2:$A$101,0))</f>
        <v>Ivana Amble</v>
      </c>
      <c r="AE92" s="55" t="n">
        <f aca="false">SUMIFS(Model!$N$2:$N$1001,Model!$J$2:$J$1001,$B$3,Model!$L$2:$L$1001,$B$4,Model!$B$2:$B$1001,$AC92)</f>
        <v>16532</v>
      </c>
      <c r="AF92" s="56" t="n">
        <f aca="false">COUNTIFS(Model!$J$2:$J$1001,$B$3,Model!$L$2:$L$1001,$B$4,Model!$B$2:$B$1001,$AC92)</f>
        <v>5</v>
      </c>
      <c r="AG92" s="57" t="n">
        <f aca="false">$AE92+ROW()/1000000</f>
        <v>16532.000092</v>
      </c>
      <c r="AH92" s="46"/>
      <c r="AI92" s="46"/>
      <c r="AJ92" s="46"/>
      <c r="AK92" s="46"/>
      <c r="AL92" s="46"/>
      <c r="AM92" s="46"/>
    </row>
    <row r="93" customFormat="false" ht="15" hidden="false" customHeight="false" outlineLevel="0" collapsed="false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2" t="s">
        <v>356</v>
      </c>
      <c r="U93" s="56" t="n">
        <f aca="false">COUNTIFS(Model!$J$2:$J$1001,$B$3,Model!$L$2:$L$1001,$B$4,Model!$I$2:$I$1001,$T93)</f>
        <v>5</v>
      </c>
      <c r="V93" s="55" t="n">
        <f aca="false">SUMIFS(Model!$N$2:$N$1001,Model!$J$2:$J$1001,$B$3,Model!$L$2:$L$1001,$B$4,Model!$I$2:$I$1001,$T93)</f>
        <v>14203</v>
      </c>
      <c r="W93" s="58" t="n">
        <f aca="false">$U93+$V93/1000000000+ROW()/1000000000000</f>
        <v>5.000014203093</v>
      </c>
      <c r="X93" s="46"/>
      <c r="Y93" s="46"/>
      <c r="Z93" s="46"/>
      <c r="AA93" s="46"/>
      <c r="AB93" s="46"/>
      <c r="AC93" s="2" t="s">
        <v>357</v>
      </c>
      <c r="AD93" s="2" t="str">
        <f aca="false">INDEX(Customers!$B$2:$B$101,MATCH($AC93,Customers!$A$2:$A$101,0))</f>
        <v>Rania Bhatt</v>
      </c>
      <c r="AE93" s="55" t="n">
        <f aca="false">SUMIFS(Model!$N$2:$N$1001,Model!$J$2:$J$1001,$B$3,Model!$L$2:$L$1001,$B$4,Model!$B$2:$B$1001,$AC93)</f>
        <v>47979</v>
      </c>
      <c r="AF93" s="56" t="n">
        <f aca="false">COUNTIFS(Model!$J$2:$J$1001,$B$3,Model!$L$2:$L$1001,$B$4,Model!$B$2:$B$1001,$AC93)</f>
        <v>11</v>
      </c>
      <c r="AG93" s="57" t="n">
        <f aca="false">$AE93+ROW()/1000000</f>
        <v>47979.000093</v>
      </c>
      <c r="AH93" s="46"/>
      <c r="AI93" s="46"/>
      <c r="AJ93" s="46"/>
      <c r="AK93" s="46"/>
      <c r="AL93" s="46"/>
      <c r="AM93" s="46"/>
    </row>
    <row r="94" customFormat="false" ht="15" hidden="false" customHeight="false" outlineLevel="0" collapsed="false">
      <c r="A94" s="49" t="s">
        <v>358</v>
      </c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2" t="s">
        <v>359</v>
      </c>
      <c r="U94" s="56" t="n">
        <f aca="false">COUNTIFS(Model!$J$2:$J$1001,$B$3,Model!$L$2:$L$1001,$B$4,Model!$I$2:$I$1001,$T94)</f>
        <v>4</v>
      </c>
      <c r="V94" s="55" t="n">
        <f aca="false">SUMIFS(Model!$N$2:$N$1001,Model!$J$2:$J$1001,$B$3,Model!$L$2:$L$1001,$B$4,Model!$I$2:$I$1001,$T94)</f>
        <v>10325</v>
      </c>
      <c r="W94" s="58" t="n">
        <f aca="false">$U94+$V94/1000000000+ROW()/1000000000000</f>
        <v>4.000010325094</v>
      </c>
      <c r="X94" s="46"/>
      <c r="Y94" s="46"/>
      <c r="Z94" s="46"/>
      <c r="AA94" s="46"/>
      <c r="AB94" s="46"/>
      <c r="AC94" s="2" t="s">
        <v>360</v>
      </c>
      <c r="AD94" s="2" t="str">
        <f aca="false">INDEX(Customers!$B$2:$B$101,MATCH($AC94,Customers!$A$2:$A$101,0))</f>
        <v>Shalv Kulkarni</v>
      </c>
      <c r="AE94" s="55" t="n">
        <f aca="false">SUMIFS(Model!$N$2:$N$1001,Model!$J$2:$J$1001,$B$3,Model!$L$2:$L$1001,$B$4,Model!$B$2:$B$1001,$AC94)</f>
        <v>39375</v>
      </c>
      <c r="AF94" s="56" t="n">
        <f aca="false">COUNTIFS(Model!$J$2:$J$1001,$B$3,Model!$L$2:$L$1001,$B$4,Model!$B$2:$B$1001,$AC94)</f>
        <v>10</v>
      </c>
      <c r="AG94" s="57" t="n">
        <f aca="false">$AE94+ROW()/1000000</f>
        <v>39375.000094</v>
      </c>
      <c r="AH94" s="46"/>
      <c r="AI94" s="46"/>
      <c r="AJ94" s="46"/>
      <c r="AK94" s="46"/>
      <c r="AL94" s="46"/>
      <c r="AM94" s="46"/>
    </row>
    <row r="95" customFormat="false" ht="15" hidden="false" customHeight="false" outlineLevel="0" collapsed="false">
      <c r="A95" s="50" t="s">
        <v>361</v>
      </c>
      <c r="B95" s="52" t="n">
        <f aca="false">COUNTIFS(Model!$J$2:$J$1001,$B$3,Model!$L$2:$L$1001,$B$4,Model!$D$2:$D$1001,1)</f>
        <v>196</v>
      </c>
      <c r="C95" s="51" t="n">
        <f aca="false">SUMIFS(Model!$N$2:$N$1001,Model!$J$2:$J$1001,$B$3,Model!$L$2:$L$1001,$B$4,Model!$D$2:$D$1001,1)</f>
        <v>224620</v>
      </c>
      <c r="D95" s="61" t="n">
        <f aca="false">IFERROR($C95/SUM($C$95:$C$99),0)</f>
        <v>0.0637946664909582</v>
      </c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2" t="s">
        <v>362</v>
      </c>
      <c r="U95" s="56" t="n">
        <f aca="false">COUNTIFS(Model!$J$2:$J$1001,$B$3,Model!$L$2:$L$1001,$B$4,Model!$I$2:$I$1001,$T95)</f>
        <v>2</v>
      </c>
      <c r="V95" s="55" t="n">
        <f aca="false">SUMIFS(Model!$N$2:$N$1001,Model!$J$2:$J$1001,$B$3,Model!$L$2:$L$1001,$B$4,Model!$I$2:$I$1001,$T95)</f>
        <v>4074</v>
      </c>
      <c r="W95" s="58" t="n">
        <f aca="false">$U95+$V95/1000000000+ROW()/1000000000000</f>
        <v>2.000004074095</v>
      </c>
      <c r="X95" s="46"/>
      <c r="Y95" s="46"/>
      <c r="Z95" s="46"/>
      <c r="AA95" s="46"/>
      <c r="AB95" s="46"/>
      <c r="AC95" s="2" t="s">
        <v>363</v>
      </c>
      <c r="AD95" s="2" t="str">
        <f aca="false">INDEX(Customers!$B$2:$B$101,MATCH($AC95,Customers!$A$2:$A$101,0))</f>
        <v>Oorja Dey</v>
      </c>
      <c r="AE95" s="55" t="n">
        <f aca="false">SUMIFS(Model!$N$2:$N$1001,Model!$J$2:$J$1001,$B$3,Model!$L$2:$L$1001,$B$4,Model!$B$2:$B$1001,$AC95)</f>
        <v>43844</v>
      </c>
      <c r="AF95" s="56" t="n">
        <f aca="false">COUNTIFS(Model!$J$2:$J$1001,$B$3,Model!$L$2:$L$1001,$B$4,Model!$B$2:$B$1001,$AC95)</f>
        <v>11</v>
      </c>
      <c r="AG95" s="57" t="n">
        <f aca="false">$AE95+ROW()/1000000</f>
        <v>43844.000095</v>
      </c>
      <c r="AH95" s="46"/>
      <c r="AI95" s="46"/>
      <c r="AJ95" s="46"/>
      <c r="AK95" s="46"/>
      <c r="AL95" s="46"/>
      <c r="AM95" s="46"/>
    </row>
    <row r="96" customFormat="false" ht="15" hidden="false" customHeight="false" outlineLevel="0" collapsed="false">
      <c r="A96" s="2" t="s">
        <v>364</v>
      </c>
      <c r="B96" s="56" t="n">
        <f aca="false">COUNTIFS(Model!$J$2:$J$1001,$B$3,Model!$L$2:$L$1001,$B$4,Model!$D$2:$D$1001,2)</f>
        <v>192</v>
      </c>
      <c r="C96" s="55" t="n">
        <f aca="false">SUMIFS(Model!$N$2:$N$1001,Model!$J$2:$J$1001,$B$3,Model!$L$2:$L$1001,$B$4,Model!$D$2:$D$1001,2)</f>
        <v>462264</v>
      </c>
      <c r="D96" s="62" t="n">
        <f aca="false">IFERROR($C96/SUM($C$95:$C$99),0)</f>
        <v>0.131288298952793</v>
      </c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2" t="s">
        <v>365</v>
      </c>
      <c r="U96" s="56" t="n">
        <f aca="false">COUNTIFS(Model!$J$2:$J$1001,$B$3,Model!$L$2:$L$1001,$B$4,Model!$I$2:$I$1001,$T96)</f>
        <v>4</v>
      </c>
      <c r="V96" s="55" t="n">
        <f aca="false">SUMIFS(Model!$N$2:$N$1001,Model!$J$2:$J$1001,$B$3,Model!$L$2:$L$1001,$B$4,Model!$I$2:$I$1001,$T96)</f>
        <v>20149</v>
      </c>
      <c r="W96" s="58" t="n">
        <f aca="false">$U96+$V96/1000000000+ROW()/1000000000000</f>
        <v>4.000020149096</v>
      </c>
      <c r="X96" s="46"/>
      <c r="Y96" s="46"/>
      <c r="Z96" s="46"/>
      <c r="AA96" s="46"/>
      <c r="AB96" s="46"/>
      <c r="AC96" s="2" t="s">
        <v>366</v>
      </c>
      <c r="AD96" s="2" t="str">
        <f aca="false">INDEX(Customers!$B$2:$B$101,MATCH($AC96,Customers!$A$2:$A$101,0))</f>
        <v>Drishya De</v>
      </c>
      <c r="AE96" s="55" t="n">
        <f aca="false">SUMIFS(Model!$N$2:$N$1001,Model!$J$2:$J$1001,$B$3,Model!$L$2:$L$1001,$B$4,Model!$B$2:$B$1001,$AC96)</f>
        <v>32456</v>
      </c>
      <c r="AF96" s="56" t="n">
        <f aca="false">COUNTIFS(Model!$J$2:$J$1001,$B$3,Model!$L$2:$L$1001,$B$4,Model!$B$2:$B$1001,$AC96)</f>
        <v>9</v>
      </c>
      <c r="AG96" s="57" t="n">
        <f aca="false">$AE96+ROW()/1000000</f>
        <v>32456.000096</v>
      </c>
      <c r="AH96" s="46"/>
      <c r="AI96" s="46"/>
      <c r="AJ96" s="46"/>
      <c r="AK96" s="46"/>
      <c r="AL96" s="46"/>
      <c r="AM96" s="46"/>
    </row>
    <row r="97" customFormat="false" ht="15" hidden="false" customHeight="false" outlineLevel="0" collapsed="false">
      <c r="A97" s="2" t="s">
        <v>367</v>
      </c>
      <c r="B97" s="56" t="n">
        <f aca="false">COUNTIFS(Model!$J$2:$J$1001,$B$3,Model!$L$2:$L$1001,$B$4,Model!$D$2:$D$1001,3)</f>
        <v>202</v>
      </c>
      <c r="C97" s="55" t="n">
        <f aca="false">SUMIFS(Model!$N$2:$N$1001,Model!$J$2:$J$1001,$B$3,Model!$L$2:$L$1001,$B$4,Model!$D$2:$D$1001,3)</f>
        <v>659625</v>
      </c>
      <c r="D97" s="62" t="n">
        <f aca="false">IFERROR($C97/SUM($C$95:$C$99),0)</f>
        <v>0.187341095557378</v>
      </c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2" t="s">
        <v>368</v>
      </c>
      <c r="U97" s="56" t="n">
        <f aca="false">COUNTIFS(Model!$J$2:$J$1001,$B$3,Model!$L$2:$L$1001,$B$4,Model!$I$2:$I$1001,$T97)</f>
        <v>2</v>
      </c>
      <c r="V97" s="55" t="n">
        <f aca="false">SUMIFS(Model!$N$2:$N$1001,Model!$J$2:$J$1001,$B$3,Model!$L$2:$L$1001,$B$4,Model!$I$2:$I$1001,$T97)</f>
        <v>7875</v>
      </c>
      <c r="W97" s="58" t="n">
        <f aca="false">$U97+$V97/1000000000+ROW()/1000000000000</f>
        <v>2.000007875097</v>
      </c>
      <c r="X97" s="46"/>
      <c r="Y97" s="46"/>
      <c r="Z97" s="46"/>
      <c r="AA97" s="46"/>
      <c r="AB97" s="46"/>
      <c r="AC97" s="2" t="s">
        <v>369</v>
      </c>
      <c r="AD97" s="2" t="str">
        <f aca="false">INDEX(Customers!$B$2:$B$101,MATCH($AC97,Customers!$A$2:$A$101,0))</f>
        <v>Adira Rajan</v>
      </c>
      <c r="AE97" s="55" t="n">
        <f aca="false">SUMIFS(Model!$N$2:$N$1001,Model!$J$2:$J$1001,$B$3,Model!$L$2:$L$1001,$B$4,Model!$B$2:$B$1001,$AC97)</f>
        <v>32001</v>
      </c>
      <c r="AF97" s="56" t="n">
        <f aca="false">COUNTIFS(Model!$J$2:$J$1001,$B$3,Model!$L$2:$L$1001,$B$4,Model!$B$2:$B$1001,$AC97)</f>
        <v>12</v>
      </c>
      <c r="AG97" s="57" t="n">
        <f aca="false">$AE97+ROW()/1000000</f>
        <v>32001.000097</v>
      </c>
      <c r="AH97" s="46"/>
      <c r="AI97" s="46"/>
      <c r="AJ97" s="46"/>
      <c r="AK97" s="46"/>
      <c r="AL97" s="46"/>
      <c r="AM97" s="46"/>
    </row>
    <row r="98" customFormat="false" ht="15" hidden="false" customHeight="false" outlineLevel="0" collapsed="false">
      <c r="A98" s="2" t="s">
        <v>370</v>
      </c>
      <c r="B98" s="56" t="n">
        <f aca="false">COUNTIFS(Model!$J$2:$J$1001,$B$3,Model!$L$2:$L$1001,$B$4,Model!$D$2:$D$1001,4)</f>
        <v>191</v>
      </c>
      <c r="C98" s="55" t="n">
        <f aca="false">SUMIFS(Model!$N$2:$N$1001,Model!$J$2:$J$1001,$B$3,Model!$L$2:$L$1001,$B$4,Model!$D$2:$D$1001,4)</f>
        <v>911720</v>
      </c>
      <c r="D98" s="62" t="n">
        <f aca="false">IFERROR($C98/SUM($C$95:$C$99),0)</f>
        <v>0.258938978421941</v>
      </c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2" t="s">
        <v>371</v>
      </c>
      <c r="U98" s="56" t="n">
        <f aca="false">COUNTIFS(Model!$J$2:$J$1001,$B$3,Model!$L$2:$L$1001,$B$4,Model!$I$2:$I$1001,$T98)</f>
        <v>1</v>
      </c>
      <c r="V98" s="55" t="n">
        <f aca="false">SUMIFS(Model!$N$2:$N$1001,Model!$J$2:$J$1001,$B$3,Model!$L$2:$L$1001,$B$4,Model!$I$2:$I$1001,$T98)</f>
        <v>289</v>
      </c>
      <c r="W98" s="58" t="n">
        <f aca="false">$U98+$V98/1000000000+ROW()/1000000000000</f>
        <v>1.000000289098</v>
      </c>
      <c r="X98" s="46"/>
      <c r="Y98" s="46"/>
      <c r="Z98" s="46"/>
      <c r="AA98" s="46"/>
      <c r="AB98" s="46"/>
      <c r="AC98" s="2" t="s">
        <v>372</v>
      </c>
      <c r="AD98" s="2" t="str">
        <f aca="false">INDEX(Customers!$B$2:$B$101,MATCH($AC98,Customers!$A$2:$A$101,0))</f>
        <v>Zoya Mani</v>
      </c>
      <c r="AE98" s="55" t="n">
        <f aca="false">SUMIFS(Model!$N$2:$N$1001,Model!$J$2:$J$1001,$B$3,Model!$L$2:$L$1001,$B$4,Model!$B$2:$B$1001,$AC98)</f>
        <v>42178</v>
      </c>
      <c r="AF98" s="56" t="n">
        <f aca="false">COUNTIFS(Model!$J$2:$J$1001,$B$3,Model!$L$2:$L$1001,$B$4,Model!$B$2:$B$1001,$AC98)</f>
        <v>12</v>
      </c>
      <c r="AG98" s="57" t="n">
        <f aca="false">$AE98+ROW()/1000000</f>
        <v>42178.000098</v>
      </c>
      <c r="AH98" s="46"/>
      <c r="AI98" s="46"/>
      <c r="AJ98" s="46"/>
      <c r="AK98" s="46"/>
      <c r="AL98" s="46"/>
      <c r="AM98" s="46"/>
    </row>
    <row r="99" customFormat="false" ht="15" hidden="false" customHeight="false" outlineLevel="0" collapsed="false">
      <c r="A99" s="2" t="s">
        <v>373</v>
      </c>
      <c r="B99" s="56" t="n">
        <f aca="false">COUNTIFS(Model!$J$2:$J$1001,$B$3,Model!$L$2:$L$1001,$B$4,Model!$D$2:$D$1001,5)</f>
        <v>219</v>
      </c>
      <c r="C99" s="55" t="n">
        <f aca="false">SUMIFS(Model!$N$2:$N$1001,Model!$J$2:$J$1001,$B$3,Model!$L$2:$L$1001,$B$4,Model!$D$2:$D$1001,5)</f>
        <v>1262755</v>
      </c>
      <c r="D99" s="62" t="n">
        <f aca="false">IFERROR($C99/SUM($C$95:$C$99),0)</f>
        <v>0.35863696057693</v>
      </c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2" t="s">
        <v>374</v>
      </c>
      <c r="U99" s="56" t="n">
        <f aca="false">COUNTIFS(Model!$J$2:$J$1001,$B$3,Model!$L$2:$L$1001,$B$4,Model!$I$2:$I$1001,$T99)</f>
        <v>2</v>
      </c>
      <c r="V99" s="55" t="n">
        <f aca="false">SUMIFS(Model!$N$2:$N$1001,Model!$J$2:$J$1001,$B$3,Model!$L$2:$L$1001,$B$4,Model!$I$2:$I$1001,$T99)</f>
        <v>9194</v>
      </c>
      <c r="W99" s="58" t="n">
        <f aca="false">$U99+$V99/1000000000+ROW()/1000000000000</f>
        <v>2.000009194099</v>
      </c>
      <c r="X99" s="46"/>
      <c r="Y99" s="46"/>
      <c r="Z99" s="46"/>
      <c r="AA99" s="46"/>
      <c r="AB99" s="46"/>
      <c r="AC99" s="2" t="s">
        <v>375</v>
      </c>
      <c r="AD99" s="2" t="str">
        <f aca="false">INDEX(Customers!$B$2:$B$101,MATCH($AC99,Customers!$A$2:$A$101,0))</f>
        <v>Mamooty Bawa</v>
      </c>
      <c r="AE99" s="55" t="n">
        <f aca="false">SUMIFS(Model!$N$2:$N$1001,Model!$J$2:$J$1001,$B$3,Model!$L$2:$L$1001,$B$4,Model!$B$2:$B$1001,$AC99)</f>
        <v>34849</v>
      </c>
      <c r="AF99" s="56" t="n">
        <f aca="false">COUNTIFS(Model!$J$2:$J$1001,$B$3,Model!$L$2:$L$1001,$B$4,Model!$B$2:$B$1001,$AC99)</f>
        <v>10</v>
      </c>
      <c r="AG99" s="57" t="n">
        <f aca="false">$AE99+ROW()/1000000</f>
        <v>34849.000099</v>
      </c>
      <c r="AH99" s="46"/>
      <c r="AI99" s="46"/>
      <c r="AJ99" s="46"/>
      <c r="AK99" s="46"/>
      <c r="AL99" s="46"/>
      <c r="AM99" s="46"/>
    </row>
    <row r="100" customFormat="false" ht="15" hidden="false" customHeight="false" outlineLevel="0" collapsed="false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2" t="s">
        <v>376</v>
      </c>
      <c r="U100" s="56" t="n">
        <f aca="false">COUNTIFS(Model!$J$2:$J$1001,$B$3,Model!$L$2:$L$1001,$B$4,Model!$I$2:$I$1001,$T100)</f>
        <v>4</v>
      </c>
      <c r="V100" s="55" t="n">
        <f aca="false">SUMIFS(Model!$N$2:$N$1001,Model!$J$2:$J$1001,$B$3,Model!$L$2:$L$1001,$B$4,Model!$I$2:$I$1001,$T100)</f>
        <v>11363</v>
      </c>
      <c r="W100" s="58" t="n">
        <f aca="false">$U100+$V100/1000000000+ROW()/1000000000000</f>
        <v>4.0000113631</v>
      </c>
      <c r="X100" s="46"/>
      <c r="Y100" s="46"/>
      <c r="Z100" s="46"/>
      <c r="AA100" s="46"/>
      <c r="AB100" s="46"/>
      <c r="AC100" s="2" t="s">
        <v>377</v>
      </c>
      <c r="AD100" s="2" t="str">
        <f aca="false">INDEX(Customers!$B$2:$B$101,MATCH($AC100,Customers!$A$2:$A$101,0))</f>
        <v>Raghav Babu</v>
      </c>
      <c r="AE100" s="55" t="n">
        <f aca="false">SUMIFS(Model!$N$2:$N$1001,Model!$J$2:$J$1001,$B$3,Model!$L$2:$L$1001,$B$4,Model!$B$2:$B$1001,$AC100)</f>
        <v>31041</v>
      </c>
      <c r="AF100" s="56" t="n">
        <f aca="false">COUNTIFS(Model!$J$2:$J$1001,$B$3,Model!$L$2:$L$1001,$B$4,Model!$B$2:$B$1001,$AC100)</f>
        <v>7</v>
      </c>
      <c r="AG100" s="57" t="n">
        <f aca="false">$AE100+ROW()/1000000</f>
        <v>31041.0001</v>
      </c>
      <c r="AH100" s="46"/>
      <c r="AI100" s="46"/>
      <c r="AJ100" s="46"/>
      <c r="AK100" s="46"/>
      <c r="AL100" s="46"/>
      <c r="AM100" s="46"/>
    </row>
    <row r="101" customFormat="false" ht="15" hidden="false" customHeight="false" outlineLevel="0" collapsed="false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2" t="s">
        <v>378</v>
      </c>
      <c r="U101" s="56" t="n">
        <f aca="false">COUNTIFS(Model!$J$2:$J$1001,$B$3,Model!$L$2:$L$1001,$B$4,Model!$I$2:$I$1001,$T101)</f>
        <v>2</v>
      </c>
      <c r="V101" s="55" t="n">
        <f aca="false">SUMIFS(Model!$N$2:$N$1001,Model!$J$2:$J$1001,$B$3,Model!$L$2:$L$1001,$B$4,Model!$I$2:$I$1001,$T101)</f>
        <v>4917</v>
      </c>
      <c r="W101" s="58" t="n">
        <f aca="false">$U101+$V101/1000000000+ROW()/1000000000000</f>
        <v>2.000004917101</v>
      </c>
      <c r="X101" s="46"/>
      <c r="Y101" s="46"/>
      <c r="Z101" s="46"/>
      <c r="AA101" s="46"/>
      <c r="AB101" s="46"/>
      <c r="AC101" s="2" t="s">
        <v>379</v>
      </c>
      <c r="AD101" s="2" t="str">
        <f aca="false">INDEX(Customers!$B$2:$B$101,MATCH($AC101,Customers!$A$2:$A$101,0))</f>
        <v>Mahika Cherian</v>
      </c>
      <c r="AE101" s="55" t="n">
        <f aca="false">SUMIFS(Model!$N$2:$N$1001,Model!$J$2:$J$1001,$B$3,Model!$L$2:$L$1001,$B$4,Model!$B$2:$B$1001,$AC101)</f>
        <v>45692</v>
      </c>
      <c r="AF101" s="56" t="n">
        <f aca="false">COUNTIFS(Model!$J$2:$J$1001,$B$3,Model!$L$2:$L$1001,$B$4,Model!$B$2:$B$1001,$AC101)</f>
        <v>11</v>
      </c>
      <c r="AG101" s="57" t="n">
        <f aca="false">$AE101+ROW()/1000000</f>
        <v>45692.000101</v>
      </c>
      <c r="AH101" s="46"/>
      <c r="AI101" s="46"/>
      <c r="AJ101" s="46"/>
      <c r="AK101" s="46"/>
      <c r="AL101" s="46"/>
      <c r="AM101" s="46"/>
    </row>
    <row r="102" customFormat="false" ht="15" hidden="false" customHeight="false" outlineLevel="0" collapsed="false">
      <c r="A102" s="49" t="s">
        <v>380</v>
      </c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2" t="s">
        <v>381</v>
      </c>
      <c r="U102" s="56" t="n">
        <f aca="false">COUNTIFS(Model!$J$2:$J$1001,$B$3,Model!$L$2:$L$1001,$B$4,Model!$I$2:$I$1001,$T102)</f>
        <v>3</v>
      </c>
      <c r="V102" s="55" t="n">
        <f aca="false">SUMIFS(Model!$N$2:$N$1001,Model!$J$2:$J$1001,$B$3,Model!$L$2:$L$1001,$B$4,Model!$I$2:$I$1001,$T102)</f>
        <v>6084</v>
      </c>
      <c r="W102" s="58" t="n">
        <f aca="false">$U102+$V102/1000000000+ROW()/1000000000000</f>
        <v>3.000006084102</v>
      </c>
      <c r="X102" s="46"/>
      <c r="Y102" s="46"/>
      <c r="Z102" s="46"/>
      <c r="AA102" s="46"/>
      <c r="AB102" s="46"/>
      <c r="AC102" s="2" t="s">
        <v>382</v>
      </c>
      <c r="AD102" s="2" t="str">
        <f aca="false">INDEX(Customers!$B$2:$B$101,MATCH($AC102,Customers!$A$2:$A$101,0))</f>
        <v>Kavya Reddy</v>
      </c>
      <c r="AE102" s="55" t="n">
        <f aca="false">SUMIFS(Model!$N$2:$N$1001,Model!$J$2:$J$1001,$B$3,Model!$L$2:$L$1001,$B$4,Model!$B$2:$B$1001,$AC102)</f>
        <v>12240</v>
      </c>
      <c r="AF102" s="56" t="n">
        <f aca="false">COUNTIFS(Model!$J$2:$J$1001,$B$3,Model!$L$2:$L$1001,$B$4,Model!$B$2:$B$1001,$AC102)</f>
        <v>3</v>
      </c>
      <c r="AG102" s="57" t="n">
        <f aca="false">$AE102+ROW()/1000000</f>
        <v>12240.000102</v>
      </c>
      <c r="AH102" s="46"/>
      <c r="AI102" s="46"/>
      <c r="AJ102" s="46"/>
      <c r="AK102" s="46"/>
      <c r="AL102" s="46"/>
      <c r="AM102" s="46"/>
    </row>
    <row r="103" customFormat="false" ht="15" hidden="false" customHeight="false" outlineLevel="0" collapsed="false">
      <c r="A103" s="50" t="s">
        <v>383</v>
      </c>
      <c r="B103" s="51" t="n">
        <f aca="false">SUMIFS(Model!$N$2:$N$1001,Model!$J$2:$J$1001,$B$3,Model!$L$2:$L$1001,$B$4,Model!$P$2:$P$1001,$A103)</f>
        <v>1730761</v>
      </c>
      <c r="C103" s="52" t="n">
        <f aca="false">COUNTIFS(Model!$J$2:$J$1001,$B$3,Model!$L$2:$L$1001,$B$4,Model!$P$2:$P$1001,$A103)</f>
        <v>491</v>
      </c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2" t="s">
        <v>384</v>
      </c>
      <c r="U103" s="56" t="n">
        <f aca="false">COUNTIFS(Model!$J$2:$J$1001,$B$3,Model!$L$2:$L$1001,$B$4,Model!$I$2:$I$1001,$T103)</f>
        <v>2</v>
      </c>
      <c r="V103" s="55" t="n">
        <f aca="false">SUMIFS(Model!$N$2:$N$1001,Model!$J$2:$J$1001,$B$3,Model!$L$2:$L$1001,$B$4,Model!$I$2:$I$1001,$T103)</f>
        <v>4220</v>
      </c>
      <c r="W103" s="58" t="n">
        <f aca="false">$U103+$V103/1000000000+ROW()/1000000000000</f>
        <v>2.000004220103</v>
      </c>
      <c r="X103" s="46"/>
      <c r="Y103" s="46"/>
      <c r="Z103" s="46"/>
      <c r="AA103" s="46"/>
      <c r="AB103" s="46"/>
      <c r="AC103" s="2" t="s">
        <v>385</v>
      </c>
      <c r="AD103" s="2" t="str">
        <f aca="false">INDEX(Customers!$B$2:$B$101,MATCH($AC103,Customers!$A$2:$A$101,0))</f>
        <v>Nakul Randhawa</v>
      </c>
      <c r="AE103" s="55" t="n">
        <f aca="false">SUMIFS(Model!$N$2:$N$1001,Model!$J$2:$J$1001,$B$3,Model!$L$2:$L$1001,$B$4,Model!$B$2:$B$1001,$AC103)</f>
        <v>24253</v>
      </c>
      <c r="AF103" s="56" t="n">
        <f aca="false">COUNTIFS(Model!$J$2:$J$1001,$B$3,Model!$L$2:$L$1001,$B$4,Model!$B$2:$B$1001,$AC103)</f>
        <v>12</v>
      </c>
      <c r="AG103" s="57" t="n">
        <f aca="false">$AE103+ROW()/1000000</f>
        <v>24253.000103</v>
      </c>
      <c r="AH103" s="46"/>
      <c r="AI103" s="46"/>
      <c r="AJ103" s="46"/>
      <c r="AK103" s="46"/>
      <c r="AL103" s="46"/>
      <c r="AM103" s="46"/>
    </row>
    <row r="104" customFormat="false" ht="15" hidden="false" customHeight="false" outlineLevel="0" collapsed="false">
      <c r="A104" s="2" t="s">
        <v>386</v>
      </c>
      <c r="B104" s="55" t="n">
        <f aca="false">SUMIFS(Model!$N$2:$N$1001,Model!$J$2:$J$1001,$B$3,Model!$L$2:$L$1001,$B$4,Model!$P$2:$P$1001,$A104)</f>
        <v>1790223</v>
      </c>
      <c r="C104" s="56" t="n">
        <f aca="false">COUNTIFS(Model!$J$2:$J$1001,$B$3,Model!$L$2:$L$1001,$B$4,Model!$P$2:$P$1001,$A104)</f>
        <v>509</v>
      </c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2" t="s">
        <v>387</v>
      </c>
      <c r="U104" s="56" t="n">
        <f aca="false">COUNTIFS(Model!$J$2:$J$1001,$B$3,Model!$L$2:$L$1001,$B$4,Model!$I$2:$I$1001,$T104)</f>
        <v>9</v>
      </c>
      <c r="V104" s="55" t="n">
        <f aca="false">SUMIFS(Model!$N$2:$N$1001,Model!$J$2:$J$1001,$B$3,Model!$L$2:$L$1001,$B$4,Model!$I$2:$I$1001,$T104)</f>
        <v>37820</v>
      </c>
      <c r="W104" s="58" t="n">
        <f aca="false">$U104+$V104/1000000000+ROW()/1000000000000</f>
        <v>9.000037820104</v>
      </c>
      <c r="X104" s="46"/>
      <c r="Y104" s="46"/>
      <c r="Z104" s="46"/>
      <c r="AA104" s="46"/>
      <c r="AB104" s="46"/>
      <c r="AC104" s="2" t="s">
        <v>388</v>
      </c>
      <c r="AD104" s="2" t="str">
        <f aca="false">INDEX(Customers!$B$2:$B$101,MATCH($AC104,Customers!$A$2:$A$101,0))</f>
        <v>Navya Golla</v>
      </c>
      <c r="AE104" s="55" t="n">
        <f aca="false">SUMIFS(Model!$N$2:$N$1001,Model!$J$2:$J$1001,$B$3,Model!$L$2:$L$1001,$B$4,Model!$B$2:$B$1001,$AC104)</f>
        <v>40556</v>
      </c>
      <c r="AF104" s="56" t="n">
        <f aca="false">COUNTIFS(Model!$J$2:$J$1001,$B$3,Model!$L$2:$L$1001,$B$4,Model!$B$2:$B$1001,$AC104)</f>
        <v>11</v>
      </c>
      <c r="AG104" s="57" t="n">
        <f aca="false">$AE104+ROW()/1000000</f>
        <v>40556.000104</v>
      </c>
      <c r="AH104" s="46"/>
      <c r="AI104" s="46"/>
      <c r="AJ104" s="46"/>
      <c r="AK104" s="46"/>
      <c r="AL104" s="46"/>
      <c r="AM104" s="46"/>
    </row>
    <row r="105" customFormat="false" ht="15" hidden="false" customHeight="false" outlineLevel="0" collapsed="false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2" t="s">
        <v>389</v>
      </c>
      <c r="U105" s="56" t="n">
        <f aca="false">COUNTIFS(Model!$J$2:$J$1001,$B$3,Model!$L$2:$L$1001,$B$4,Model!$I$2:$I$1001,$T105)</f>
        <v>2</v>
      </c>
      <c r="V105" s="55" t="n">
        <f aca="false">SUMIFS(Model!$N$2:$N$1001,Model!$J$2:$J$1001,$B$3,Model!$L$2:$L$1001,$B$4,Model!$I$2:$I$1001,$T105)</f>
        <v>5744</v>
      </c>
      <c r="W105" s="58" t="n">
        <f aca="false">$U105+$V105/1000000000+ROW()/1000000000000</f>
        <v>2.000005744105</v>
      </c>
      <c r="X105" s="46"/>
      <c r="Y105" s="46"/>
      <c r="Z105" s="46"/>
      <c r="AA105" s="46"/>
      <c r="AB105" s="46"/>
      <c r="AC105" s="2" t="s">
        <v>390</v>
      </c>
      <c r="AD105" s="2" t="str">
        <f aca="false">INDEX(Customers!$B$2:$B$101,MATCH($AC105,Customers!$A$2:$A$101,0))</f>
        <v>Ranbir Loyal</v>
      </c>
      <c r="AE105" s="55" t="n">
        <f aca="false">SUMIFS(Model!$N$2:$N$1001,Model!$J$2:$J$1001,$B$3,Model!$L$2:$L$1001,$B$4,Model!$B$2:$B$1001,$AC105)</f>
        <v>53082</v>
      </c>
      <c r="AF105" s="56" t="n">
        <f aca="false">COUNTIFS(Model!$J$2:$J$1001,$B$3,Model!$L$2:$L$1001,$B$4,Model!$B$2:$B$1001,$AC105)</f>
        <v>17</v>
      </c>
      <c r="AG105" s="57" t="n">
        <f aca="false">$AE105+ROW()/1000000</f>
        <v>53082.000105</v>
      </c>
      <c r="AH105" s="46"/>
      <c r="AI105" s="46"/>
      <c r="AJ105" s="46"/>
      <c r="AK105" s="46"/>
      <c r="AL105" s="46"/>
      <c r="AM105" s="46"/>
    </row>
    <row r="106" customFormat="false" ht="15" hidden="false" customHeight="false" outlineLevel="0" collapsed="false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2" t="s">
        <v>391</v>
      </c>
      <c r="U106" s="56" t="n">
        <f aca="false">COUNTIFS(Model!$J$2:$J$1001,$B$3,Model!$L$2:$L$1001,$B$4,Model!$I$2:$I$1001,$T106)</f>
        <v>4</v>
      </c>
      <c r="V106" s="55" t="n">
        <f aca="false">SUMIFS(Model!$N$2:$N$1001,Model!$J$2:$J$1001,$B$3,Model!$L$2:$L$1001,$B$4,Model!$I$2:$I$1001,$T106)</f>
        <v>12869</v>
      </c>
      <c r="W106" s="58" t="n">
        <f aca="false">$U106+$V106/1000000000+ROW()/1000000000000</f>
        <v>4.000012869106</v>
      </c>
      <c r="X106" s="46"/>
      <c r="Y106" s="46"/>
      <c r="Z106" s="46"/>
      <c r="AA106" s="46"/>
      <c r="AB106" s="46"/>
      <c r="AC106" s="2" t="s">
        <v>392</v>
      </c>
      <c r="AD106" s="2" t="str">
        <f aca="false">INDEX(Customers!$B$2:$B$101,MATCH($AC106,Customers!$A$2:$A$101,0))</f>
        <v>Pranay Chaudhary</v>
      </c>
      <c r="AE106" s="55" t="n">
        <f aca="false">SUMIFS(Model!$N$2:$N$1001,Model!$J$2:$J$1001,$B$3,Model!$L$2:$L$1001,$B$4,Model!$B$2:$B$1001,$AC106)</f>
        <v>34509</v>
      </c>
      <c r="AF106" s="56" t="n">
        <f aca="false">COUNTIFS(Model!$J$2:$J$1001,$B$3,Model!$L$2:$L$1001,$B$4,Model!$B$2:$B$1001,$AC106)</f>
        <v>8</v>
      </c>
      <c r="AG106" s="57" t="n">
        <f aca="false">$AE106+ROW()/1000000</f>
        <v>34509.000106</v>
      </c>
      <c r="AH106" s="46"/>
      <c r="AI106" s="46"/>
      <c r="AJ106" s="46"/>
      <c r="AK106" s="46"/>
      <c r="AL106" s="46"/>
      <c r="AM106" s="46"/>
    </row>
    <row r="107" customFormat="false" ht="15" hidden="false" customHeight="false" outlineLevel="0" collapsed="false">
      <c r="A107" s="49" t="s">
        <v>393</v>
      </c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2" t="s">
        <v>394</v>
      </c>
      <c r="U107" s="56" t="n">
        <f aca="false">COUNTIFS(Model!$J$2:$J$1001,$B$3,Model!$L$2:$L$1001,$B$4,Model!$I$2:$I$1001,$T107)</f>
        <v>3</v>
      </c>
      <c r="V107" s="55" t="n">
        <f aca="false">SUMIFS(Model!$N$2:$N$1001,Model!$J$2:$J$1001,$B$3,Model!$L$2:$L$1001,$B$4,Model!$I$2:$I$1001,$T107)</f>
        <v>6723</v>
      </c>
      <c r="W107" s="58" t="n">
        <f aca="false">$U107+$V107/1000000000+ROW()/1000000000000</f>
        <v>3.000006723107</v>
      </c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</row>
    <row r="108" customFormat="false" ht="27.75" hidden="false" customHeight="true" outlineLevel="0" collapsed="false">
      <c r="A108" s="46"/>
      <c r="B108" s="63" t="s">
        <v>165</v>
      </c>
      <c r="C108" s="63" t="s">
        <v>168</v>
      </c>
      <c r="D108" s="63" t="s">
        <v>31</v>
      </c>
      <c r="E108" s="63" t="s">
        <v>32</v>
      </c>
      <c r="F108" s="63" t="s">
        <v>33</v>
      </c>
      <c r="G108" s="63" t="s">
        <v>40</v>
      </c>
      <c r="H108" s="63" t="s">
        <v>179</v>
      </c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2" t="s">
        <v>395</v>
      </c>
      <c r="U108" s="56" t="n">
        <f aca="false">COUNTIFS(Model!$J$2:$J$1001,$B$3,Model!$L$2:$L$1001,$B$4,Model!$I$2:$I$1001,$T108)</f>
        <v>4</v>
      </c>
      <c r="V108" s="55" t="n">
        <f aca="false">SUMIFS(Model!$N$2:$N$1001,Model!$J$2:$J$1001,$B$3,Model!$L$2:$L$1001,$B$4,Model!$I$2:$I$1001,$T108)</f>
        <v>12613</v>
      </c>
      <c r="W108" s="58" t="n">
        <f aca="false">$U108+$V108/1000000000+ROW()/1000000000000</f>
        <v>4.000012613108</v>
      </c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</row>
    <row r="109" customFormat="false" ht="15" hidden="false" customHeight="false" outlineLevel="0" collapsed="false">
      <c r="A109" s="64" t="s">
        <v>36</v>
      </c>
      <c r="B109" s="55" t="n">
        <f aca="false">SUMIFS(Model!$N$2:$N$1001,Model!$L$2:$L$1001,$A109,Model!$J$2:$J$1001,B$108,Model!$J$2:$J$1001,$B$3,Model!$L$2:$L$1001,$B$4)</f>
        <v>0</v>
      </c>
      <c r="C109" s="55" t="n">
        <f aca="false">SUMIFS(Model!$N$2:$N$1001,Model!$L$2:$L$1001,$A109,Model!$J$2:$J$1001,C$108,Model!$J$2:$J$1001,$B$3,Model!$L$2:$L$1001,$B$4)</f>
        <v>87176</v>
      </c>
      <c r="D109" s="55" t="n">
        <f aca="false">SUMIFS(Model!$N$2:$N$1001,Model!$L$2:$L$1001,$A109,Model!$J$2:$J$1001,D$108,Model!$J$2:$J$1001,$B$3,Model!$L$2:$L$1001,$B$4)</f>
        <v>30289</v>
      </c>
      <c r="E109" s="55" t="n">
        <f aca="false">SUMIFS(Model!$N$2:$N$1001,Model!$L$2:$L$1001,$A109,Model!$J$2:$J$1001,E$108,Model!$J$2:$J$1001,$B$3,Model!$L$2:$L$1001,$B$4)</f>
        <v>0</v>
      </c>
      <c r="F109" s="55" t="n">
        <f aca="false">SUMIFS(Model!$N$2:$N$1001,Model!$L$2:$L$1001,$A109,Model!$J$2:$J$1001,F$108,Model!$J$2:$J$1001,$B$3,Model!$L$2:$L$1001,$B$4)</f>
        <v>91642</v>
      </c>
      <c r="G109" s="55" t="n">
        <f aca="false">SUMIFS(Model!$N$2:$N$1001,Model!$L$2:$L$1001,$A109,Model!$J$2:$J$1001,G$108,Model!$J$2:$J$1001,$B$3,Model!$L$2:$L$1001,$B$4)</f>
        <v>53615</v>
      </c>
      <c r="H109" s="55" t="n">
        <f aca="false">SUMIFS(Model!$N$2:$N$1001,Model!$L$2:$L$1001,$A109,Model!$J$2:$J$1001,H$108,Model!$J$2:$J$1001,$B$3,Model!$L$2:$L$1001,$B$4)</f>
        <v>67140</v>
      </c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2" t="s">
        <v>396</v>
      </c>
      <c r="U109" s="56" t="n">
        <f aca="false">COUNTIFS(Model!$J$2:$J$1001,$B$3,Model!$L$2:$L$1001,$B$4,Model!$I$2:$I$1001,$T109)</f>
        <v>2</v>
      </c>
      <c r="V109" s="55" t="n">
        <f aca="false">SUMIFS(Model!$N$2:$N$1001,Model!$J$2:$J$1001,$B$3,Model!$L$2:$L$1001,$B$4,Model!$I$2:$I$1001,$T109)</f>
        <v>12350</v>
      </c>
      <c r="W109" s="58" t="n">
        <f aca="false">$U109+$V109/1000000000+ROW()/1000000000000</f>
        <v>2.000012350109</v>
      </c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</row>
    <row r="110" customFormat="false" ht="15" hidden="false" customHeight="false" outlineLevel="0" collapsed="false">
      <c r="A110" s="64" t="s">
        <v>37</v>
      </c>
      <c r="B110" s="55" t="n">
        <f aca="false">SUMIFS(Model!$N$2:$N$1001,Model!$L$2:$L$1001,$A110,Model!$J$2:$J$1001,B$108,Model!$J$2:$J$1001,$B$3,Model!$L$2:$L$1001,$B$4)</f>
        <v>105732</v>
      </c>
      <c r="C110" s="55" t="n">
        <f aca="false">SUMIFS(Model!$N$2:$N$1001,Model!$L$2:$L$1001,$A110,Model!$J$2:$J$1001,C$108,Model!$J$2:$J$1001,$B$3,Model!$L$2:$L$1001,$B$4)</f>
        <v>53954</v>
      </c>
      <c r="D110" s="55" t="n">
        <f aca="false">SUMIFS(Model!$N$2:$N$1001,Model!$L$2:$L$1001,$A110,Model!$J$2:$J$1001,D$108,Model!$J$2:$J$1001,$B$3,Model!$L$2:$L$1001,$B$4)</f>
        <v>157781</v>
      </c>
      <c r="E110" s="55" t="n">
        <f aca="false">SUMIFS(Model!$N$2:$N$1001,Model!$L$2:$L$1001,$A110,Model!$J$2:$J$1001,E$108,Model!$J$2:$J$1001,$B$3,Model!$L$2:$L$1001,$B$4)</f>
        <v>58253</v>
      </c>
      <c r="F110" s="55" t="n">
        <f aca="false">SUMIFS(Model!$N$2:$N$1001,Model!$L$2:$L$1001,$A110,Model!$J$2:$J$1001,F$108,Model!$J$2:$J$1001,$B$3,Model!$L$2:$L$1001,$B$4)</f>
        <v>320798</v>
      </c>
      <c r="G110" s="55" t="n">
        <f aca="false">SUMIFS(Model!$N$2:$N$1001,Model!$L$2:$L$1001,$A110,Model!$J$2:$J$1001,G$108,Model!$J$2:$J$1001,$B$3,Model!$L$2:$L$1001,$B$4)</f>
        <v>158564</v>
      </c>
      <c r="H110" s="55" t="n">
        <f aca="false">SUMIFS(Model!$N$2:$N$1001,Model!$L$2:$L$1001,$A110,Model!$J$2:$J$1001,H$108,Model!$J$2:$J$1001,$B$3,Model!$L$2:$L$1001,$B$4)</f>
        <v>150563</v>
      </c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2" t="s">
        <v>397</v>
      </c>
      <c r="U110" s="56" t="n">
        <f aca="false">COUNTIFS(Model!$J$2:$J$1001,$B$3,Model!$L$2:$L$1001,$B$4,Model!$I$2:$I$1001,$T110)</f>
        <v>4</v>
      </c>
      <c r="V110" s="55" t="n">
        <f aca="false">SUMIFS(Model!$N$2:$N$1001,Model!$J$2:$J$1001,$B$3,Model!$L$2:$L$1001,$B$4,Model!$I$2:$I$1001,$T110)</f>
        <v>9433</v>
      </c>
      <c r="W110" s="58" t="n">
        <f aca="false">$U110+$V110/1000000000+ROW()/1000000000000</f>
        <v>4.00000943311</v>
      </c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</row>
    <row r="111" customFormat="false" ht="15" hidden="false" customHeight="false" outlineLevel="0" collapsed="false">
      <c r="A111" s="64" t="s">
        <v>38</v>
      </c>
      <c r="B111" s="55" t="n">
        <f aca="false">SUMIFS(Model!$N$2:$N$1001,Model!$L$2:$L$1001,$A111,Model!$J$2:$J$1001,B$108,Model!$J$2:$J$1001,$B$3,Model!$L$2:$L$1001,$B$4)</f>
        <v>11610</v>
      </c>
      <c r="C111" s="55" t="n">
        <f aca="false">SUMIFS(Model!$N$2:$N$1001,Model!$L$2:$L$1001,$A111,Model!$J$2:$J$1001,C$108,Model!$J$2:$J$1001,$B$3,Model!$L$2:$L$1001,$B$4)</f>
        <v>0</v>
      </c>
      <c r="D111" s="55" t="n">
        <f aca="false">SUMIFS(Model!$N$2:$N$1001,Model!$L$2:$L$1001,$A111,Model!$J$2:$J$1001,D$108,Model!$J$2:$J$1001,$B$3,Model!$L$2:$L$1001,$B$4)</f>
        <v>38520</v>
      </c>
      <c r="E111" s="55" t="n">
        <f aca="false">SUMIFS(Model!$N$2:$N$1001,Model!$L$2:$L$1001,$A111,Model!$J$2:$J$1001,E$108,Model!$J$2:$J$1001,$B$3,Model!$L$2:$L$1001,$B$4)</f>
        <v>0</v>
      </c>
      <c r="F111" s="55" t="n">
        <f aca="false">SUMIFS(Model!$N$2:$N$1001,Model!$L$2:$L$1001,$A111,Model!$J$2:$J$1001,F$108,Model!$J$2:$J$1001,$B$3,Model!$L$2:$L$1001,$B$4)</f>
        <v>69601</v>
      </c>
      <c r="G111" s="55" t="n">
        <f aca="false">SUMIFS(Model!$N$2:$N$1001,Model!$L$2:$L$1001,$A111,Model!$J$2:$J$1001,G$108,Model!$J$2:$J$1001,$B$3,Model!$L$2:$L$1001,$B$4)</f>
        <v>0</v>
      </c>
      <c r="H111" s="55" t="n">
        <f aca="false">SUMIFS(Model!$N$2:$N$1001,Model!$L$2:$L$1001,$A111,Model!$J$2:$J$1001,H$108,Model!$J$2:$J$1001,$B$3,Model!$L$2:$L$1001,$B$4)</f>
        <v>81420</v>
      </c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2" t="s">
        <v>398</v>
      </c>
      <c r="U111" s="56" t="n">
        <f aca="false">COUNTIFS(Model!$J$2:$J$1001,$B$3,Model!$L$2:$L$1001,$B$4,Model!$I$2:$I$1001,$T111)</f>
        <v>1</v>
      </c>
      <c r="V111" s="55" t="n">
        <f aca="false">SUMIFS(Model!$N$2:$N$1001,Model!$J$2:$J$1001,$B$3,Model!$L$2:$L$1001,$B$4,Model!$I$2:$I$1001,$T111)</f>
        <v>5685</v>
      </c>
      <c r="W111" s="58" t="n">
        <f aca="false">$U111+$V111/1000000000+ROW()/1000000000000</f>
        <v>1.000005685111</v>
      </c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</row>
    <row r="112" customFormat="false" ht="15" hidden="false" customHeight="false" outlineLevel="0" collapsed="false">
      <c r="A112" s="64" t="s">
        <v>39</v>
      </c>
      <c r="B112" s="55" t="n">
        <f aca="false">SUMIFS(Model!$N$2:$N$1001,Model!$L$2:$L$1001,$A112,Model!$J$2:$J$1001,B$108,Model!$J$2:$J$1001,$B$3,Model!$L$2:$L$1001,$B$4)</f>
        <v>0</v>
      </c>
      <c r="C112" s="55" t="n">
        <f aca="false">SUMIFS(Model!$N$2:$N$1001,Model!$L$2:$L$1001,$A112,Model!$J$2:$J$1001,C$108,Model!$J$2:$J$1001,$B$3,Model!$L$2:$L$1001,$B$4)</f>
        <v>116936</v>
      </c>
      <c r="D112" s="55" t="n">
        <f aca="false">SUMIFS(Model!$N$2:$N$1001,Model!$L$2:$L$1001,$A112,Model!$J$2:$J$1001,D$108,Model!$J$2:$J$1001,$B$3,Model!$L$2:$L$1001,$B$4)</f>
        <v>34268</v>
      </c>
      <c r="E112" s="55" t="n">
        <f aca="false">SUMIFS(Model!$N$2:$N$1001,Model!$L$2:$L$1001,$A112,Model!$J$2:$J$1001,E$108,Model!$J$2:$J$1001,$B$3,Model!$L$2:$L$1001,$B$4)</f>
        <v>34936</v>
      </c>
      <c r="F112" s="55" t="n">
        <f aca="false">SUMIFS(Model!$N$2:$N$1001,Model!$L$2:$L$1001,$A112,Model!$J$2:$J$1001,F$108,Model!$J$2:$J$1001,$B$3,Model!$L$2:$L$1001,$B$4)</f>
        <v>16880</v>
      </c>
      <c r="G112" s="55" t="n">
        <f aca="false">SUMIFS(Model!$N$2:$N$1001,Model!$L$2:$L$1001,$A112,Model!$J$2:$J$1001,G$108,Model!$J$2:$J$1001,$B$3,Model!$L$2:$L$1001,$B$4)</f>
        <v>0</v>
      </c>
      <c r="H112" s="55" t="n">
        <f aca="false">SUMIFS(Model!$N$2:$N$1001,Model!$L$2:$L$1001,$A112,Model!$J$2:$J$1001,H$108,Model!$J$2:$J$1001,$B$3,Model!$L$2:$L$1001,$B$4)</f>
        <v>9261</v>
      </c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2" t="s">
        <v>399</v>
      </c>
      <c r="U112" s="56" t="n">
        <f aca="false">COUNTIFS(Model!$J$2:$J$1001,$B$3,Model!$L$2:$L$1001,$B$4,Model!$I$2:$I$1001,$T112)</f>
        <v>2</v>
      </c>
      <c r="V112" s="55" t="n">
        <f aca="false">SUMIFS(Model!$N$2:$N$1001,Model!$J$2:$J$1001,$B$3,Model!$L$2:$L$1001,$B$4,Model!$I$2:$I$1001,$T112)</f>
        <v>6502</v>
      </c>
      <c r="W112" s="58" t="n">
        <f aca="false">$U112+$V112/1000000000+ROW()/1000000000000</f>
        <v>2.000006502112</v>
      </c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</row>
    <row r="113" customFormat="false" ht="15" hidden="false" customHeight="false" outlineLevel="0" collapsed="false">
      <c r="A113" s="64" t="s">
        <v>40</v>
      </c>
      <c r="B113" s="55" t="n">
        <f aca="false">SUMIFS(Model!$N$2:$N$1001,Model!$L$2:$L$1001,$A113,Model!$J$2:$J$1001,B$108,Model!$J$2:$J$1001,$B$3,Model!$L$2:$L$1001,$B$4)</f>
        <v>60640</v>
      </c>
      <c r="C113" s="55" t="n">
        <f aca="false">SUMIFS(Model!$N$2:$N$1001,Model!$L$2:$L$1001,$A113,Model!$J$2:$J$1001,C$108,Model!$J$2:$J$1001,$B$3,Model!$L$2:$L$1001,$B$4)</f>
        <v>156384</v>
      </c>
      <c r="D113" s="55" t="n">
        <f aca="false">SUMIFS(Model!$N$2:$N$1001,Model!$L$2:$L$1001,$A113,Model!$J$2:$J$1001,D$108,Model!$J$2:$J$1001,$B$3,Model!$L$2:$L$1001,$B$4)</f>
        <v>30324</v>
      </c>
      <c r="E113" s="55" t="n">
        <f aca="false">SUMIFS(Model!$N$2:$N$1001,Model!$L$2:$L$1001,$A113,Model!$J$2:$J$1001,E$108,Model!$J$2:$J$1001,$B$3,Model!$L$2:$L$1001,$B$4)</f>
        <v>42000</v>
      </c>
      <c r="F113" s="55" t="n">
        <f aca="false">SUMIFS(Model!$N$2:$N$1001,Model!$L$2:$L$1001,$A113,Model!$J$2:$J$1001,F$108,Model!$J$2:$J$1001,$B$3,Model!$L$2:$L$1001,$B$4)</f>
        <v>0</v>
      </c>
      <c r="G113" s="55" t="n">
        <f aca="false">SUMIFS(Model!$N$2:$N$1001,Model!$L$2:$L$1001,$A113,Model!$J$2:$J$1001,G$108,Model!$J$2:$J$1001,$B$3,Model!$L$2:$L$1001,$B$4)</f>
        <v>0</v>
      </c>
      <c r="H113" s="55" t="n">
        <f aca="false">SUMIFS(Model!$N$2:$N$1001,Model!$L$2:$L$1001,$A113,Model!$J$2:$J$1001,H$108,Model!$J$2:$J$1001,$B$3,Model!$L$2:$L$1001,$B$4)</f>
        <v>8024</v>
      </c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2" t="s">
        <v>400</v>
      </c>
      <c r="U113" s="56" t="n">
        <f aca="false">COUNTIFS(Model!$J$2:$J$1001,$B$3,Model!$L$2:$L$1001,$B$4,Model!$I$2:$I$1001,$T113)</f>
        <v>2</v>
      </c>
      <c r="V113" s="55" t="n">
        <f aca="false">SUMIFS(Model!$N$2:$N$1001,Model!$J$2:$J$1001,$B$3,Model!$L$2:$L$1001,$B$4,Model!$I$2:$I$1001,$T113)</f>
        <v>8860</v>
      </c>
      <c r="W113" s="58" t="n">
        <f aca="false">$U113+$V113/1000000000+ROW()/1000000000000</f>
        <v>2.000008860113</v>
      </c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</row>
    <row r="114" customFormat="false" ht="15" hidden="false" customHeight="false" outlineLevel="0" collapsed="false">
      <c r="A114" s="64" t="s">
        <v>41</v>
      </c>
      <c r="B114" s="55" t="n">
        <f aca="false">SUMIFS(Model!$N$2:$N$1001,Model!$L$2:$L$1001,$A114,Model!$J$2:$J$1001,B$108,Model!$J$2:$J$1001,$B$3,Model!$L$2:$L$1001,$B$4)</f>
        <v>286898</v>
      </c>
      <c r="C114" s="55" t="n">
        <f aca="false">SUMIFS(Model!$N$2:$N$1001,Model!$L$2:$L$1001,$A114,Model!$J$2:$J$1001,C$108,Model!$J$2:$J$1001,$B$3,Model!$L$2:$L$1001,$B$4)</f>
        <v>75960</v>
      </c>
      <c r="D114" s="55" t="n">
        <f aca="false">SUMIFS(Model!$N$2:$N$1001,Model!$L$2:$L$1001,$A114,Model!$J$2:$J$1001,D$108,Model!$J$2:$J$1001,$B$3,Model!$L$2:$L$1001,$B$4)</f>
        <v>80640</v>
      </c>
      <c r="E114" s="55" t="n">
        <f aca="false">SUMIFS(Model!$N$2:$N$1001,Model!$L$2:$L$1001,$A114,Model!$J$2:$J$1001,E$108,Model!$J$2:$J$1001,$B$3,Model!$L$2:$L$1001,$B$4)</f>
        <v>0</v>
      </c>
      <c r="F114" s="55" t="n">
        <f aca="false">SUMIFS(Model!$N$2:$N$1001,Model!$L$2:$L$1001,$A114,Model!$J$2:$J$1001,F$108,Model!$J$2:$J$1001,$B$3,Model!$L$2:$L$1001,$B$4)</f>
        <v>24131</v>
      </c>
      <c r="G114" s="55" t="n">
        <f aca="false">SUMIFS(Model!$N$2:$N$1001,Model!$L$2:$L$1001,$A114,Model!$J$2:$J$1001,G$108,Model!$J$2:$J$1001,$B$3,Model!$L$2:$L$1001,$B$4)</f>
        <v>257680</v>
      </c>
      <c r="H114" s="55" t="n">
        <f aca="false">SUMIFS(Model!$N$2:$N$1001,Model!$L$2:$L$1001,$A114,Model!$J$2:$J$1001,H$108,Model!$J$2:$J$1001,$B$3,Model!$L$2:$L$1001,$B$4)</f>
        <v>15522</v>
      </c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2" t="s">
        <v>401</v>
      </c>
      <c r="U114" s="56" t="n">
        <f aca="false">COUNTIFS(Model!$J$2:$J$1001,$B$3,Model!$L$2:$L$1001,$B$4,Model!$I$2:$I$1001,$T114)</f>
        <v>5</v>
      </c>
      <c r="V114" s="55" t="n">
        <f aca="false">SUMIFS(Model!$N$2:$N$1001,Model!$J$2:$J$1001,$B$3,Model!$L$2:$L$1001,$B$4,Model!$I$2:$I$1001,$T114)</f>
        <v>24364</v>
      </c>
      <c r="W114" s="58" t="n">
        <f aca="false">$U114+$V114/1000000000+ROW()/1000000000000</f>
        <v>5.000024364114</v>
      </c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</row>
    <row r="115" customFormat="false" ht="15" hidden="false" customHeight="false" outlineLevel="0" collapsed="false">
      <c r="A115" s="64" t="s">
        <v>42</v>
      </c>
      <c r="B115" s="55" t="n">
        <f aca="false">SUMIFS(Model!$N$2:$N$1001,Model!$L$2:$L$1001,$A115,Model!$J$2:$J$1001,B$108,Model!$J$2:$J$1001,$B$3,Model!$L$2:$L$1001,$B$4)</f>
        <v>121296</v>
      </c>
      <c r="C115" s="55" t="n">
        <f aca="false">SUMIFS(Model!$N$2:$N$1001,Model!$L$2:$L$1001,$A115,Model!$J$2:$J$1001,C$108,Model!$J$2:$J$1001,$B$3,Model!$L$2:$L$1001,$B$4)</f>
        <v>184224</v>
      </c>
      <c r="D115" s="55" t="n">
        <f aca="false">SUMIFS(Model!$N$2:$N$1001,Model!$L$2:$L$1001,$A115,Model!$J$2:$J$1001,D$108,Model!$J$2:$J$1001,$B$3,Model!$L$2:$L$1001,$B$4)</f>
        <v>36372</v>
      </c>
      <c r="E115" s="55" t="n">
        <f aca="false">SUMIFS(Model!$N$2:$N$1001,Model!$L$2:$L$1001,$A115,Model!$J$2:$J$1001,E$108,Model!$J$2:$J$1001,$B$3,Model!$L$2:$L$1001,$B$4)</f>
        <v>178594</v>
      </c>
      <c r="F115" s="55" t="n">
        <f aca="false">SUMIFS(Model!$N$2:$N$1001,Model!$L$2:$L$1001,$A115,Model!$J$2:$J$1001,F$108,Model!$J$2:$J$1001,$B$3,Model!$L$2:$L$1001,$B$4)</f>
        <v>51630</v>
      </c>
      <c r="G115" s="55" t="n">
        <f aca="false">SUMIFS(Model!$N$2:$N$1001,Model!$L$2:$L$1001,$A115,Model!$J$2:$J$1001,G$108,Model!$J$2:$J$1001,$B$3,Model!$L$2:$L$1001,$B$4)</f>
        <v>161726</v>
      </c>
      <c r="H115" s="55" t="n">
        <f aca="false">SUMIFS(Model!$N$2:$N$1001,Model!$L$2:$L$1001,$A115,Model!$J$2:$J$1001,H$108,Model!$J$2:$J$1001,$B$3,Model!$L$2:$L$1001,$B$4)</f>
        <v>0</v>
      </c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2" t="s">
        <v>402</v>
      </c>
      <c r="U115" s="56" t="n">
        <f aca="false">COUNTIFS(Model!$J$2:$J$1001,$B$3,Model!$L$2:$L$1001,$B$4,Model!$I$2:$I$1001,$T115)</f>
        <v>4</v>
      </c>
      <c r="V115" s="55" t="n">
        <f aca="false">SUMIFS(Model!$N$2:$N$1001,Model!$J$2:$J$1001,$B$3,Model!$L$2:$L$1001,$B$4,Model!$I$2:$I$1001,$T115)</f>
        <v>10461</v>
      </c>
      <c r="W115" s="58" t="n">
        <f aca="false">$U115+$V115/1000000000+ROW()/1000000000000</f>
        <v>4.000010461115</v>
      </c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</row>
    <row r="116" customFormat="false" ht="15" hidden="false" customHeight="false" outlineLevel="0" collapsed="false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2" t="s">
        <v>403</v>
      </c>
      <c r="U116" s="56" t="n">
        <f aca="false">COUNTIFS(Model!$J$2:$J$1001,$B$3,Model!$L$2:$L$1001,$B$4,Model!$I$2:$I$1001,$T116)</f>
        <v>4</v>
      </c>
      <c r="V116" s="55" t="n">
        <f aca="false">SUMIFS(Model!$N$2:$N$1001,Model!$J$2:$J$1001,$B$3,Model!$L$2:$L$1001,$B$4,Model!$I$2:$I$1001,$T116)</f>
        <v>10895</v>
      </c>
      <c r="W116" s="58" t="n">
        <f aca="false">$U116+$V116/1000000000+ROW()/1000000000000</f>
        <v>4.000010895116</v>
      </c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</row>
    <row r="117" customFormat="false" ht="15" hidden="false" customHeight="false" outlineLevel="0" collapsed="false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2" t="s">
        <v>404</v>
      </c>
      <c r="U117" s="56" t="n">
        <f aca="false">COUNTIFS(Model!$J$2:$J$1001,$B$3,Model!$L$2:$L$1001,$B$4,Model!$I$2:$I$1001,$T117)</f>
        <v>4</v>
      </c>
      <c r="V117" s="55" t="n">
        <f aca="false">SUMIFS(Model!$N$2:$N$1001,Model!$J$2:$J$1001,$B$3,Model!$L$2:$L$1001,$B$4,Model!$I$2:$I$1001,$T117)</f>
        <v>9998</v>
      </c>
      <c r="W117" s="58" t="n">
        <f aca="false">$U117+$V117/1000000000+ROW()/1000000000000</f>
        <v>4.000009998117</v>
      </c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</row>
    <row r="118" customFormat="false" ht="15" hidden="false" customHeight="false" outlineLevel="0" collapsed="false">
      <c r="A118" s="49" t="s">
        <v>405</v>
      </c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2" t="s">
        <v>406</v>
      </c>
      <c r="U118" s="56" t="n">
        <f aca="false">COUNTIFS(Model!$J$2:$J$1001,$B$3,Model!$L$2:$L$1001,$B$4,Model!$I$2:$I$1001,$T118)</f>
        <v>1</v>
      </c>
      <c r="V118" s="55" t="n">
        <f aca="false">SUMIFS(Model!$N$2:$N$1001,Model!$J$2:$J$1001,$B$3,Model!$L$2:$L$1001,$B$4,Model!$I$2:$I$1001,$T118)</f>
        <v>5634</v>
      </c>
      <c r="W118" s="58" t="n">
        <f aca="false">$U118+$V118/1000000000+ROW()/1000000000000</f>
        <v>1.000005634118</v>
      </c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</row>
    <row r="119" customFormat="false" ht="15" hidden="false" customHeight="false" outlineLevel="0" collapsed="false">
      <c r="A119" s="65" t="s">
        <v>407</v>
      </c>
      <c r="B119" s="66" t="n">
        <f aca="false">SUM($C$7:$C$18)</f>
        <v>3520984</v>
      </c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2" t="s">
        <v>408</v>
      </c>
      <c r="U119" s="56" t="n">
        <f aca="false">COUNTIFS(Model!$J$2:$J$1001,$B$3,Model!$L$2:$L$1001,$B$4,Model!$I$2:$I$1001,$T119)</f>
        <v>7</v>
      </c>
      <c r="V119" s="55" t="n">
        <f aca="false">SUMIFS(Model!$N$2:$N$1001,Model!$J$2:$J$1001,$B$3,Model!$L$2:$L$1001,$B$4,Model!$I$2:$I$1001,$T119)</f>
        <v>34167</v>
      </c>
      <c r="W119" s="58" t="n">
        <f aca="false">$U119+$V119/1000000000+ROW()/1000000000000</f>
        <v>7.000034167119</v>
      </c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</row>
    <row r="120" customFormat="false" ht="15" hidden="false" customHeight="false" outlineLevel="0" collapsed="false">
      <c r="A120" s="46" t="s">
        <v>409</v>
      </c>
      <c r="B120" s="67" t="n">
        <f aca="false">SUM($D$7:$D$18)</f>
        <v>1000</v>
      </c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2" t="s">
        <v>410</v>
      </c>
      <c r="U120" s="56" t="n">
        <f aca="false">COUNTIFS(Model!$J$2:$J$1001,$B$3,Model!$L$2:$L$1001,$B$4,Model!$I$2:$I$1001,$T120)</f>
        <v>3</v>
      </c>
      <c r="V120" s="55" t="n">
        <f aca="false">SUMIFS(Model!$N$2:$N$1001,Model!$J$2:$J$1001,$B$3,Model!$L$2:$L$1001,$B$4,Model!$I$2:$I$1001,$T120)</f>
        <v>5838</v>
      </c>
      <c r="W120" s="58" t="n">
        <f aca="false">$U120+$V120/1000000000+ROW()/1000000000000</f>
        <v>3.00000583812</v>
      </c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</row>
    <row r="121" customFormat="false" ht="15" hidden="false" customHeight="false" outlineLevel="0" collapsed="false">
      <c r="A121" s="46" t="s">
        <v>411</v>
      </c>
      <c r="B121" s="67" t="n">
        <f aca="false">SUM($D$22:$D$28)</f>
        <v>3045</v>
      </c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2" t="s">
        <v>412</v>
      </c>
      <c r="U121" s="56" t="n">
        <f aca="false">COUNTIFS(Model!$J$2:$J$1001,$B$3,Model!$L$2:$L$1001,$B$4,Model!$I$2:$I$1001,$T121)</f>
        <v>4</v>
      </c>
      <c r="V121" s="55" t="n">
        <f aca="false">SUMIFS(Model!$N$2:$N$1001,Model!$J$2:$J$1001,$B$3,Model!$L$2:$L$1001,$B$4,Model!$I$2:$I$1001,$T121)</f>
        <v>21085</v>
      </c>
      <c r="W121" s="58" t="n">
        <f aca="false">$U121+$V121/1000000000+ROW()/1000000000000</f>
        <v>4.000021085121</v>
      </c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</row>
    <row r="122" customFormat="false" ht="15" hidden="false" customHeight="false" outlineLevel="0" collapsed="false">
      <c r="A122" s="46" t="s">
        <v>413</v>
      </c>
      <c r="B122" s="68" t="n">
        <f aca="false">IFERROR($B$119/$B$120,0)</f>
        <v>3520.984</v>
      </c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2" t="s">
        <v>414</v>
      </c>
      <c r="U122" s="56" t="n">
        <f aca="false">COUNTIFS(Model!$J$2:$J$1001,$B$3,Model!$L$2:$L$1001,$B$4,Model!$I$2:$I$1001,$T122)</f>
        <v>4</v>
      </c>
      <c r="V122" s="55" t="n">
        <f aca="false">SUMIFS(Model!$N$2:$N$1001,Model!$J$2:$J$1001,$B$3,Model!$L$2:$L$1001,$B$4,Model!$I$2:$I$1001,$T122)</f>
        <v>10087</v>
      </c>
      <c r="W122" s="58" t="n">
        <f aca="false">$U122+$V122/1000000000+ROW()/1000000000000</f>
        <v>4.000010087122</v>
      </c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</row>
    <row r="123" customFormat="false" ht="15" hidden="false" customHeight="false" outlineLevel="0" collapsed="false">
      <c r="A123" s="46" t="s">
        <v>415</v>
      </c>
      <c r="B123" s="69" t="n">
        <f aca="false">IFERROR(AVERAGEIFS(Model!$W$2:$W$1001,Model!$J$2:$J$1001,$B$3,Model!$L$2:$L$1001,$B$4),0)</f>
        <v>5.50158673611111</v>
      </c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2" t="s">
        <v>416</v>
      </c>
      <c r="U123" s="56" t="n">
        <f aca="false">COUNTIFS(Model!$J$2:$J$1001,$B$3,Model!$L$2:$L$1001,$B$4,Model!$I$2:$I$1001,$T123)</f>
        <v>4</v>
      </c>
      <c r="V123" s="55" t="n">
        <f aca="false">SUMIFS(Model!$N$2:$N$1001,Model!$J$2:$J$1001,$B$3,Model!$L$2:$L$1001,$B$4,Model!$I$2:$I$1001,$T123)</f>
        <v>7804</v>
      </c>
      <c r="W123" s="58" t="n">
        <f aca="false">$U123+$V123/1000000000+ROW()/1000000000000</f>
        <v>4.000007804123</v>
      </c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</row>
    <row r="124" customFormat="false" ht="15" hidden="false" customHeight="false" outlineLevel="0" collapsed="false">
      <c r="A124" s="46" t="s">
        <v>417</v>
      </c>
      <c r="B124" s="70" t="n">
        <f aca="false">IFERROR(COUNTIFS(Model!$J$2:$J$1001,$B$3,Model!$L$2:$L$1001,$B$4,Model!$W$2:$W$1001,"&lt;=7")/$B$120,0)</f>
        <v>0.637</v>
      </c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2" t="s">
        <v>418</v>
      </c>
      <c r="U124" s="56" t="n">
        <f aca="false">COUNTIFS(Model!$J$2:$J$1001,$B$3,Model!$L$2:$L$1001,$B$4,Model!$I$2:$I$1001,$T124)</f>
        <v>4</v>
      </c>
      <c r="V124" s="55" t="n">
        <f aca="false">SUMIFS(Model!$N$2:$N$1001,Model!$J$2:$J$1001,$B$3,Model!$L$2:$L$1001,$B$4,Model!$I$2:$I$1001,$T124)</f>
        <v>8558</v>
      </c>
      <c r="W124" s="58" t="n">
        <f aca="false">$U124+$V124/1000000000+ROW()/1000000000000</f>
        <v>4.000008558124</v>
      </c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</row>
    <row r="125" customFormat="false" ht="15" hidden="false" customHeight="false" outlineLevel="0" collapsed="false">
      <c r="A125" s="46" t="s">
        <v>419</v>
      </c>
      <c r="B125" s="67" t="n">
        <f aca="false">COUNTIF($AF$7:$AF$106,"&gt;0")</f>
        <v>100</v>
      </c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2" t="s">
        <v>420</v>
      </c>
      <c r="U125" s="56" t="n">
        <f aca="false">COUNTIFS(Model!$J$2:$J$1001,$B$3,Model!$L$2:$L$1001,$B$4,Model!$I$2:$I$1001,$T125)</f>
        <v>5</v>
      </c>
      <c r="V125" s="55" t="n">
        <f aca="false">SUMIFS(Model!$N$2:$N$1001,Model!$J$2:$J$1001,$B$3,Model!$L$2:$L$1001,$B$4,Model!$I$2:$I$1001,$T125)</f>
        <v>8868</v>
      </c>
      <c r="W125" s="58" t="n">
        <f aca="false">$U125+$V125/1000000000+ROW()/1000000000000</f>
        <v>5.000008868125</v>
      </c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</row>
    <row r="126" customFormat="false" ht="15" hidden="false" customHeight="false" outlineLevel="0" collapsed="false">
      <c r="A126" s="46" t="s">
        <v>421</v>
      </c>
      <c r="B126" s="67" t="n">
        <f aca="false">COUNTIF($U$7:$U$307,"&gt;0")</f>
        <v>301</v>
      </c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2" t="s">
        <v>422</v>
      </c>
      <c r="U126" s="56" t="n">
        <f aca="false">COUNTIFS(Model!$J$2:$J$1001,$B$3,Model!$L$2:$L$1001,$B$4,Model!$I$2:$I$1001,$T126)</f>
        <v>2</v>
      </c>
      <c r="V126" s="55" t="n">
        <f aca="false">SUMIFS(Model!$N$2:$N$1001,Model!$J$2:$J$1001,$B$3,Model!$L$2:$L$1001,$B$4,Model!$I$2:$I$1001,$T126)</f>
        <v>7396</v>
      </c>
      <c r="W126" s="58" t="n">
        <f aca="false">$U126+$V126/1000000000+ROW()/1000000000000</f>
        <v>2.000007396126</v>
      </c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</row>
    <row r="127" customFormat="false" ht="15" hidden="false" customHeight="false" outlineLevel="0" collapsed="false">
      <c r="A127" s="46" t="s">
        <v>423</v>
      </c>
      <c r="B127" s="68" t="n">
        <f aca="false">IFERROR($B$119/$B$125,0)</f>
        <v>35209.84</v>
      </c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2" t="s">
        <v>424</v>
      </c>
      <c r="U127" s="56" t="n">
        <f aca="false">COUNTIFS(Model!$J$2:$J$1001,$B$3,Model!$L$2:$L$1001,$B$4,Model!$I$2:$I$1001,$T127)</f>
        <v>5</v>
      </c>
      <c r="V127" s="55" t="n">
        <f aca="false">SUMIFS(Model!$N$2:$N$1001,Model!$J$2:$J$1001,$B$3,Model!$L$2:$L$1001,$B$4,Model!$I$2:$I$1001,$T127)</f>
        <v>20689</v>
      </c>
      <c r="W127" s="58" t="n">
        <f aca="false">$U127+$V127/1000000000+ROW()/1000000000000</f>
        <v>5.000020689127</v>
      </c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</row>
    <row r="128" customFormat="false" ht="15" hidden="false" customHeight="false" outlineLevel="0" collapsed="false">
      <c r="A128" s="46" t="s">
        <v>425</v>
      </c>
      <c r="B128" s="64" t="str">
        <f aca="false">INDEX($A$7:$A$18,MATCH(MAX($C$7:$C$18),$C$7:$C$18,0))</f>
        <v>Aug</v>
      </c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2" t="s">
        <v>426</v>
      </c>
      <c r="U128" s="56" t="n">
        <f aca="false">COUNTIFS(Model!$J$2:$J$1001,$B$3,Model!$L$2:$L$1001,$B$4,Model!$I$2:$I$1001,$T128)</f>
        <v>1</v>
      </c>
      <c r="V128" s="55" t="n">
        <f aca="false">SUMIFS(Model!$N$2:$N$1001,Model!$J$2:$J$1001,$B$3,Model!$L$2:$L$1001,$B$4,Model!$I$2:$I$1001,$T128)</f>
        <v>903</v>
      </c>
      <c r="W128" s="58" t="n">
        <f aca="false">$U128+$V128/1000000000+ROW()/1000000000000</f>
        <v>1.000000903128</v>
      </c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</row>
    <row r="129" customFormat="false" ht="15" hidden="false" customHeight="false" outlineLevel="0" collapsed="false">
      <c r="A129" s="46" t="s">
        <v>427</v>
      </c>
      <c r="B129" s="68" t="n">
        <f aca="false">MAX($C$7:$C$18)</f>
        <v>737389</v>
      </c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2" t="s">
        <v>428</v>
      </c>
      <c r="U129" s="56" t="n">
        <f aca="false">COUNTIFS(Model!$J$2:$J$1001,$B$3,Model!$L$2:$L$1001,$B$4,Model!$I$2:$I$1001,$T129)</f>
        <v>3</v>
      </c>
      <c r="V129" s="55" t="n">
        <f aca="false">SUMIFS(Model!$N$2:$N$1001,Model!$J$2:$J$1001,$B$3,Model!$L$2:$L$1001,$B$4,Model!$I$2:$I$1001,$T129)</f>
        <v>7035</v>
      </c>
      <c r="W129" s="58" t="n">
        <f aca="false">$U129+$V129/1000000000+ROW()/1000000000000</f>
        <v>3.000007035129</v>
      </c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</row>
    <row r="130" customFormat="false" ht="15" hidden="false" customHeight="false" outlineLevel="0" collapsed="false">
      <c r="A130" s="46" t="s">
        <v>429</v>
      </c>
      <c r="B130" s="70" t="n">
        <f aca="false">IFERROR(SUMPRODUCT($G$7:$G$18,$C$7:$C$18)/$B$119,0)</f>
        <v>0.682448429189113</v>
      </c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2" t="s">
        <v>430</v>
      </c>
      <c r="U130" s="56" t="n">
        <f aca="false">COUNTIFS(Model!$J$2:$J$1001,$B$3,Model!$L$2:$L$1001,$B$4,Model!$I$2:$I$1001,$T130)</f>
        <v>5</v>
      </c>
      <c r="V130" s="55" t="n">
        <f aca="false">SUMIFS(Model!$N$2:$N$1001,Model!$J$2:$J$1001,$B$3,Model!$L$2:$L$1001,$B$4,Model!$I$2:$I$1001,$T130)</f>
        <v>13196</v>
      </c>
      <c r="W130" s="58" t="n">
        <f aca="false">$U130+$V130/1000000000+ROW()/1000000000000</f>
        <v>5.00001319613</v>
      </c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</row>
    <row r="131" customFormat="false" ht="15" hidden="false" customHeight="false" outlineLevel="0" collapsed="false">
      <c r="A131" s="46" t="s">
        <v>431</v>
      </c>
      <c r="B131" s="68" t="n">
        <f aca="false">IFERROR(SUMPRODUCT($G$7:$G$18,$C$7:$C$18)/SUM($G$7:$G$18),0)</f>
        <v>600722.5</v>
      </c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2" t="s">
        <v>432</v>
      </c>
      <c r="U131" s="56" t="n">
        <f aca="false">COUNTIFS(Model!$J$2:$J$1001,$B$3,Model!$L$2:$L$1001,$B$4,Model!$I$2:$I$1001,$T131)</f>
        <v>2</v>
      </c>
      <c r="V131" s="55" t="n">
        <f aca="false">SUMIFS(Model!$N$2:$N$1001,Model!$J$2:$J$1001,$B$3,Model!$L$2:$L$1001,$B$4,Model!$I$2:$I$1001,$T131)</f>
        <v>9132</v>
      </c>
      <c r="W131" s="58" t="n">
        <f aca="false">$U131+$V131/1000000000+ROW()/1000000000000</f>
        <v>2.000009132131</v>
      </c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</row>
    <row r="132" customFormat="false" ht="15" hidden="false" customHeight="false" outlineLevel="0" collapsed="false">
      <c r="A132" s="46" t="s">
        <v>433</v>
      </c>
      <c r="B132" s="68" t="n">
        <f aca="false">IFERROR(($B$119-SUMPRODUCT($G$7:$G$18,$C$7:$C$18))/(12-SUM($G$7:$G$18)),0)</f>
        <v>139761.75</v>
      </c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2" t="s">
        <v>434</v>
      </c>
      <c r="U132" s="56" t="n">
        <f aca="false">COUNTIFS(Model!$J$2:$J$1001,$B$3,Model!$L$2:$L$1001,$B$4,Model!$I$2:$I$1001,$T132)</f>
        <v>6</v>
      </c>
      <c r="V132" s="55" t="n">
        <f aca="false">SUMIFS(Model!$N$2:$N$1001,Model!$J$2:$J$1001,$B$3,Model!$L$2:$L$1001,$B$4,Model!$I$2:$I$1001,$T132)</f>
        <v>20736</v>
      </c>
      <c r="W132" s="58" t="n">
        <f aca="false">$U132+$V132/1000000000+ROW()/1000000000000</f>
        <v>6.000020736132</v>
      </c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</row>
    <row r="133" customFormat="false" ht="15" hidden="false" customHeight="false" outlineLevel="0" collapsed="false">
      <c r="A133" s="46" t="s">
        <v>435</v>
      </c>
      <c r="B133" s="71" t="n">
        <f aca="false">IFERROR($B$131/$B$132,0)</f>
        <v>4.29818959765458</v>
      </c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2" t="s">
        <v>436</v>
      </c>
      <c r="U133" s="56" t="n">
        <f aca="false">COUNTIFS(Model!$J$2:$J$1001,$B$3,Model!$L$2:$L$1001,$B$4,Model!$I$2:$I$1001,$T133)</f>
        <v>3</v>
      </c>
      <c r="V133" s="55" t="n">
        <f aca="false">SUMIFS(Model!$N$2:$N$1001,Model!$J$2:$J$1001,$B$3,Model!$L$2:$L$1001,$B$4,Model!$I$2:$I$1001,$T133)</f>
        <v>17772</v>
      </c>
      <c r="W133" s="58" t="n">
        <f aca="false">$U133+$V133/1000000000+ROW()/1000000000000</f>
        <v>3.000017772133</v>
      </c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</row>
    <row r="134" customFormat="false" ht="15" hidden="false" customHeight="false" outlineLevel="0" collapsed="false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2" t="s">
        <v>437</v>
      </c>
      <c r="U134" s="56" t="n">
        <f aca="false">COUNTIFS(Model!$J$2:$J$1001,$B$3,Model!$L$2:$L$1001,$B$4,Model!$I$2:$I$1001,$T134)</f>
        <v>4</v>
      </c>
      <c r="V134" s="55" t="n">
        <f aca="false">SUMIFS(Model!$N$2:$N$1001,Model!$J$2:$J$1001,$B$3,Model!$L$2:$L$1001,$B$4,Model!$I$2:$I$1001,$T134)</f>
        <v>13813</v>
      </c>
      <c r="W134" s="58" t="n">
        <f aca="false">$U134+$V134/1000000000+ROW()/1000000000000</f>
        <v>4.000013813134</v>
      </c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</row>
    <row r="135" customFormat="false" ht="15" hidden="false" customHeight="false" outlineLevel="0" collapsed="false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2" t="s">
        <v>438</v>
      </c>
      <c r="U135" s="56" t="n">
        <f aca="false">COUNTIFS(Model!$J$2:$J$1001,$B$3,Model!$L$2:$L$1001,$B$4,Model!$I$2:$I$1001,$T135)</f>
        <v>3</v>
      </c>
      <c r="V135" s="55" t="n">
        <f aca="false">SUMIFS(Model!$N$2:$N$1001,Model!$J$2:$J$1001,$B$3,Model!$L$2:$L$1001,$B$4,Model!$I$2:$I$1001,$T135)</f>
        <v>8872</v>
      </c>
      <c r="W135" s="58" t="n">
        <f aca="false">$U135+$V135/1000000000+ROW()/1000000000000</f>
        <v>3.000008872135</v>
      </c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</row>
    <row r="136" customFormat="false" ht="15" hidden="false" customHeight="false" outlineLevel="0" collapsed="false">
      <c r="T136" s="72" t="s">
        <v>439</v>
      </c>
      <c r="U136" s="73" t="n">
        <f aca="false">COUNTIFS(Model!$J$2:$J$1001,$B$3,Model!$L$2:$L$1001,$B$4,Model!$I$2:$I$1001,$T136)</f>
        <v>2</v>
      </c>
      <c r="V136" s="74" t="n">
        <f aca="false">SUMIFS(Model!$N$2:$N$1001,Model!$J$2:$J$1001,$B$3,Model!$L$2:$L$1001,$B$4,Model!$I$2:$I$1001,$T136)</f>
        <v>4182</v>
      </c>
      <c r="W136" s="75" t="n">
        <f aca="false">$U136+$V136/1000000000+ROW()/1000000000000</f>
        <v>2.000004182136</v>
      </c>
    </row>
    <row r="137" customFormat="false" ht="15" hidden="false" customHeight="false" outlineLevel="0" collapsed="false">
      <c r="T137" s="72" t="s">
        <v>440</v>
      </c>
      <c r="U137" s="73" t="n">
        <f aca="false">COUNTIFS(Model!$J$2:$J$1001,$B$3,Model!$L$2:$L$1001,$B$4,Model!$I$2:$I$1001,$T137)</f>
        <v>3</v>
      </c>
      <c r="V137" s="74" t="n">
        <f aca="false">SUMIFS(Model!$N$2:$N$1001,Model!$J$2:$J$1001,$B$3,Model!$L$2:$L$1001,$B$4,Model!$I$2:$I$1001,$T137)</f>
        <v>7842</v>
      </c>
      <c r="W137" s="75" t="n">
        <f aca="false">$U137+$V137/1000000000+ROW()/1000000000000</f>
        <v>3.000007842137</v>
      </c>
    </row>
    <row r="138" customFormat="false" ht="15" hidden="false" customHeight="false" outlineLevel="0" collapsed="false">
      <c r="T138" s="72" t="s">
        <v>441</v>
      </c>
      <c r="U138" s="73" t="n">
        <f aca="false">COUNTIFS(Model!$J$2:$J$1001,$B$3,Model!$L$2:$L$1001,$B$4,Model!$I$2:$I$1001,$T138)</f>
        <v>2</v>
      </c>
      <c r="V138" s="74" t="n">
        <f aca="false">SUMIFS(Model!$N$2:$N$1001,Model!$J$2:$J$1001,$B$3,Model!$L$2:$L$1001,$B$4,Model!$I$2:$I$1001,$T138)</f>
        <v>9198</v>
      </c>
      <c r="W138" s="75" t="n">
        <f aca="false">$U138+$V138/1000000000+ROW()/1000000000000</f>
        <v>2.000009198138</v>
      </c>
    </row>
    <row r="139" customFormat="false" ht="15" hidden="false" customHeight="false" outlineLevel="0" collapsed="false">
      <c r="T139" s="72" t="s">
        <v>442</v>
      </c>
      <c r="U139" s="73" t="n">
        <f aca="false">COUNTIFS(Model!$J$2:$J$1001,$B$3,Model!$L$2:$L$1001,$B$4,Model!$I$2:$I$1001,$T139)</f>
        <v>3</v>
      </c>
      <c r="V139" s="74" t="n">
        <f aca="false">SUMIFS(Model!$N$2:$N$1001,Model!$J$2:$J$1001,$B$3,Model!$L$2:$L$1001,$B$4,Model!$I$2:$I$1001,$T139)</f>
        <v>15160</v>
      </c>
      <c r="W139" s="75" t="n">
        <f aca="false">$U139+$V139/1000000000+ROW()/1000000000000</f>
        <v>3.000015160139</v>
      </c>
    </row>
    <row r="140" customFormat="false" ht="15" hidden="false" customHeight="false" outlineLevel="0" collapsed="false">
      <c r="T140" s="72" t="s">
        <v>443</v>
      </c>
      <c r="U140" s="73" t="n">
        <f aca="false">COUNTIFS(Model!$J$2:$J$1001,$B$3,Model!$L$2:$L$1001,$B$4,Model!$I$2:$I$1001,$T140)</f>
        <v>4</v>
      </c>
      <c r="V140" s="74" t="n">
        <f aca="false">SUMIFS(Model!$N$2:$N$1001,Model!$J$2:$J$1001,$B$3,Model!$L$2:$L$1001,$B$4,Model!$I$2:$I$1001,$T140)</f>
        <v>14768</v>
      </c>
      <c r="W140" s="75" t="n">
        <f aca="false">$U140+$V140/1000000000+ROW()/1000000000000</f>
        <v>4.00001476814</v>
      </c>
    </row>
    <row r="141" customFormat="false" ht="15" hidden="false" customHeight="false" outlineLevel="0" collapsed="false">
      <c r="T141" s="72" t="s">
        <v>444</v>
      </c>
      <c r="U141" s="73" t="n">
        <f aca="false">COUNTIFS(Model!$J$2:$J$1001,$B$3,Model!$L$2:$L$1001,$B$4,Model!$I$2:$I$1001,$T141)</f>
        <v>1</v>
      </c>
      <c r="V141" s="74" t="n">
        <f aca="false">SUMIFS(Model!$N$2:$N$1001,Model!$J$2:$J$1001,$B$3,Model!$L$2:$L$1001,$B$4,Model!$I$2:$I$1001,$T141)</f>
        <v>236</v>
      </c>
      <c r="W141" s="75" t="n">
        <f aca="false">$U141+$V141/1000000000+ROW()/1000000000000</f>
        <v>1.000000236141</v>
      </c>
    </row>
    <row r="142" customFormat="false" ht="15" hidden="false" customHeight="false" outlineLevel="0" collapsed="false">
      <c r="T142" s="72" t="s">
        <v>445</v>
      </c>
      <c r="U142" s="73" t="n">
        <f aca="false">COUNTIFS(Model!$J$2:$J$1001,$B$3,Model!$L$2:$L$1001,$B$4,Model!$I$2:$I$1001,$T142)</f>
        <v>1</v>
      </c>
      <c r="V142" s="74" t="n">
        <f aca="false">SUMIFS(Model!$N$2:$N$1001,Model!$J$2:$J$1001,$B$3,Model!$L$2:$L$1001,$B$4,Model!$I$2:$I$1001,$T142)</f>
        <v>1444</v>
      </c>
      <c r="W142" s="75" t="n">
        <f aca="false">$U142+$V142/1000000000+ROW()/1000000000000</f>
        <v>1.000001444142</v>
      </c>
    </row>
    <row r="143" customFormat="false" ht="15" hidden="false" customHeight="false" outlineLevel="0" collapsed="false">
      <c r="T143" s="72" t="s">
        <v>446</v>
      </c>
      <c r="U143" s="73" t="n">
        <f aca="false">COUNTIFS(Model!$J$2:$J$1001,$B$3,Model!$L$2:$L$1001,$B$4,Model!$I$2:$I$1001,$T143)</f>
        <v>4</v>
      </c>
      <c r="V143" s="74" t="n">
        <f aca="false">SUMIFS(Model!$N$2:$N$1001,Model!$J$2:$J$1001,$B$3,Model!$L$2:$L$1001,$B$4,Model!$I$2:$I$1001,$T143)</f>
        <v>21482</v>
      </c>
      <c r="W143" s="75" t="n">
        <f aca="false">$U143+$V143/1000000000+ROW()/1000000000000</f>
        <v>4.000021482143</v>
      </c>
    </row>
    <row r="144" customFormat="false" ht="15" hidden="false" customHeight="false" outlineLevel="0" collapsed="false">
      <c r="T144" s="72" t="s">
        <v>447</v>
      </c>
      <c r="U144" s="73" t="n">
        <f aca="false">COUNTIFS(Model!$J$2:$J$1001,$B$3,Model!$L$2:$L$1001,$B$4,Model!$I$2:$I$1001,$T144)</f>
        <v>6</v>
      </c>
      <c r="V144" s="74" t="n">
        <f aca="false">SUMIFS(Model!$N$2:$N$1001,Model!$J$2:$J$1001,$B$3,Model!$L$2:$L$1001,$B$4,Model!$I$2:$I$1001,$T144)</f>
        <v>28327</v>
      </c>
      <c r="W144" s="75" t="n">
        <f aca="false">$U144+$V144/1000000000+ROW()/1000000000000</f>
        <v>6.000028327144</v>
      </c>
    </row>
    <row r="145" customFormat="false" ht="15" hidden="false" customHeight="false" outlineLevel="0" collapsed="false">
      <c r="T145" s="72" t="s">
        <v>448</v>
      </c>
      <c r="U145" s="73" t="n">
        <f aca="false">COUNTIFS(Model!$J$2:$J$1001,$B$3,Model!$L$2:$L$1001,$B$4,Model!$I$2:$I$1001,$T145)</f>
        <v>4</v>
      </c>
      <c r="V145" s="74" t="n">
        <f aca="false">SUMIFS(Model!$N$2:$N$1001,Model!$J$2:$J$1001,$B$3,Model!$L$2:$L$1001,$B$4,Model!$I$2:$I$1001,$T145)</f>
        <v>12484</v>
      </c>
      <c r="W145" s="75" t="n">
        <f aca="false">$U145+$V145/1000000000+ROW()/1000000000000</f>
        <v>4.000012484145</v>
      </c>
    </row>
    <row r="146" customFormat="false" ht="15" hidden="false" customHeight="false" outlineLevel="0" collapsed="false">
      <c r="T146" s="72" t="s">
        <v>449</v>
      </c>
      <c r="U146" s="73" t="n">
        <f aca="false">COUNTIFS(Model!$J$2:$J$1001,$B$3,Model!$L$2:$L$1001,$B$4,Model!$I$2:$I$1001,$T146)</f>
        <v>2</v>
      </c>
      <c r="V146" s="74" t="n">
        <f aca="false">SUMIFS(Model!$N$2:$N$1001,Model!$J$2:$J$1001,$B$3,Model!$L$2:$L$1001,$B$4,Model!$I$2:$I$1001,$T146)</f>
        <v>6024</v>
      </c>
      <c r="W146" s="75" t="n">
        <f aca="false">$U146+$V146/1000000000+ROW()/1000000000000</f>
        <v>2.000006024146</v>
      </c>
    </row>
    <row r="147" customFormat="false" ht="15" hidden="false" customHeight="false" outlineLevel="0" collapsed="false">
      <c r="T147" s="72" t="s">
        <v>450</v>
      </c>
      <c r="U147" s="73" t="n">
        <f aca="false">COUNTIFS(Model!$J$2:$J$1001,$B$3,Model!$L$2:$L$1001,$B$4,Model!$I$2:$I$1001,$T147)</f>
        <v>2</v>
      </c>
      <c r="V147" s="74" t="n">
        <f aca="false">SUMIFS(Model!$N$2:$N$1001,Model!$J$2:$J$1001,$B$3,Model!$L$2:$L$1001,$B$4,Model!$I$2:$I$1001,$T147)</f>
        <v>9756</v>
      </c>
      <c r="W147" s="75" t="n">
        <f aca="false">$U147+$V147/1000000000+ROW()/1000000000000</f>
        <v>2.000009756147</v>
      </c>
    </row>
    <row r="148" customFormat="false" ht="15" hidden="false" customHeight="false" outlineLevel="0" collapsed="false">
      <c r="T148" s="72" t="s">
        <v>451</v>
      </c>
      <c r="U148" s="73" t="n">
        <f aca="false">COUNTIFS(Model!$J$2:$J$1001,$B$3,Model!$L$2:$L$1001,$B$4,Model!$I$2:$I$1001,$T148)</f>
        <v>4</v>
      </c>
      <c r="V148" s="74" t="n">
        <f aca="false">SUMIFS(Model!$N$2:$N$1001,Model!$J$2:$J$1001,$B$3,Model!$L$2:$L$1001,$B$4,Model!$I$2:$I$1001,$T148)</f>
        <v>20682</v>
      </c>
      <c r="W148" s="75" t="n">
        <f aca="false">$U148+$V148/1000000000+ROW()/1000000000000</f>
        <v>4.000020682148</v>
      </c>
    </row>
    <row r="149" customFormat="false" ht="15" hidden="false" customHeight="false" outlineLevel="0" collapsed="false">
      <c r="T149" s="72" t="s">
        <v>452</v>
      </c>
      <c r="U149" s="73" t="n">
        <f aca="false">COUNTIFS(Model!$J$2:$J$1001,$B$3,Model!$L$2:$L$1001,$B$4,Model!$I$2:$I$1001,$T149)</f>
        <v>3</v>
      </c>
      <c r="V149" s="74" t="n">
        <f aca="false">SUMIFS(Model!$N$2:$N$1001,Model!$J$2:$J$1001,$B$3,Model!$L$2:$L$1001,$B$4,Model!$I$2:$I$1001,$T149)</f>
        <v>8631</v>
      </c>
      <c r="W149" s="75" t="n">
        <f aca="false">$U149+$V149/1000000000+ROW()/1000000000000</f>
        <v>3.000008631149</v>
      </c>
    </row>
    <row r="150" customFormat="false" ht="15" hidden="false" customHeight="false" outlineLevel="0" collapsed="false">
      <c r="T150" s="72" t="s">
        <v>453</v>
      </c>
      <c r="U150" s="73" t="n">
        <f aca="false">COUNTIFS(Model!$J$2:$J$1001,$B$3,Model!$L$2:$L$1001,$B$4,Model!$I$2:$I$1001,$T150)</f>
        <v>3</v>
      </c>
      <c r="V150" s="74" t="n">
        <f aca="false">SUMIFS(Model!$N$2:$N$1001,Model!$J$2:$J$1001,$B$3,Model!$L$2:$L$1001,$B$4,Model!$I$2:$I$1001,$T150)</f>
        <v>11436</v>
      </c>
      <c r="W150" s="75" t="n">
        <f aca="false">$U150+$V150/1000000000+ROW()/1000000000000</f>
        <v>3.00001143615</v>
      </c>
    </row>
    <row r="151" customFormat="false" ht="15" hidden="false" customHeight="false" outlineLevel="0" collapsed="false">
      <c r="T151" s="72" t="s">
        <v>454</v>
      </c>
      <c r="U151" s="73" t="n">
        <f aca="false">COUNTIFS(Model!$J$2:$J$1001,$B$3,Model!$L$2:$L$1001,$B$4,Model!$I$2:$I$1001,$T151)</f>
        <v>7</v>
      </c>
      <c r="V151" s="74" t="n">
        <f aca="false">SUMIFS(Model!$N$2:$N$1001,Model!$J$2:$J$1001,$B$3,Model!$L$2:$L$1001,$B$4,Model!$I$2:$I$1001,$T151)</f>
        <v>27624</v>
      </c>
      <c r="W151" s="75" t="n">
        <f aca="false">$U151+$V151/1000000000+ROW()/1000000000000</f>
        <v>7.000027624151</v>
      </c>
    </row>
    <row r="152" customFormat="false" ht="15" hidden="false" customHeight="false" outlineLevel="0" collapsed="false">
      <c r="T152" s="72" t="s">
        <v>455</v>
      </c>
      <c r="U152" s="73" t="n">
        <f aca="false">COUNTIFS(Model!$J$2:$J$1001,$B$3,Model!$L$2:$L$1001,$B$4,Model!$I$2:$I$1001,$T152)</f>
        <v>2</v>
      </c>
      <c r="V152" s="74" t="n">
        <f aca="false">SUMIFS(Model!$N$2:$N$1001,Model!$J$2:$J$1001,$B$3,Model!$L$2:$L$1001,$B$4,Model!$I$2:$I$1001,$T152)</f>
        <v>6346</v>
      </c>
      <c r="W152" s="75" t="n">
        <f aca="false">$U152+$V152/1000000000+ROW()/1000000000000</f>
        <v>2.000006346152</v>
      </c>
    </row>
    <row r="153" customFormat="false" ht="15" hidden="false" customHeight="false" outlineLevel="0" collapsed="false">
      <c r="T153" s="72" t="s">
        <v>456</v>
      </c>
      <c r="U153" s="73" t="n">
        <f aca="false">COUNTIFS(Model!$J$2:$J$1001,$B$3,Model!$L$2:$L$1001,$B$4,Model!$I$2:$I$1001,$T153)</f>
        <v>2</v>
      </c>
      <c r="V153" s="74" t="n">
        <f aca="false">SUMIFS(Model!$N$2:$N$1001,Model!$J$2:$J$1001,$B$3,Model!$L$2:$L$1001,$B$4,Model!$I$2:$I$1001,$T153)</f>
        <v>3770</v>
      </c>
      <c r="W153" s="75" t="n">
        <f aca="false">$U153+$V153/1000000000+ROW()/1000000000000</f>
        <v>2.000003770153</v>
      </c>
    </row>
    <row r="154" customFormat="false" ht="15" hidden="false" customHeight="false" outlineLevel="0" collapsed="false">
      <c r="T154" s="72" t="s">
        <v>457</v>
      </c>
      <c r="U154" s="73" t="n">
        <f aca="false">COUNTIFS(Model!$J$2:$J$1001,$B$3,Model!$L$2:$L$1001,$B$4,Model!$I$2:$I$1001,$T154)</f>
        <v>3</v>
      </c>
      <c r="V154" s="74" t="n">
        <f aca="false">SUMIFS(Model!$N$2:$N$1001,Model!$J$2:$J$1001,$B$3,Model!$L$2:$L$1001,$B$4,Model!$I$2:$I$1001,$T154)</f>
        <v>4350</v>
      </c>
      <c r="W154" s="75" t="n">
        <f aca="false">$U154+$V154/1000000000+ROW()/1000000000000</f>
        <v>3.000004350154</v>
      </c>
    </row>
    <row r="155" customFormat="false" ht="15" hidden="false" customHeight="false" outlineLevel="0" collapsed="false">
      <c r="T155" s="72" t="s">
        <v>458</v>
      </c>
      <c r="U155" s="73" t="n">
        <f aca="false">COUNTIFS(Model!$J$2:$J$1001,$B$3,Model!$L$2:$L$1001,$B$4,Model!$I$2:$I$1001,$T155)</f>
        <v>5</v>
      </c>
      <c r="V155" s="74" t="n">
        <f aca="false">SUMIFS(Model!$N$2:$N$1001,Model!$J$2:$J$1001,$B$3,Model!$L$2:$L$1001,$B$4,Model!$I$2:$I$1001,$T155)</f>
        <v>18060</v>
      </c>
      <c r="W155" s="75" t="n">
        <f aca="false">$U155+$V155/1000000000+ROW()/1000000000000</f>
        <v>5.000018060155</v>
      </c>
    </row>
    <row r="156" customFormat="false" ht="15" hidden="false" customHeight="false" outlineLevel="0" collapsed="false">
      <c r="T156" s="72" t="s">
        <v>459</v>
      </c>
      <c r="U156" s="73" t="n">
        <f aca="false">COUNTIFS(Model!$J$2:$J$1001,$B$3,Model!$L$2:$L$1001,$B$4,Model!$I$2:$I$1001,$T156)</f>
        <v>6</v>
      </c>
      <c r="V156" s="74" t="n">
        <f aca="false">SUMIFS(Model!$N$2:$N$1001,Model!$J$2:$J$1001,$B$3,Model!$L$2:$L$1001,$B$4,Model!$I$2:$I$1001,$T156)</f>
        <v>17002</v>
      </c>
      <c r="W156" s="75" t="n">
        <f aca="false">$U156+$V156/1000000000+ROW()/1000000000000</f>
        <v>6.000017002156</v>
      </c>
    </row>
    <row r="157" customFormat="false" ht="15" hidden="false" customHeight="false" outlineLevel="0" collapsed="false">
      <c r="T157" s="72" t="s">
        <v>460</v>
      </c>
      <c r="U157" s="73" t="n">
        <f aca="false">COUNTIFS(Model!$J$2:$J$1001,$B$3,Model!$L$2:$L$1001,$B$4,Model!$I$2:$I$1001,$T157)</f>
        <v>3</v>
      </c>
      <c r="V157" s="74" t="n">
        <f aca="false">SUMIFS(Model!$N$2:$N$1001,Model!$J$2:$J$1001,$B$3,Model!$L$2:$L$1001,$B$4,Model!$I$2:$I$1001,$T157)</f>
        <v>9723</v>
      </c>
      <c r="W157" s="75" t="n">
        <f aca="false">$U157+$V157/1000000000+ROW()/1000000000000</f>
        <v>3.000009723157</v>
      </c>
    </row>
    <row r="158" customFormat="false" ht="15" hidden="false" customHeight="false" outlineLevel="0" collapsed="false">
      <c r="T158" s="72" t="s">
        <v>461</v>
      </c>
      <c r="U158" s="73" t="n">
        <f aca="false">COUNTIFS(Model!$J$2:$J$1001,$B$3,Model!$L$2:$L$1001,$B$4,Model!$I$2:$I$1001,$T158)</f>
        <v>1</v>
      </c>
      <c r="V158" s="74" t="n">
        <f aca="false">SUMIFS(Model!$N$2:$N$1001,Model!$J$2:$J$1001,$B$3,Model!$L$2:$L$1001,$B$4,Model!$I$2:$I$1001,$T158)</f>
        <v>2504</v>
      </c>
      <c r="W158" s="75" t="n">
        <f aca="false">$U158+$V158/1000000000+ROW()/1000000000000</f>
        <v>1.000002504158</v>
      </c>
    </row>
    <row r="159" customFormat="false" ht="15" hidden="false" customHeight="false" outlineLevel="0" collapsed="false">
      <c r="T159" s="72" t="s">
        <v>462</v>
      </c>
      <c r="U159" s="73" t="n">
        <f aca="false">COUNTIFS(Model!$J$2:$J$1001,$B$3,Model!$L$2:$L$1001,$B$4,Model!$I$2:$I$1001,$T159)</f>
        <v>5</v>
      </c>
      <c r="V159" s="74" t="n">
        <f aca="false">SUMIFS(Model!$N$2:$N$1001,Model!$J$2:$J$1001,$B$3,Model!$L$2:$L$1001,$B$4,Model!$I$2:$I$1001,$T159)</f>
        <v>21066</v>
      </c>
      <c r="W159" s="75" t="n">
        <f aca="false">$U159+$V159/1000000000+ROW()/1000000000000</f>
        <v>5.000021066159</v>
      </c>
    </row>
    <row r="160" customFormat="false" ht="15" hidden="false" customHeight="false" outlineLevel="0" collapsed="false">
      <c r="T160" s="72" t="s">
        <v>463</v>
      </c>
      <c r="U160" s="73" t="n">
        <f aca="false">COUNTIFS(Model!$J$2:$J$1001,$B$3,Model!$L$2:$L$1001,$B$4,Model!$I$2:$I$1001,$T160)</f>
        <v>3</v>
      </c>
      <c r="V160" s="74" t="n">
        <f aca="false">SUMIFS(Model!$N$2:$N$1001,Model!$J$2:$J$1001,$B$3,Model!$L$2:$L$1001,$B$4,Model!$I$2:$I$1001,$T160)</f>
        <v>4004</v>
      </c>
      <c r="W160" s="75" t="n">
        <f aca="false">$U160+$V160/1000000000+ROW()/1000000000000</f>
        <v>3.00000400416</v>
      </c>
    </row>
    <row r="161" customFormat="false" ht="15" hidden="false" customHeight="false" outlineLevel="0" collapsed="false">
      <c r="T161" s="72" t="s">
        <v>464</v>
      </c>
      <c r="U161" s="73" t="n">
        <f aca="false">COUNTIFS(Model!$J$2:$J$1001,$B$3,Model!$L$2:$L$1001,$B$4,Model!$I$2:$I$1001,$T161)</f>
        <v>3</v>
      </c>
      <c r="V161" s="74" t="n">
        <f aca="false">SUMIFS(Model!$N$2:$N$1001,Model!$J$2:$J$1001,$B$3,Model!$L$2:$L$1001,$B$4,Model!$I$2:$I$1001,$T161)</f>
        <v>16180</v>
      </c>
      <c r="W161" s="75" t="n">
        <f aca="false">$U161+$V161/1000000000+ROW()/1000000000000</f>
        <v>3.000016180161</v>
      </c>
    </row>
    <row r="162" customFormat="false" ht="15" hidden="false" customHeight="false" outlineLevel="0" collapsed="false">
      <c r="T162" s="72" t="s">
        <v>465</v>
      </c>
      <c r="U162" s="73" t="n">
        <f aca="false">COUNTIFS(Model!$J$2:$J$1001,$B$3,Model!$L$2:$L$1001,$B$4,Model!$I$2:$I$1001,$T162)</f>
        <v>5</v>
      </c>
      <c r="V162" s="74" t="n">
        <f aca="false">SUMIFS(Model!$N$2:$N$1001,Model!$J$2:$J$1001,$B$3,Model!$L$2:$L$1001,$B$4,Model!$I$2:$I$1001,$T162)</f>
        <v>12565</v>
      </c>
      <c r="W162" s="75" t="n">
        <f aca="false">$U162+$V162/1000000000+ROW()/1000000000000</f>
        <v>5.000012565162</v>
      </c>
    </row>
    <row r="163" customFormat="false" ht="15" hidden="false" customHeight="false" outlineLevel="0" collapsed="false">
      <c r="T163" s="72" t="s">
        <v>466</v>
      </c>
      <c r="U163" s="73" t="n">
        <f aca="false">COUNTIFS(Model!$J$2:$J$1001,$B$3,Model!$L$2:$L$1001,$B$4,Model!$I$2:$I$1001,$T163)</f>
        <v>2</v>
      </c>
      <c r="V163" s="74" t="n">
        <f aca="false">SUMIFS(Model!$N$2:$N$1001,Model!$J$2:$J$1001,$B$3,Model!$L$2:$L$1001,$B$4,Model!$I$2:$I$1001,$T163)</f>
        <v>10964</v>
      </c>
      <c r="W163" s="75" t="n">
        <f aca="false">$U163+$V163/1000000000+ROW()/1000000000000</f>
        <v>2.000010964163</v>
      </c>
    </row>
    <row r="164" customFormat="false" ht="15" hidden="false" customHeight="false" outlineLevel="0" collapsed="false">
      <c r="T164" s="72" t="s">
        <v>467</v>
      </c>
      <c r="U164" s="73" t="n">
        <f aca="false">COUNTIFS(Model!$J$2:$J$1001,$B$3,Model!$L$2:$L$1001,$B$4,Model!$I$2:$I$1001,$T164)</f>
        <v>4</v>
      </c>
      <c r="V164" s="74" t="n">
        <f aca="false">SUMIFS(Model!$N$2:$N$1001,Model!$J$2:$J$1001,$B$3,Model!$L$2:$L$1001,$B$4,Model!$I$2:$I$1001,$T164)</f>
        <v>17947</v>
      </c>
      <c r="W164" s="75" t="n">
        <f aca="false">$U164+$V164/1000000000+ROW()/1000000000000</f>
        <v>4.000017947164</v>
      </c>
    </row>
    <row r="165" customFormat="false" ht="15" hidden="false" customHeight="false" outlineLevel="0" collapsed="false">
      <c r="T165" s="72" t="s">
        <v>468</v>
      </c>
      <c r="U165" s="73" t="n">
        <f aca="false">COUNTIFS(Model!$J$2:$J$1001,$B$3,Model!$L$2:$L$1001,$B$4,Model!$I$2:$I$1001,$T165)</f>
        <v>3</v>
      </c>
      <c r="V165" s="74" t="n">
        <f aca="false">SUMIFS(Model!$N$2:$N$1001,Model!$J$2:$J$1001,$B$3,Model!$L$2:$L$1001,$B$4,Model!$I$2:$I$1001,$T165)</f>
        <v>13113</v>
      </c>
      <c r="W165" s="75" t="n">
        <f aca="false">$U165+$V165/1000000000+ROW()/1000000000000</f>
        <v>3.000013113165</v>
      </c>
    </row>
    <row r="166" customFormat="false" ht="15" hidden="false" customHeight="false" outlineLevel="0" collapsed="false">
      <c r="T166" s="72" t="s">
        <v>469</v>
      </c>
      <c r="U166" s="73" t="n">
        <f aca="false">COUNTIFS(Model!$J$2:$J$1001,$B$3,Model!$L$2:$L$1001,$B$4,Model!$I$2:$I$1001,$T166)</f>
        <v>5</v>
      </c>
      <c r="V166" s="74" t="n">
        <f aca="false">SUMIFS(Model!$N$2:$N$1001,Model!$J$2:$J$1001,$B$3,Model!$L$2:$L$1001,$B$4,Model!$I$2:$I$1001,$T166)</f>
        <v>16317</v>
      </c>
      <c r="W166" s="75" t="n">
        <f aca="false">$U166+$V166/1000000000+ROW()/1000000000000</f>
        <v>5.000016317166</v>
      </c>
    </row>
    <row r="167" customFormat="false" ht="15" hidden="false" customHeight="false" outlineLevel="0" collapsed="false">
      <c r="T167" s="72" t="s">
        <v>470</v>
      </c>
      <c r="U167" s="73" t="n">
        <f aca="false">COUNTIFS(Model!$J$2:$J$1001,$B$3,Model!$L$2:$L$1001,$B$4,Model!$I$2:$I$1001,$T167)</f>
        <v>3</v>
      </c>
      <c r="V167" s="74" t="n">
        <f aca="false">SUMIFS(Model!$N$2:$N$1001,Model!$J$2:$J$1001,$B$3,Model!$L$2:$L$1001,$B$4,Model!$I$2:$I$1001,$T167)</f>
        <v>4692</v>
      </c>
      <c r="W167" s="75" t="n">
        <f aca="false">$U167+$V167/1000000000+ROW()/1000000000000</f>
        <v>3.000004692167</v>
      </c>
    </row>
    <row r="168" customFormat="false" ht="15" hidden="false" customHeight="false" outlineLevel="0" collapsed="false">
      <c r="T168" s="72" t="s">
        <v>471</v>
      </c>
      <c r="U168" s="73" t="n">
        <f aca="false">COUNTIFS(Model!$J$2:$J$1001,$B$3,Model!$L$2:$L$1001,$B$4,Model!$I$2:$I$1001,$T168)</f>
        <v>3</v>
      </c>
      <c r="V168" s="74" t="n">
        <f aca="false">SUMIFS(Model!$N$2:$N$1001,Model!$J$2:$J$1001,$B$3,Model!$L$2:$L$1001,$B$4,Model!$I$2:$I$1001,$T168)</f>
        <v>13298</v>
      </c>
      <c r="W168" s="75" t="n">
        <f aca="false">$U168+$V168/1000000000+ROW()/1000000000000</f>
        <v>3.000013298168</v>
      </c>
    </row>
    <row r="169" customFormat="false" ht="15" hidden="false" customHeight="false" outlineLevel="0" collapsed="false">
      <c r="T169" s="72" t="s">
        <v>472</v>
      </c>
      <c r="U169" s="73" t="n">
        <f aca="false">COUNTIFS(Model!$J$2:$J$1001,$B$3,Model!$L$2:$L$1001,$B$4,Model!$I$2:$I$1001,$T169)</f>
        <v>1</v>
      </c>
      <c r="V169" s="74" t="n">
        <f aca="false">SUMIFS(Model!$N$2:$N$1001,Model!$J$2:$J$1001,$B$3,Model!$L$2:$L$1001,$B$4,Model!$I$2:$I$1001,$T169)</f>
        <v>2433</v>
      </c>
      <c r="W169" s="75" t="n">
        <f aca="false">$U169+$V169/1000000000+ROW()/1000000000000</f>
        <v>1.000002433169</v>
      </c>
    </row>
    <row r="170" customFormat="false" ht="15" hidden="false" customHeight="false" outlineLevel="0" collapsed="false">
      <c r="T170" s="72" t="s">
        <v>473</v>
      </c>
      <c r="U170" s="73" t="n">
        <f aca="false">COUNTIFS(Model!$J$2:$J$1001,$B$3,Model!$L$2:$L$1001,$B$4,Model!$I$2:$I$1001,$T170)</f>
        <v>7</v>
      </c>
      <c r="V170" s="74" t="n">
        <f aca="false">SUMIFS(Model!$N$2:$N$1001,Model!$J$2:$J$1001,$B$3,Model!$L$2:$L$1001,$B$4,Model!$I$2:$I$1001,$T170)</f>
        <v>25405</v>
      </c>
      <c r="W170" s="75" t="n">
        <f aca="false">$U170+$V170/1000000000+ROW()/1000000000000</f>
        <v>7.00002540517</v>
      </c>
    </row>
    <row r="171" customFormat="false" ht="15" hidden="false" customHeight="false" outlineLevel="0" collapsed="false">
      <c r="T171" s="72" t="s">
        <v>474</v>
      </c>
      <c r="U171" s="73" t="n">
        <f aca="false">COUNTIFS(Model!$J$2:$J$1001,$B$3,Model!$L$2:$L$1001,$B$4,Model!$I$2:$I$1001,$T171)</f>
        <v>6</v>
      </c>
      <c r="V171" s="74" t="n">
        <f aca="false">SUMIFS(Model!$N$2:$N$1001,Model!$J$2:$J$1001,$B$3,Model!$L$2:$L$1001,$B$4,Model!$I$2:$I$1001,$T171)</f>
        <v>22752</v>
      </c>
      <c r="W171" s="75" t="n">
        <f aca="false">$U171+$V171/1000000000+ROW()/1000000000000</f>
        <v>6.000022752171</v>
      </c>
    </row>
    <row r="172" customFormat="false" ht="15" hidden="false" customHeight="false" outlineLevel="0" collapsed="false">
      <c r="T172" s="72" t="s">
        <v>475</v>
      </c>
      <c r="U172" s="73" t="n">
        <f aca="false">COUNTIFS(Model!$J$2:$J$1001,$B$3,Model!$L$2:$L$1001,$B$4,Model!$I$2:$I$1001,$T172)</f>
        <v>2</v>
      </c>
      <c r="V172" s="74" t="n">
        <f aca="false">SUMIFS(Model!$N$2:$N$1001,Model!$J$2:$J$1001,$B$3,Model!$L$2:$L$1001,$B$4,Model!$I$2:$I$1001,$T172)</f>
        <v>12000</v>
      </c>
      <c r="W172" s="75" t="n">
        <f aca="false">$U172+$V172/1000000000+ROW()/1000000000000</f>
        <v>2.000012000172</v>
      </c>
    </row>
    <row r="173" customFormat="false" ht="15" hidden="false" customHeight="false" outlineLevel="0" collapsed="false">
      <c r="T173" s="72" t="s">
        <v>476</v>
      </c>
      <c r="U173" s="73" t="n">
        <f aca="false">COUNTIFS(Model!$J$2:$J$1001,$B$3,Model!$L$2:$L$1001,$B$4,Model!$I$2:$I$1001,$T173)</f>
        <v>1</v>
      </c>
      <c r="V173" s="74" t="n">
        <f aca="false">SUMIFS(Model!$N$2:$N$1001,Model!$J$2:$J$1001,$B$3,Model!$L$2:$L$1001,$B$4,Model!$I$2:$I$1001,$T173)</f>
        <v>3597</v>
      </c>
      <c r="W173" s="75" t="n">
        <f aca="false">$U173+$V173/1000000000+ROW()/1000000000000</f>
        <v>1.000003597173</v>
      </c>
    </row>
    <row r="174" customFormat="false" ht="15" hidden="false" customHeight="false" outlineLevel="0" collapsed="false">
      <c r="T174" s="72" t="s">
        <v>477</v>
      </c>
      <c r="U174" s="73" t="n">
        <f aca="false">COUNTIFS(Model!$J$2:$J$1001,$B$3,Model!$L$2:$L$1001,$B$4,Model!$I$2:$I$1001,$T174)</f>
        <v>4</v>
      </c>
      <c r="V174" s="74" t="n">
        <f aca="false">SUMIFS(Model!$N$2:$N$1001,Model!$J$2:$J$1001,$B$3,Model!$L$2:$L$1001,$B$4,Model!$I$2:$I$1001,$T174)</f>
        <v>16260</v>
      </c>
      <c r="W174" s="75" t="n">
        <f aca="false">$U174+$V174/1000000000+ROW()/1000000000000</f>
        <v>4.000016260174</v>
      </c>
    </row>
    <row r="175" customFormat="false" ht="15" hidden="false" customHeight="false" outlineLevel="0" collapsed="false">
      <c r="T175" s="72" t="s">
        <v>478</v>
      </c>
      <c r="U175" s="73" t="n">
        <f aca="false">COUNTIFS(Model!$J$2:$J$1001,$B$3,Model!$L$2:$L$1001,$B$4,Model!$I$2:$I$1001,$T175)</f>
        <v>5</v>
      </c>
      <c r="V175" s="74" t="n">
        <f aca="false">SUMIFS(Model!$N$2:$N$1001,Model!$J$2:$J$1001,$B$3,Model!$L$2:$L$1001,$B$4,Model!$I$2:$I$1001,$T175)</f>
        <v>10339</v>
      </c>
      <c r="W175" s="75" t="n">
        <f aca="false">$U175+$V175/1000000000+ROW()/1000000000000</f>
        <v>5.000010339175</v>
      </c>
    </row>
    <row r="176" customFormat="false" ht="15" hidden="false" customHeight="false" outlineLevel="0" collapsed="false">
      <c r="T176" s="72" t="s">
        <v>479</v>
      </c>
      <c r="U176" s="73" t="n">
        <f aca="false">COUNTIFS(Model!$J$2:$J$1001,$B$3,Model!$L$2:$L$1001,$B$4,Model!$I$2:$I$1001,$T176)</f>
        <v>4</v>
      </c>
      <c r="V176" s="74" t="n">
        <f aca="false">SUMIFS(Model!$N$2:$N$1001,Model!$J$2:$J$1001,$B$3,Model!$L$2:$L$1001,$B$4,Model!$I$2:$I$1001,$T176)</f>
        <v>17151</v>
      </c>
      <c r="W176" s="75" t="n">
        <f aca="false">$U176+$V176/1000000000+ROW()/1000000000000</f>
        <v>4.000017151176</v>
      </c>
    </row>
    <row r="177" customFormat="false" ht="15" hidden="false" customHeight="false" outlineLevel="0" collapsed="false">
      <c r="T177" s="72" t="s">
        <v>480</v>
      </c>
      <c r="U177" s="73" t="n">
        <f aca="false">COUNTIFS(Model!$J$2:$J$1001,$B$3,Model!$L$2:$L$1001,$B$4,Model!$I$2:$I$1001,$T177)</f>
        <v>5</v>
      </c>
      <c r="V177" s="74" t="n">
        <f aca="false">SUMIFS(Model!$N$2:$N$1001,Model!$J$2:$J$1001,$B$3,Model!$L$2:$L$1001,$B$4,Model!$I$2:$I$1001,$T177)</f>
        <v>19086</v>
      </c>
      <c r="W177" s="75" t="n">
        <f aca="false">$U177+$V177/1000000000+ROW()/1000000000000</f>
        <v>5.000019086177</v>
      </c>
    </row>
    <row r="178" customFormat="false" ht="15" hidden="false" customHeight="false" outlineLevel="0" collapsed="false">
      <c r="T178" s="72" t="s">
        <v>481</v>
      </c>
      <c r="U178" s="73" t="n">
        <f aca="false">COUNTIFS(Model!$J$2:$J$1001,$B$3,Model!$L$2:$L$1001,$B$4,Model!$I$2:$I$1001,$T178)</f>
        <v>2</v>
      </c>
      <c r="V178" s="74" t="n">
        <f aca="false">SUMIFS(Model!$N$2:$N$1001,Model!$J$2:$J$1001,$B$3,Model!$L$2:$L$1001,$B$4,Model!$I$2:$I$1001,$T178)</f>
        <v>4846</v>
      </c>
      <c r="W178" s="75" t="n">
        <f aca="false">$U178+$V178/1000000000+ROW()/1000000000000</f>
        <v>2.000004846178</v>
      </c>
    </row>
    <row r="179" customFormat="false" ht="15" hidden="false" customHeight="false" outlineLevel="0" collapsed="false">
      <c r="T179" s="72" t="s">
        <v>482</v>
      </c>
      <c r="U179" s="73" t="n">
        <f aca="false">COUNTIFS(Model!$J$2:$J$1001,$B$3,Model!$L$2:$L$1001,$B$4,Model!$I$2:$I$1001,$T179)</f>
        <v>4</v>
      </c>
      <c r="V179" s="74" t="n">
        <f aca="false">SUMIFS(Model!$N$2:$N$1001,Model!$J$2:$J$1001,$B$3,Model!$L$2:$L$1001,$B$4,Model!$I$2:$I$1001,$T179)</f>
        <v>15296</v>
      </c>
      <c r="W179" s="75" t="n">
        <f aca="false">$U179+$V179/1000000000+ROW()/1000000000000</f>
        <v>4.000015296179</v>
      </c>
    </row>
    <row r="180" customFormat="false" ht="15" hidden="false" customHeight="false" outlineLevel="0" collapsed="false">
      <c r="T180" s="72" t="s">
        <v>483</v>
      </c>
      <c r="U180" s="73" t="n">
        <f aca="false">COUNTIFS(Model!$J$2:$J$1001,$B$3,Model!$L$2:$L$1001,$B$4,Model!$I$2:$I$1001,$T180)</f>
        <v>1</v>
      </c>
      <c r="V180" s="74" t="n">
        <f aca="false">SUMIFS(Model!$N$2:$N$1001,Model!$J$2:$J$1001,$B$3,Model!$L$2:$L$1001,$B$4,Model!$I$2:$I$1001,$T180)</f>
        <v>1266</v>
      </c>
      <c r="W180" s="75" t="n">
        <f aca="false">$U180+$V180/1000000000+ROW()/1000000000000</f>
        <v>1.00000126618</v>
      </c>
    </row>
    <row r="181" customFormat="false" ht="15" hidden="false" customHeight="false" outlineLevel="0" collapsed="false">
      <c r="T181" s="72" t="s">
        <v>484</v>
      </c>
      <c r="U181" s="73" t="n">
        <f aca="false">COUNTIFS(Model!$J$2:$J$1001,$B$3,Model!$L$2:$L$1001,$B$4,Model!$I$2:$I$1001,$T181)</f>
        <v>1</v>
      </c>
      <c r="V181" s="74" t="n">
        <f aca="false">SUMIFS(Model!$N$2:$N$1001,Model!$J$2:$J$1001,$B$3,Model!$L$2:$L$1001,$B$4,Model!$I$2:$I$1001,$T181)</f>
        <v>5705</v>
      </c>
      <c r="W181" s="75" t="n">
        <f aca="false">$U181+$V181/1000000000+ROW()/1000000000000</f>
        <v>1.000005705181</v>
      </c>
    </row>
    <row r="182" customFormat="false" ht="15" hidden="false" customHeight="false" outlineLevel="0" collapsed="false">
      <c r="T182" s="72" t="s">
        <v>485</v>
      </c>
      <c r="U182" s="73" t="n">
        <f aca="false">COUNTIFS(Model!$J$2:$J$1001,$B$3,Model!$L$2:$L$1001,$B$4,Model!$I$2:$I$1001,$T182)</f>
        <v>3</v>
      </c>
      <c r="V182" s="74" t="n">
        <f aca="false">SUMIFS(Model!$N$2:$N$1001,Model!$J$2:$J$1001,$B$3,Model!$L$2:$L$1001,$B$4,Model!$I$2:$I$1001,$T182)</f>
        <v>10064</v>
      </c>
      <c r="W182" s="75" t="n">
        <f aca="false">$U182+$V182/1000000000+ROW()/1000000000000</f>
        <v>3.000010064182</v>
      </c>
    </row>
    <row r="183" customFormat="false" ht="15" hidden="false" customHeight="false" outlineLevel="0" collapsed="false">
      <c r="T183" s="72" t="s">
        <v>486</v>
      </c>
      <c r="U183" s="73" t="n">
        <f aca="false">COUNTIFS(Model!$J$2:$J$1001,$B$3,Model!$L$2:$L$1001,$B$4,Model!$I$2:$I$1001,$T183)</f>
        <v>2</v>
      </c>
      <c r="V183" s="74" t="n">
        <f aca="false">SUMIFS(Model!$N$2:$N$1001,Model!$J$2:$J$1001,$B$3,Model!$L$2:$L$1001,$B$4,Model!$I$2:$I$1001,$T183)</f>
        <v>11170</v>
      </c>
      <c r="W183" s="75" t="n">
        <f aca="false">$U183+$V183/1000000000+ROW()/1000000000000</f>
        <v>2.000011170183</v>
      </c>
    </row>
    <row r="184" customFormat="false" ht="15" hidden="false" customHeight="false" outlineLevel="0" collapsed="false">
      <c r="T184" s="72" t="s">
        <v>487</v>
      </c>
      <c r="U184" s="73" t="n">
        <f aca="false">COUNTIFS(Model!$J$2:$J$1001,$B$3,Model!$L$2:$L$1001,$B$4,Model!$I$2:$I$1001,$T184)</f>
        <v>1</v>
      </c>
      <c r="V184" s="74" t="n">
        <f aca="false">SUMIFS(Model!$N$2:$N$1001,Model!$J$2:$J$1001,$B$3,Model!$L$2:$L$1001,$B$4,Model!$I$2:$I$1001,$T184)</f>
        <v>1202</v>
      </c>
      <c r="W184" s="75" t="n">
        <f aca="false">$U184+$V184/1000000000+ROW()/1000000000000</f>
        <v>1.000001202184</v>
      </c>
    </row>
    <row r="185" customFormat="false" ht="15" hidden="false" customHeight="false" outlineLevel="0" collapsed="false">
      <c r="T185" s="72" t="s">
        <v>488</v>
      </c>
      <c r="U185" s="73" t="n">
        <f aca="false">COUNTIFS(Model!$J$2:$J$1001,$B$3,Model!$L$2:$L$1001,$B$4,Model!$I$2:$I$1001,$T185)</f>
        <v>3</v>
      </c>
      <c r="V185" s="74" t="n">
        <f aca="false">SUMIFS(Model!$N$2:$N$1001,Model!$J$2:$J$1001,$B$3,Model!$L$2:$L$1001,$B$4,Model!$I$2:$I$1001,$T185)</f>
        <v>7674</v>
      </c>
      <c r="W185" s="75" t="n">
        <f aca="false">$U185+$V185/1000000000+ROW()/1000000000000</f>
        <v>3.000007674185</v>
      </c>
    </row>
    <row r="186" customFormat="false" ht="15" hidden="false" customHeight="false" outlineLevel="0" collapsed="false">
      <c r="T186" s="72" t="s">
        <v>489</v>
      </c>
      <c r="U186" s="73" t="n">
        <f aca="false">COUNTIFS(Model!$J$2:$J$1001,$B$3,Model!$L$2:$L$1001,$B$4,Model!$I$2:$I$1001,$T186)</f>
        <v>3</v>
      </c>
      <c r="V186" s="74" t="n">
        <f aca="false">SUMIFS(Model!$N$2:$N$1001,Model!$J$2:$J$1001,$B$3,Model!$L$2:$L$1001,$B$4,Model!$I$2:$I$1001,$T186)</f>
        <v>8839</v>
      </c>
      <c r="W186" s="75" t="n">
        <f aca="false">$U186+$V186/1000000000+ROW()/1000000000000</f>
        <v>3.000008839186</v>
      </c>
    </row>
    <row r="187" customFormat="false" ht="15" hidden="false" customHeight="false" outlineLevel="0" collapsed="false">
      <c r="T187" s="72" t="s">
        <v>490</v>
      </c>
      <c r="U187" s="73" t="n">
        <f aca="false">COUNTIFS(Model!$J$2:$J$1001,$B$3,Model!$L$2:$L$1001,$B$4,Model!$I$2:$I$1001,$T187)</f>
        <v>1</v>
      </c>
      <c r="V187" s="74" t="n">
        <f aca="false">SUMIFS(Model!$N$2:$N$1001,Model!$J$2:$J$1001,$B$3,Model!$L$2:$L$1001,$B$4,Model!$I$2:$I$1001,$T187)</f>
        <v>472</v>
      </c>
      <c r="W187" s="75" t="n">
        <f aca="false">$U187+$V187/1000000000+ROW()/1000000000000</f>
        <v>1.000000472187</v>
      </c>
    </row>
    <row r="188" customFormat="false" ht="15" hidden="false" customHeight="false" outlineLevel="0" collapsed="false">
      <c r="T188" s="72" t="s">
        <v>491</v>
      </c>
      <c r="U188" s="73" t="n">
        <f aca="false">COUNTIFS(Model!$J$2:$J$1001,$B$3,Model!$L$2:$L$1001,$B$4,Model!$I$2:$I$1001,$T188)</f>
        <v>2</v>
      </c>
      <c r="V188" s="74" t="n">
        <f aca="false">SUMIFS(Model!$N$2:$N$1001,Model!$J$2:$J$1001,$B$3,Model!$L$2:$L$1001,$B$4,Model!$I$2:$I$1001,$T188)</f>
        <v>15655</v>
      </c>
      <c r="W188" s="75" t="n">
        <f aca="false">$U188+$V188/1000000000+ROW()/1000000000000</f>
        <v>2.000015655188</v>
      </c>
    </row>
    <row r="189" customFormat="false" ht="15" hidden="false" customHeight="false" outlineLevel="0" collapsed="false">
      <c r="T189" s="72" t="s">
        <v>492</v>
      </c>
      <c r="U189" s="73" t="n">
        <f aca="false">COUNTIFS(Model!$J$2:$J$1001,$B$3,Model!$L$2:$L$1001,$B$4,Model!$I$2:$I$1001,$T189)</f>
        <v>5</v>
      </c>
      <c r="V189" s="74" t="n">
        <f aca="false">SUMIFS(Model!$N$2:$N$1001,Model!$J$2:$J$1001,$B$3,Model!$L$2:$L$1001,$B$4,Model!$I$2:$I$1001,$T189)</f>
        <v>13163</v>
      </c>
      <c r="W189" s="75" t="n">
        <f aca="false">$U189+$V189/1000000000+ROW()/1000000000000</f>
        <v>5.000013163189</v>
      </c>
    </row>
    <row r="190" customFormat="false" ht="15" hidden="false" customHeight="false" outlineLevel="0" collapsed="false">
      <c r="T190" s="72" t="s">
        <v>493</v>
      </c>
      <c r="U190" s="73" t="n">
        <f aca="false">COUNTIFS(Model!$J$2:$J$1001,$B$3,Model!$L$2:$L$1001,$B$4,Model!$I$2:$I$1001,$T190)</f>
        <v>2</v>
      </c>
      <c r="V190" s="74" t="n">
        <f aca="false">SUMIFS(Model!$N$2:$N$1001,Model!$J$2:$J$1001,$B$3,Model!$L$2:$L$1001,$B$4,Model!$I$2:$I$1001,$T190)</f>
        <v>9366</v>
      </c>
      <c r="W190" s="75" t="n">
        <f aca="false">$U190+$V190/1000000000+ROW()/1000000000000</f>
        <v>2.00000936619</v>
      </c>
    </row>
    <row r="191" customFormat="false" ht="15" hidden="false" customHeight="false" outlineLevel="0" collapsed="false">
      <c r="T191" s="72" t="s">
        <v>494</v>
      </c>
      <c r="U191" s="73" t="n">
        <f aca="false">COUNTIFS(Model!$J$2:$J$1001,$B$3,Model!$L$2:$L$1001,$B$4,Model!$I$2:$I$1001,$T191)</f>
        <v>3</v>
      </c>
      <c r="V191" s="74" t="n">
        <f aca="false">SUMIFS(Model!$N$2:$N$1001,Model!$J$2:$J$1001,$B$3,Model!$L$2:$L$1001,$B$4,Model!$I$2:$I$1001,$T191)</f>
        <v>14634</v>
      </c>
      <c r="W191" s="75" t="n">
        <f aca="false">$U191+$V191/1000000000+ROW()/1000000000000</f>
        <v>3.000014634191</v>
      </c>
    </row>
    <row r="192" customFormat="false" ht="15" hidden="false" customHeight="false" outlineLevel="0" collapsed="false">
      <c r="T192" s="72" t="s">
        <v>495</v>
      </c>
      <c r="U192" s="73" t="n">
        <f aca="false">COUNTIFS(Model!$J$2:$J$1001,$B$3,Model!$L$2:$L$1001,$B$4,Model!$I$2:$I$1001,$T192)</f>
        <v>1</v>
      </c>
      <c r="V192" s="74" t="n">
        <f aca="false">SUMIFS(Model!$N$2:$N$1001,Model!$J$2:$J$1001,$B$3,Model!$L$2:$L$1001,$B$4,Model!$I$2:$I$1001,$T192)</f>
        <v>3606</v>
      </c>
      <c r="W192" s="75" t="n">
        <f aca="false">$U192+$V192/1000000000+ROW()/1000000000000</f>
        <v>1.000003606192</v>
      </c>
    </row>
    <row r="193" customFormat="false" ht="15" hidden="false" customHeight="false" outlineLevel="0" collapsed="false">
      <c r="T193" s="72" t="s">
        <v>496</v>
      </c>
      <c r="U193" s="73" t="n">
        <f aca="false">COUNTIFS(Model!$J$2:$J$1001,$B$3,Model!$L$2:$L$1001,$B$4,Model!$I$2:$I$1001,$T193)</f>
        <v>4</v>
      </c>
      <c r="V193" s="74" t="n">
        <f aca="false">SUMIFS(Model!$N$2:$N$1001,Model!$J$2:$J$1001,$B$3,Model!$L$2:$L$1001,$B$4,Model!$I$2:$I$1001,$T193)</f>
        <v>24252</v>
      </c>
      <c r="W193" s="75" t="n">
        <f aca="false">$U193+$V193/1000000000+ROW()/1000000000000</f>
        <v>4.000024252193</v>
      </c>
    </row>
    <row r="194" customFormat="false" ht="15" hidden="false" customHeight="false" outlineLevel="0" collapsed="false">
      <c r="T194" s="72" t="s">
        <v>497</v>
      </c>
      <c r="U194" s="73" t="n">
        <f aca="false">COUNTIFS(Model!$J$2:$J$1001,$B$3,Model!$L$2:$L$1001,$B$4,Model!$I$2:$I$1001,$T194)</f>
        <v>7</v>
      </c>
      <c r="V194" s="74" t="n">
        <f aca="false">SUMIFS(Model!$N$2:$N$1001,Model!$J$2:$J$1001,$B$3,Model!$L$2:$L$1001,$B$4,Model!$I$2:$I$1001,$T194)</f>
        <v>16347</v>
      </c>
      <c r="W194" s="75" t="n">
        <f aca="false">$U194+$V194/1000000000+ROW()/1000000000000</f>
        <v>7.000016347194</v>
      </c>
    </row>
    <row r="195" customFormat="false" ht="15" hidden="false" customHeight="false" outlineLevel="0" collapsed="false">
      <c r="T195" s="72" t="s">
        <v>498</v>
      </c>
      <c r="U195" s="73" t="n">
        <f aca="false">COUNTIFS(Model!$J$2:$J$1001,$B$3,Model!$L$2:$L$1001,$B$4,Model!$I$2:$I$1001,$T195)</f>
        <v>4</v>
      </c>
      <c r="V195" s="74" t="n">
        <f aca="false">SUMIFS(Model!$N$2:$N$1001,Model!$J$2:$J$1001,$B$3,Model!$L$2:$L$1001,$B$4,Model!$I$2:$I$1001,$T195)</f>
        <v>13895</v>
      </c>
      <c r="W195" s="75" t="n">
        <f aca="false">$U195+$V195/1000000000+ROW()/1000000000000</f>
        <v>4.000013895195</v>
      </c>
    </row>
    <row r="196" customFormat="false" ht="15" hidden="false" customHeight="false" outlineLevel="0" collapsed="false">
      <c r="T196" s="72" t="s">
        <v>499</v>
      </c>
      <c r="U196" s="73" t="n">
        <f aca="false">COUNTIFS(Model!$J$2:$J$1001,$B$3,Model!$L$2:$L$1001,$B$4,Model!$I$2:$I$1001,$T196)</f>
        <v>2</v>
      </c>
      <c r="V196" s="74" t="n">
        <f aca="false">SUMIFS(Model!$N$2:$N$1001,Model!$J$2:$J$1001,$B$3,Model!$L$2:$L$1001,$B$4,Model!$I$2:$I$1001,$T196)</f>
        <v>10333</v>
      </c>
      <c r="W196" s="75" t="n">
        <f aca="false">$U196+$V196/1000000000+ROW()/1000000000000</f>
        <v>2.000010333196</v>
      </c>
    </row>
    <row r="197" customFormat="false" ht="15" hidden="false" customHeight="false" outlineLevel="0" collapsed="false">
      <c r="T197" s="72" t="s">
        <v>500</v>
      </c>
      <c r="U197" s="73" t="n">
        <f aca="false">COUNTIFS(Model!$J$2:$J$1001,$B$3,Model!$L$2:$L$1001,$B$4,Model!$I$2:$I$1001,$T197)</f>
        <v>5</v>
      </c>
      <c r="V197" s="74" t="n">
        <f aca="false">SUMIFS(Model!$N$2:$N$1001,Model!$J$2:$J$1001,$B$3,Model!$L$2:$L$1001,$B$4,Model!$I$2:$I$1001,$T197)</f>
        <v>10558</v>
      </c>
      <c r="W197" s="75" t="n">
        <f aca="false">$U197+$V197/1000000000+ROW()/1000000000000</f>
        <v>5.000010558197</v>
      </c>
    </row>
    <row r="198" customFormat="false" ht="15" hidden="false" customHeight="false" outlineLevel="0" collapsed="false">
      <c r="T198" s="72" t="s">
        <v>501</v>
      </c>
      <c r="U198" s="73" t="n">
        <f aca="false">COUNTIFS(Model!$J$2:$J$1001,$B$3,Model!$L$2:$L$1001,$B$4,Model!$I$2:$I$1001,$T198)</f>
        <v>2</v>
      </c>
      <c r="V198" s="74" t="n">
        <f aca="false">SUMIFS(Model!$N$2:$N$1001,Model!$J$2:$J$1001,$B$3,Model!$L$2:$L$1001,$B$4,Model!$I$2:$I$1001,$T198)</f>
        <v>4721</v>
      </c>
      <c r="W198" s="75" t="n">
        <f aca="false">$U198+$V198/1000000000+ROW()/1000000000000</f>
        <v>2.000004721198</v>
      </c>
    </row>
    <row r="199" customFormat="false" ht="15" hidden="false" customHeight="false" outlineLevel="0" collapsed="false">
      <c r="T199" s="72" t="s">
        <v>502</v>
      </c>
      <c r="U199" s="73" t="n">
        <f aca="false">COUNTIFS(Model!$J$2:$J$1001,$B$3,Model!$L$2:$L$1001,$B$4,Model!$I$2:$I$1001,$T199)</f>
        <v>5</v>
      </c>
      <c r="V199" s="74" t="n">
        <f aca="false">SUMIFS(Model!$N$2:$N$1001,Model!$J$2:$J$1001,$B$3,Model!$L$2:$L$1001,$B$4,Model!$I$2:$I$1001,$T199)</f>
        <v>16470</v>
      </c>
      <c r="W199" s="75" t="n">
        <f aca="false">$U199+$V199/1000000000+ROW()/1000000000000</f>
        <v>5.000016470199</v>
      </c>
    </row>
    <row r="200" customFormat="false" ht="15" hidden="false" customHeight="false" outlineLevel="0" collapsed="false">
      <c r="T200" s="72" t="s">
        <v>503</v>
      </c>
      <c r="U200" s="73" t="n">
        <f aca="false">COUNTIFS(Model!$J$2:$J$1001,$B$3,Model!$L$2:$L$1001,$B$4,Model!$I$2:$I$1001,$T200)</f>
        <v>4</v>
      </c>
      <c r="V200" s="74" t="n">
        <f aca="false">SUMIFS(Model!$N$2:$N$1001,Model!$J$2:$J$1001,$B$3,Model!$L$2:$L$1001,$B$4,Model!$I$2:$I$1001,$T200)</f>
        <v>14780</v>
      </c>
      <c r="W200" s="75" t="n">
        <f aca="false">$U200+$V200/1000000000+ROW()/1000000000000</f>
        <v>4.0000147802</v>
      </c>
    </row>
    <row r="201" customFormat="false" ht="15" hidden="false" customHeight="false" outlineLevel="0" collapsed="false">
      <c r="T201" s="72" t="s">
        <v>504</v>
      </c>
      <c r="U201" s="73" t="n">
        <f aca="false">COUNTIFS(Model!$J$2:$J$1001,$B$3,Model!$L$2:$L$1001,$B$4,Model!$I$2:$I$1001,$T201)</f>
        <v>5</v>
      </c>
      <c r="V201" s="74" t="n">
        <f aca="false">SUMIFS(Model!$N$2:$N$1001,Model!$J$2:$J$1001,$B$3,Model!$L$2:$L$1001,$B$4,Model!$I$2:$I$1001,$T201)</f>
        <v>20565</v>
      </c>
      <c r="W201" s="75" t="n">
        <f aca="false">$U201+$V201/1000000000+ROW()/1000000000000</f>
        <v>5.000020565201</v>
      </c>
    </row>
    <row r="202" customFormat="false" ht="15" hidden="false" customHeight="false" outlineLevel="0" collapsed="false">
      <c r="T202" s="72" t="s">
        <v>505</v>
      </c>
      <c r="U202" s="73" t="n">
        <f aca="false">COUNTIFS(Model!$J$2:$J$1001,$B$3,Model!$L$2:$L$1001,$B$4,Model!$I$2:$I$1001,$T202)</f>
        <v>4</v>
      </c>
      <c r="V202" s="74" t="n">
        <f aca="false">SUMIFS(Model!$N$2:$N$1001,Model!$J$2:$J$1001,$B$3,Model!$L$2:$L$1001,$B$4,Model!$I$2:$I$1001,$T202)</f>
        <v>13646</v>
      </c>
      <c r="W202" s="75" t="n">
        <f aca="false">$U202+$V202/1000000000+ROW()/1000000000000</f>
        <v>4.000013646202</v>
      </c>
    </row>
    <row r="203" customFormat="false" ht="15" hidden="false" customHeight="false" outlineLevel="0" collapsed="false">
      <c r="T203" s="72" t="s">
        <v>506</v>
      </c>
      <c r="U203" s="73" t="n">
        <f aca="false">COUNTIFS(Model!$J$2:$J$1001,$B$3,Model!$L$2:$L$1001,$B$4,Model!$I$2:$I$1001,$T203)</f>
        <v>4</v>
      </c>
      <c r="V203" s="74" t="n">
        <f aca="false">SUMIFS(Model!$N$2:$N$1001,Model!$J$2:$J$1001,$B$3,Model!$L$2:$L$1001,$B$4,Model!$I$2:$I$1001,$T203)</f>
        <v>17640</v>
      </c>
      <c r="W203" s="75" t="n">
        <f aca="false">$U203+$V203/1000000000+ROW()/1000000000000</f>
        <v>4.000017640203</v>
      </c>
    </row>
    <row r="204" customFormat="false" ht="15" hidden="false" customHeight="false" outlineLevel="0" collapsed="false">
      <c r="T204" s="72" t="s">
        <v>507</v>
      </c>
      <c r="U204" s="73" t="n">
        <f aca="false">COUNTIFS(Model!$J$2:$J$1001,$B$3,Model!$L$2:$L$1001,$B$4,Model!$I$2:$I$1001,$T204)</f>
        <v>4</v>
      </c>
      <c r="V204" s="74" t="n">
        <f aca="false">SUMIFS(Model!$N$2:$N$1001,Model!$J$2:$J$1001,$B$3,Model!$L$2:$L$1001,$B$4,Model!$I$2:$I$1001,$T204)</f>
        <v>18131</v>
      </c>
      <c r="W204" s="75" t="n">
        <f aca="false">$U204+$V204/1000000000+ROW()/1000000000000</f>
        <v>4.000018131204</v>
      </c>
    </row>
    <row r="205" customFormat="false" ht="15" hidden="false" customHeight="false" outlineLevel="0" collapsed="false">
      <c r="T205" s="72" t="s">
        <v>508</v>
      </c>
      <c r="U205" s="73" t="n">
        <f aca="false">COUNTIFS(Model!$J$2:$J$1001,$B$3,Model!$L$2:$L$1001,$B$4,Model!$I$2:$I$1001,$T205)</f>
        <v>3</v>
      </c>
      <c r="V205" s="74" t="n">
        <f aca="false">SUMIFS(Model!$N$2:$N$1001,Model!$J$2:$J$1001,$B$3,Model!$L$2:$L$1001,$B$4,Model!$I$2:$I$1001,$T205)</f>
        <v>4694</v>
      </c>
      <c r="W205" s="75" t="n">
        <f aca="false">$U205+$V205/1000000000+ROW()/1000000000000</f>
        <v>3.000004694205</v>
      </c>
    </row>
    <row r="206" customFormat="false" ht="15" hidden="false" customHeight="false" outlineLevel="0" collapsed="false">
      <c r="T206" s="72" t="s">
        <v>509</v>
      </c>
      <c r="U206" s="73" t="n">
        <f aca="false">COUNTIFS(Model!$J$2:$J$1001,$B$3,Model!$L$2:$L$1001,$B$4,Model!$I$2:$I$1001,$T206)</f>
        <v>5</v>
      </c>
      <c r="V206" s="74" t="n">
        <f aca="false">SUMIFS(Model!$N$2:$N$1001,Model!$J$2:$J$1001,$B$3,Model!$L$2:$L$1001,$B$4,Model!$I$2:$I$1001,$T206)</f>
        <v>21572</v>
      </c>
      <c r="W206" s="75" t="n">
        <f aca="false">$U206+$V206/1000000000+ROW()/1000000000000</f>
        <v>5.000021572206</v>
      </c>
    </row>
    <row r="207" customFormat="false" ht="15" hidden="false" customHeight="false" outlineLevel="0" collapsed="false">
      <c r="T207" s="72" t="s">
        <v>510</v>
      </c>
      <c r="U207" s="73" t="n">
        <f aca="false">COUNTIFS(Model!$J$2:$J$1001,$B$3,Model!$L$2:$L$1001,$B$4,Model!$I$2:$I$1001,$T207)</f>
        <v>3</v>
      </c>
      <c r="V207" s="74" t="n">
        <f aca="false">SUMIFS(Model!$N$2:$N$1001,Model!$J$2:$J$1001,$B$3,Model!$L$2:$L$1001,$B$4,Model!$I$2:$I$1001,$T207)</f>
        <v>9327</v>
      </c>
      <c r="W207" s="75" t="n">
        <f aca="false">$U207+$V207/1000000000+ROW()/1000000000000</f>
        <v>3.000009327207</v>
      </c>
    </row>
    <row r="208" customFormat="false" ht="15" hidden="false" customHeight="false" outlineLevel="0" collapsed="false">
      <c r="T208" s="72" t="s">
        <v>511</v>
      </c>
      <c r="U208" s="73" t="n">
        <f aca="false">COUNTIFS(Model!$J$2:$J$1001,$B$3,Model!$L$2:$L$1001,$B$4,Model!$I$2:$I$1001,$T208)</f>
        <v>2</v>
      </c>
      <c r="V208" s="74" t="n">
        <f aca="false">SUMIFS(Model!$N$2:$N$1001,Model!$J$2:$J$1001,$B$3,Model!$L$2:$L$1001,$B$4,Model!$I$2:$I$1001,$T208)</f>
        <v>13756</v>
      </c>
      <c r="W208" s="75" t="n">
        <f aca="false">$U208+$V208/1000000000+ROW()/1000000000000</f>
        <v>2.000013756208</v>
      </c>
    </row>
    <row r="209" customFormat="false" ht="15" hidden="false" customHeight="false" outlineLevel="0" collapsed="false">
      <c r="T209" s="72" t="s">
        <v>512</v>
      </c>
      <c r="U209" s="73" t="n">
        <f aca="false">COUNTIFS(Model!$J$2:$J$1001,$B$3,Model!$L$2:$L$1001,$B$4,Model!$I$2:$I$1001,$T209)</f>
        <v>2</v>
      </c>
      <c r="V209" s="74" t="n">
        <f aca="false">SUMIFS(Model!$N$2:$N$1001,Model!$J$2:$J$1001,$B$3,Model!$L$2:$L$1001,$B$4,Model!$I$2:$I$1001,$T209)</f>
        <v>2836</v>
      </c>
      <c r="W209" s="75" t="n">
        <f aca="false">$U209+$V209/1000000000+ROW()/1000000000000</f>
        <v>2.000002836209</v>
      </c>
    </row>
    <row r="210" customFormat="false" ht="15" hidden="false" customHeight="false" outlineLevel="0" collapsed="false">
      <c r="T210" s="72" t="s">
        <v>513</v>
      </c>
      <c r="U210" s="73" t="n">
        <f aca="false">COUNTIFS(Model!$J$2:$J$1001,$B$3,Model!$L$2:$L$1001,$B$4,Model!$I$2:$I$1001,$T210)</f>
        <v>3</v>
      </c>
      <c r="V210" s="74" t="n">
        <f aca="false">SUMIFS(Model!$N$2:$N$1001,Model!$J$2:$J$1001,$B$3,Model!$L$2:$L$1001,$B$4,Model!$I$2:$I$1001,$T210)</f>
        <v>8892</v>
      </c>
      <c r="W210" s="75" t="n">
        <f aca="false">$U210+$V210/1000000000+ROW()/1000000000000</f>
        <v>3.00000889221</v>
      </c>
    </row>
    <row r="211" customFormat="false" ht="15" hidden="false" customHeight="false" outlineLevel="0" collapsed="false">
      <c r="T211" s="72" t="s">
        <v>514</v>
      </c>
      <c r="U211" s="73" t="n">
        <f aca="false">COUNTIFS(Model!$J$2:$J$1001,$B$3,Model!$L$2:$L$1001,$B$4,Model!$I$2:$I$1001,$T211)</f>
        <v>4</v>
      </c>
      <c r="V211" s="74" t="n">
        <f aca="false">SUMIFS(Model!$N$2:$N$1001,Model!$J$2:$J$1001,$B$3,Model!$L$2:$L$1001,$B$4,Model!$I$2:$I$1001,$T211)</f>
        <v>16092</v>
      </c>
      <c r="W211" s="75" t="n">
        <f aca="false">$U211+$V211/1000000000+ROW()/1000000000000</f>
        <v>4.000016092211</v>
      </c>
    </row>
    <row r="212" customFormat="false" ht="15" hidden="false" customHeight="false" outlineLevel="0" collapsed="false">
      <c r="T212" s="72" t="s">
        <v>515</v>
      </c>
      <c r="U212" s="73" t="n">
        <f aca="false">COUNTIFS(Model!$J$2:$J$1001,$B$3,Model!$L$2:$L$1001,$B$4,Model!$I$2:$I$1001,$T212)</f>
        <v>2</v>
      </c>
      <c r="V212" s="74" t="n">
        <f aca="false">SUMIFS(Model!$N$2:$N$1001,Model!$J$2:$J$1001,$B$3,Model!$L$2:$L$1001,$B$4,Model!$I$2:$I$1001,$T212)</f>
        <v>15348</v>
      </c>
      <c r="W212" s="75" t="n">
        <f aca="false">$U212+$V212/1000000000+ROW()/1000000000000</f>
        <v>2.000015348212</v>
      </c>
    </row>
    <row r="213" customFormat="false" ht="15" hidden="false" customHeight="false" outlineLevel="0" collapsed="false">
      <c r="T213" s="72" t="s">
        <v>516</v>
      </c>
      <c r="U213" s="73" t="n">
        <f aca="false">COUNTIFS(Model!$J$2:$J$1001,$B$3,Model!$L$2:$L$1001,$B$4,Model!$I$2:$I$1001,$T213)</f>
        <v>7</v>
      </c>
      <c r="V213" s="74" t="n">
        <f aca="false">SUMIFS(Model!$N$2:$N$1001,Model!$J$2:$J$1001,$B$3,Model!$L$2:$L$1001,$B$4,Model!$I$2:$I$1001,$T213)</f>
        <v>23395</v>
      </c>
      <c r="W213" s="75" t="n">
        <f aca="false">$U213+$V213/1000000000+ROW()/1000000000000</f>
        <v>7.000023395213</v>
      </c>
    </row>
    <row r="214" customFormat="false" ht="15" hidden="false" customHeight="false" outlineLevel="0" collapsed="false">
      <c r="T214" s="72" t="s">
        <v>517</v>
      </c>
      <c r="U214" s="73" t="n">
        <f aca="false">COUNTIFS(Model!$J$2:$J$1001,$B$3,Model!$L$2:$L$1001,$B$4,Model!$I$2:$I$1001,$T214)</f>
        <v>2</v>
      </c>
      <c r="V214" s="74" t="n">
        <f aca="false">SUMIFS(Model!$N$2:$N$1001,Model!$J$2:$J$1001,$B$3,Model!$L$2:$L$1001,$B$4,Model!$I$2:$I$1001,$T214)</f>
        <v>7032</v>
      </c>
      <c r="W214" s="75" t="n">
        <f aca="false">$U214+$V214/1000000000+ROW()/1000000000000</f>
        <v>2.000007032214</v>
      </c>
    </row>
    <row r="215" customFormat="false" ht="15" hidden="false" customHeight="false" outlineLevel="0" collapsed="false">
      <c r="T215" s="72" t="s">
        <v>518</v>
      </c>
      <c r="U215" s="73" t="n">
        <f aca="false">COUNTIFS(Model!$J$2:$J$1001,$B$3,Model!$L$2:$L$1001,$B$4,Model!$I$2:$I$1001,$T215)</f>
        <v>7</v>
      </c>
      <c r="V215" s="74" t="n">
        <f aca="false">SUMIFS(Model!$N$2:$N$1001,Model!$J$2:$J$1001,$B$3,Model!$L$2:$L$1001,$B$4,Model!$I$2:$I$1001,$T215)</f>
        <v>21654</v>
      </c>
      <c r="W215" s="75" t="n">
        <f aca="false">$U215+$V215/1000000000+ROW()/1000000000000</f>
        <v>7.000021654215</v>
      </c>
    </row>
    <row r="216" customFormat="false" ht="15" hidden="false" customHeight="false" outlineLevel="0" collapsed="false">
      <c r="T216" s="72" t="s">
        <v>519</v>
      </c>
      <c r="U216" s="73" t="n">
        <f aca="false">COUNTIFS(Model!$J$2:$J$1001,$B$3,Model!$L$2:$L$1001,$B$4,Model!$I$2:$I$1001,$T216)</f>
        <v>6</v>
      </c>
      <c r="V216" s="74" t="n">
        <f aca="false">SUMIFS(Model!$N$2:$N$1001,Model!$J$2:$J$1001,$B$3,Model!$L$2:$L$1001,$B$4,Model!$I$2:$I$1001,$T216)</f>
        <v>19698</v>
      </c>
      <c r="W216" s="75" t="n">
        <f aca="false">$U216+$V216/1000000000+ROW()/1000000000000</f>
        <v>6.000019698216</v>
      </c>
    </row>
    <row r="217" customFormat="false" ht="15" hidden="false" customHeight="false" outlineLevel="0" collapsed="false">
      <c r="T217" s="72" t="s">
        <v>520</v>
      </c>
      <c r="U217" s="73" t="n">
        <f aca="false">COUNTIFS(Model!$J$2:$J$1001,$B$3,Model!$L$2:$L$1001,$B$4,Model!$I$2:$I$1001,$T217)</f>
        <v>3</v>
      </c>
      <c r="V217" s="74" t="n">
        <f aca="false">SUMIFS(Model!$N$2:$N$1001,Model!$J$2:$J$1001,$B$3,Model!$L$2:$L$1001,$B$4,Model!$I$2:$I$1001,$T217)</f>
        <v>13112</v>
      </c>
      <c r="W217" s="75" t="n">
        <f aca="false">$U217+$V217/1000000000+ROW()/1000000000000</f>
        <v>3.000013112217</v>
      </c>
    </row>
    <row r="218" customFormat="false" ht="15" hidden="false" customHeight="false" outlineLevel="0" collapsed="false">
      <c r="T218" s="72" t="s">
        <v>521</v>
      </c>
      <c r="U218" s="73" t="n">
        <f aca="false">COUNTIFS(Model!$J$2:$J$1001,$B$3,Model!$L$2:$L$1001,$B$4,Model!$I$2:$I$1001,$T218)</f>
        <v>4</v>
      </c>
      <c r="V218" s="74" t="n">
        <f aca="false">SUMIFS(Model!$N$2:$N$1001,Model!$J$2:$J$1001,$B$3,Model!$L$2:$L$1001,$B$4,Model!$I$2:$I$1001,$T218)</f>
        <v>13359</v>
      </c>
      <c r="W218" s="75" t="n">
        <f aca="false">$U218+$V218/1000000000+ROW()/1000000000000</f>
        <v>4.000013359218</v>
      </c>
    </row>
    <row r="219" customFormat="false" ht="15" hidden="false" customHeight="false" outlineLevel="0" collapsed="false">
      <c r="T219" s="72" t="s">
        <v>522</v>
      </c>
      <c r="U219" s="73" t="n">
        <f aca="false">COUNTIFS(Model!$J$2:$J$1001,$B$3,Model!$L$2:$L$1001,$B$4,Model!$I$2:$I$1001,$T219)</f>
        <v>2</v>
      </c>
      <c r="V219" s="74" t="n">
        <f aca="false">SUMIFS(Model!$N$2:$N$1001,Model!$J$2:$J$1001,$B$3,Model!$L$2:$L$1001,$B$4,Model!$I$2:$I$1001,$T219)</f>
        <v>7405</v>
      </c>
      <c r="W219" s="75" t="n">
        <f aca="false">$U219+$V219/1000000000+ROW()/1000000000000</f>
        <v>2.000007405219</v>
      </c>
    </row>
    <row r="220" customFormat="false" ht="15" hidden="false" customHeight="false" outlineLevel="0" collapsed="false">
      <c r="T220" s="72" t="s">
        <v>523</v>
      </c>
      <c r="U220" s="73" t="n">
        <f aca="false">COUNTIFS(Model!$J$2:$J$1001,$B$3,Model!$L$2:$L$1001,$B$4,Model!$I$2:$I$1001,$T220)</f>
        <v>3</v>
      </c>
      <c r="V220" s="74" t="n">
        <f aca="false">SUMIFS(Model!$N$2:$N$1001,Model!$J$2:$J$1001,$B$3,Model!$L$2:$L$1001,$B$4,Model!$I$2:$I$1001,$T220)</f>
        <v>6934</v>
      </c>
      <c r="W220" s="75" t="n">
        <f aca="false">$U220+$V220/1000000000+ROW()/1000000000000</f>
        <v>3.00000693422</v>
      </c>
    </row>
    <row r="221" customFormat="false" ht="15" hidden="false" customHeight="false" outlineLevel="0" collapsed="false">
      <c r="T221" s="72" t="s">
        <v>524</v>
      </c>
      <c r="U221" s="73" t="n">
        <f aca="false">COUNTIFS(Model!$J$2:$J$1001,$B$3,Model!$L$2:$L$1001,$B$4,Model!$I$2:$I$1001,$T221)</f>
        <v>4</v>
      </c>
      <c r="V221" s="74" t="n">
        <f aca="false">SUMIFS(Model!$N$2:$N$1001,Model!$J$2:$J$1001,$B$3,Model!$L$2:$L$1001,$B$4,Model!$I$2:$I$1001,$T221)</f>
        <v>11961</v>
      </c>
      <c r="W221" s="75" t="n">
        <f aca="false">$U221+$V221/1000000000+ROW()/1000000000000</f>
        <v>4.000011961221</v>
      </c>
    </row>
    <row r="222" customFormat="false" ht="15" hidden="false" customHeight="false" outlineLevel="0" collapsed="false">
      <c r="T222" s="72" t="s">
        <v>525</v>
      </c>
      <c r="U222" s="73" t="n">
        <f aca="false">COUNTIFS(Model!$J$2:$J$1001,$B$3,Model!$L$2:$L$1001,$B$4,Model!$I$2:$I$1001,$T222)</f>
        <v>4</v>
      </c>
      <c r="V222" s="74" t="n">
        <f aca="false">SUMIFS(Model!$N$2:$N$1001,Model!$J$2:$J$1001,$B$3,Model!$L$2:$L$1001,$B$4,Model!$I$2:$I$1001,$T222)</f>
        <v>26836</v>
      </c>
      <c r="W222" s="75" t="n">
        <f aca="false">$U222+$V222/1000000000+ROW()/1000000000000</f>
        <v>4.000026836222</v>
      </c>
    </row>
    <row r="223" customFormat="false" ht="15" hidden="false" customHeight="false" outlineLevel="0" collapsed="false">
      <c r="T223" s="72" t="s">
        <v>526</v>
      </c>
      <c r="U223" s="73" t="n">
        <f aca="false">COUNTIFS(Model!$J$2:$J$1001,$B$3,Model!$L$2:$L$1001,$B$4,Model!$I$2:$I$1001,$T223)</f>
        <v>6</v>
      </c>
      <c r="V223" s="74" t="n">
        <f aca="false">SUMIFS(Model!$N$2:$N$1001,Model!$J$2:$J$1001,$B$3,Model!$L$2:$L$1001,$B$4,Model!$I$2:$I$1001,$T223)</f>
        <v>17583</v>
      </c>
      <c r="W223" s="75" t="n">
        <f aca="false">$U223+$V223/1000000000+ROW()/1000000000000</f>
        <v>6.000017583223</v>
      </c>
    </row>
    <row r="224" customFormat="false" ht="15" hidden="false" customHeight="false" outlineLevel="0" collapsed="false">
      <c r="T224" s="72" t="s">
        <v>527</v>
      </c>
      <c r="U224" s="73" t="n">
        <f aca="false">COUNTIFS(Model!$J$2:$J$1001,$B$3,Model!$L$2:$L$1001,$B$4,Model!$I$2:$I$1001,$T224)</f>
        <v>1</v>
      </c>
      <c r="V224" s="74" t="n">
        <f aca="false">SUMIFS(Model!$N$2:$N$1001,Model!$J$2:$J$1001,$B$3,Model!$L$2:$L$1001,$B$4,Model!$I$2:$I$1001,$T224)</f>
        <v>8190</v>
      </c>
      <c r="W224" s="75" t="n">
        <f aca="false">$U224+$V224/1000000000+ROW()/1000000000000</f>
        <v>1.000008190224</v>
      </c>
    </row>
    <row r="225" customFormat="false" ht="15" hidden="false" customHeight="false" outlineLevel="0" collapsed="false">
      <c r="T225" s="72" t="s">
        <v>528</v>
      </c>
      <c r="U225" s="73" t="n">
        <f aca="false">COUNTIFS(Model!$J$2:$J$1001,$B$3,Model!$L$2:$L$1001,$B$4,Model!$I$2:$I$1001,$T225)</f>
        <v>4</v>
      </c>
      <c r="V225" s="74" t="n">
        <f aca="false">SUMIFS(Model!$N$2:$N$1001,Model!$J$2:$J$1001,$B$3,Model!$L$2:$L$1001,$B$4,Model!$I$2:$I$1001,$T225)</f>
        <v>4995</v>
      </c>
      <c r="W225" s="75" t="n">
        <f aca="false">$U225+$V225/1000000000+ROW()/1000000000000</f>
        <v>4.000004995225</v>
      </c>
    </row>
    <row r="226" customFormat="false" ht="15" hidden="false" customHeight="false" outlineLevel="0" collapsed="false">
      <c r="T226" s="72" t="s">
        <v>529</v>
      </c>
      <c r="U226" s="73" t="n">
        <f aca="false">COUNTIFS(Model!$J$2:$J$1001,$B$3,Model!$L$2:$L$1001,$B$4,Model!$I$2:$I$1001,$T226)</f>
        <v>2</v>
      </c>
      <c r="V226" s="74" t="n">
        <f aca="false">SUMIFS(Model!$N$2:$N$1001,Model!$J$2:$J$1001,$B$3,Model!$L$2:$L$1001,$B$4,Model!$I$2:$I$1001,$T226)</f>
        <v>6390</v>
      </c>
      <c r="W226" s="75" t="n">
        <f aca="false">$U226+$V226/1000000000+ROW()/1000000000000</f>
        <v>2.000006390226</v>
      </c>
    </row>
    <row r="227" customFormat="false" ht="15" hidden="false" customHeight="false" outlineLevel="0" collapsed="false">
      <c r="T227" s="72" t="s">
        <v>530</v>
      </c>
      <c r="U227" s="73" t="n">
        <f aca="false">COUNTIFS(Model!$J$2:$J$1001,$B$3,Model!$L$2:$L$1001,$B$4,Model!$I$2:$I$1001,$T227)</f>
        <v>2</v>
      </c>
      <c r="V227" s="74" t="n">
        <f aca="false">SUMIFS(Model!$N$2:$N$1001,Model!$J$2:$J$1001,$B$3,Model!$L$2:$L$1001,$B$4,Model!$I$2:$I$1001,$T227)</f>
        <v>10578</v>
      </c>
      <c r="W227" s="75" t="n">
        <f aca="false">$U227+$V227/1000000000+ROW()/1000000000000</f>
        <v>2.000010578227</v>
      </c>
    </row>
    <row r="228" customFormat="false" ht="15" hidden="false" customHeight="false" outlineLevel="0" collapsed="false">
      <c r="T228" s="72" t="s">
        <v>531</v>
      </c>
      <c r="U228" s="73" t="n">
        <f aca="false">COUNTIFS(Model!$J$2:$J$1001,$B$3,Model!$L$2:$L$1001,$B$4,Model!$I$2:$I$1001,$T228)</f>
        <v>2</v>
      </c>
      <c r="V228" s="74" t="n">
        <f aca="false">SUMIFS(Model!$N$2:$N$1001,Model!$J$2:$J$1001,$B$3,Model!$L$2:$L$1001,$B$4,Model!$I$2:$I$1001,$T228)</f>
        <v>5533</v>
      </c>
      <c r="W228" s="75" t="n">
        <f aca="false">$U228+$V228/1000000000+ROW()/1000000000000</f>
        <v>2.000005533228</v>
      </c>
    </row>
    <row r="229" customFormat="false" ht="15" hidden="false" customHeight="false" outlineLevel="0" collapsed="false">
      <c r="T229" s="72" t="s">
        <v>532</v>
      </c>
      <c r="U229" s="73" t="n">
        <f aca="false">COUNTIFS(Model!$J$2:$J$1001,$B$3,Model!$L$2:$L$1001,$B$4,Model!$I$2:$I$1001,$T229)</f>
        <v>1</v>
      </c>
      <c r="V229" s="74" t="n">
        <f aca="false">SUMIFS(Model!$N$2:$N$1001,Model!$J$2:$J$1001,$B$3,Model!$L$2:$L$1001,$B$4,Model!$I$2:$I$1001,$T229)</f>
        <v>7805</v>
      </c>
      <c r="W229" s="75" t="n">
        <f aca="false">$U229+$V229/1000000000+ROW()/1000000000000</f>
        <v>1.000007805229</v>
      </c>
    </row>
    <row r="230" customFormat="false" ht="15" hidden="false" customHeight="false" outlineLevel="0" collapsed="false">
      <c r="T230" s="72" t="s">
        <v>533</v>
      </c>
      <c r="U230" s="73" t="n">
        <f aca="false">COUNTIFS(Model!$J$2:$J$1001,$B$3,Model!$L$2:$L$1001,$B$4,Model!$I$2:$I$1001,$T230)</f>
        <v>4</v>
      </c>
      <c r="V230" s="74" t="n">
        <f aca="false">SUMIFS(Model!$N$2:$N$1001,Model!$J$2:$J$1001,$B$3,Model!$L$2:$L$1001,$B$4,Model!$I$2:$I$1001,$T230)</f>
        <v>16150</v>
      </c>
      <c r="W230" s="75" t="n">
        <f aca="false">$U230+$V230/1000000000+ROW()/1000000000000</f>
        <v>4.00001615023</v>
      </c>
    </row>
    <row r="231" customFormat="false" ht="15" hidden="false" customHeight="false" outlineLevel="0" collapsed="false">
      <c r="T231" s="72" t="s">
        <v>534</v>
      </c>
      <c r="U231" s="73" t="n">
        <f aca="false">COUNTIFS(Model!$J$2:$J$1001,$B$3,Model!$L$2:$L$1001,$B$4,Model!$I$2:$I$1001,$T231)</f>
        <v>6</v>
      </c>
      <c r="V231" s="74" t="n">
        <f aca="false">SUMIFS(Model!$N$2:$N$1001,Model!$J$2:$J$1001,$B$3,Model!$L$2:$L$1001,$B$4,Model!$I$2:$I$1001,$T231)</f>
        <v>26388</v>
      </c>
      <c r="W231" s="75" t="n">
        <f aca="false">$U231+$V231/1000000000+ROW()/1000000000000</f>
        <v>6.000026388231</v>
      </c>
    </row>
    <row r="232" customFormat="false" ht="15" hidden="false" customHeight="false" outlineLevel="0" collapsed="false">
      <c r="T232" s="72" t="s">
        <v>535</v>
      </c>
      <c r="U232" s="73" t="n">
        <f aca="false">COUNTIFS(Model!$J$2:$J$1001,$B$3,Model!$L$2:$L$1001,$B$4,Model!$I$2:$I$1001,$T232)</f>
        <v>2</v>
      </c>
      <c r="V232" s="74" t="n">
        <f aca="false">SUMIFS(Model!$N$2:$N$1001,Model!$J$2:$J$1001,$B$3,Model!$L$2:$L$1001,$B$4,Model!$I$2:$I$1001,$T232)</f>
        <v>5058</v>
      </c>
      <c r="W232" s="75" t="n">
        <f aca="false">$U232+$V232/1000000000+ROW()/1000000000000</f>
        <v>2.000005058232</v>
      </c>
    </row>
    <row r="233" customFormat="false" ht="15" hidden="false" customHeight="false" outlineLevel="0" collapsed="false">
      <c r="T233" s="72" t="s">
        <v>536</v>
      </c>
      <c r="U233" s="73" t="n">
        <f aca="false">COUNTIFS(Model!$J$2:$J$1001,$B$3,Model!$L$2:$L$1001,$B$4,Model!$I$2:$I$1001,$T233)</f>
        <v>1</v>
      </c>
      <c r="V233" s="74" t="n">
        <f aca="false">SUMIFS(Model!$N$2:$N$1001,Model!$J$2:$J$1001,$B$3,Model!$L$2:$L$1001,$B$4,Model!$I$2:$I$1001,$T233)</f>
        <v>1732</v>
      </c>
      <c r="W233" s="75" t="n">
        <f aca="false">$U233+$V233/1000000000+ROW()/1000000000000</f>
        <v>1.000001732233</v>
      </c>
    </row>
    <row r="234" customFormat="false" ht="15" hidden="false" customHeight="false" outlineLevel="0" collapsed="false">
      <c r="T234" s="72" t="s">
        <v>537</v>
      </c>
      <c r="U234" s="73" t="n">
        <f aca="false">COUNTIFS(Model!$J$2:$J$1001,$B$3,Model!$L$2:$L$1001,$B$4,Model!$I$2:$I$1001,$T234)</f>
        <v>1</v>
      </c>
      <c r="V234" s="74" t="n">
        <f aca="false">SUMIFS(Model!$N$2:$N$1001,Model!$J$2:$J$1001,$B$3,Model!$L$2:$L$1001,$B$4,Model!$I$2:$I$1001,$T234)</f>
        <v>3210</v>
      </c>
      <c r="W234" s="75" t="n">
        <f aca="false">$U234+$V234/1000000000+ROW()/1000000000000</f>
        <v>1.000003210234</v>
      </c>
    </row>
    <row r="235" customFormat="false" ht="15" hidden="false" customHeight="false" outlineLevel="0" collapsed="false">
      <c r="T235" s="72" t="s">
        <v>538</v>
      </c>
      <c r="U235" s="73" t="n">
        <f aca="false">COUNTIFS(Model!$J$2:$J$1001,$B$3,Model!$L$2:$L$1001,$B$4,Model!$I$2:$I$1001,$T235)</f>
        <v>2</v>
      </c>
      <c r="V235" s="74" t="n">
        <f aca="false">SUMIFS(Model!$N$2:$N$1001,Model!$J$2:$J$1001,$B$3,Model!$L$2:$L$1001,$B$4,Model!$I$2:$I$1001,$T235)</f>
        <v>9248</v>
      </c>
      <c r="W235" s="75" t="n">
        <f aca="false">$U235+$V235/1000000000+ROW()/1000000000000</f>
        <v>2.000009248235</v>
      </c>
    </row>
    <row r="236" customFormat="false" ht="15" hidden="false" customHeight="false" outlineLevel="0" collapsed="false">
      <c r="T236" s="72" t="s">
        <v>539</v>
      </c>
      <c r="U236" s="73" t="n">
        <f aca="false">COUNTIFS(Model!$J$2:$J$1001,$B$3,Model!$L$2:$L$1001,$B$4,Model!$I$2:$I$1001,$T236)</f>
        <v>5</v>
      </c>
      <c r="V236" s="74" t="n">
        <f aca="false">SUMIFS(Model!$N$2:$N$1001,Model!$J$2:$J$1001,$B$3,Model!$L$2:$L$1001,$B$4,Model!$I$2:$I$1001,$T236)</f>
        <v>21656</v>
      </c>
      <c r="W236" s="75" t="n">
        <f aca="false">$U236+$V236/1000000000+ROW()/1000000000000</f>
        <v>5.000021656236</v>
      </c>
    </row>
    <row r="237" customFormat="false" ht="15" hidden="false" customHeight="false" outlineLevel="0" collapsed="false">
      <c r="T237" s="72" t="s">
        <v>540</v>
      </c>
      <c r="U237" s="73" t="n">
        <f aca="false">COUNTIFS(Model!$J$2:$J$1001,$B$3,Model!$L$2:$L$1001,$B$4,Model!$I$2:$I$1001,$T237)</f>
        <v>2</v>
      </c>
      <c r="V237" s="74" t="n">
        <f aca="false">SUMIFS(Model!$N$2:$N$1001,Model!$J$2:$J$1001,$B$3,Model!$L$2:$L$1001,$B$4,Model!$I$2:$I$1001,$T237)</f>
        <v>6699</v>
      </c>
      <c r="W237" s="75" t="n">
        <f aca="false">$U237+$V237/1000000000+ROW()/1000000000000</f>
        <v>2.000006699237</v>
      </c>
    </row>
    <row r="238" customFormat="false" ht="15" hidden="false" customHeight="false" outlineLevel="0" collapsed="false">
      <c r="T238" s="72" t="s">
        <v>541</v>
      </c>
      <c r="U238" s="73" t="n">
        <f aca="false">COUNTIFS(Model!$J$2:$J$1001,$B$3,Model!$L$2:$L$1001,$B$4,Model!$I$2:$I$1001,$T238)</f>
        <v>2</v>
      </c>
      <c r="V238" s="74" t="n">
        <f aca="false">SUMIFS(Model!$N$2:$N$1001,Model!$J$2:$J$1001,$B$3,Model!$L$2:$L$1001,$B$4,Model!$I$2:$I$1001,$T238)</f>
        <v>1817</v>
      </c>
      <c r="W238" s="75" t="n">
        <f aca="false">$U238+$V238/1000000000+ROW()/1000000000000</f>
        <v>2.000001817238</v>
      </c>
    </row>
    <row r="239" customFormat="false" ht="15" hidden="false" customHeight="false" outlineLevel="0" collapsed="false">
      <c r="T239" s="72" t="s">
        <v>542</v>
      </c>
      <c r="U239" s="73" t="n">
        <f aca="false">COUNTIFS(Model!$J$2:$J$1001,$B$3,Model!$L$2:$L$1001,$B$4,Model!$I$2:$I$1001,$T239)</f>
        <v>3</v>
      </c>
      <c r="V239" s="74" t="n">
        <f aca="false">SUMIFS(Model!$N$2:$N$1001,Model!$J$2:$J$1001,$B$3,Model!$L$2:$L$1001,$B$4,Model!$I$2:$I$1001,$T239)</f>
        <v>7088</v>
      </c>
      <c r="W239" s="75" t="n">
        <f aca="false">$U239+$V239/1000000000+ROW()/1000000000000</f>
        <v>3.000007088239</v>
      </c>
    </row>
    <row r="240" customFormat="false" ht="15" hidden="false" customHeight="false" outlineLevel="0" collapsed="false">
      <c r="T240" s="72" t="s">
        <v>543</v>
      </c>
      <c r="U240" s="73" t="n">
        <f aca="false">COUNTIFS(Model!$J$2:$J$1001,$B$3,Model!$L$2:$L$1001,$B$4,Model!$I$2:$I$1001,$T240)</f>
        <v>1</v>
      </c>
      <c r="V240" s="74" t="n">
        <f aca="false">SUMIFS(Model!$N$2:$N$1001,Model!$J$2:$J$1001,$B$3,Model!$L$2:$L$1001,$B$4,Model!$I$2:$I$1001,$T240)</f>
        <v>3360</v>
      </c>
      <c r="W240" s="75" t="n">
        <f aca="false">$U240+$V240/1000000000+ROW()/1000000000000</f>
        <v>1.00000336024</v>
      </c>
    </row>
    <row r="241" customFormat="false" ht="15" hidden="false" customHeight="false" outlineLevel="0" collapsed="false">
      <c r="T241" s="72" t="s">
        <v>544</v>
      </c>
      <c r="U241" s="73" t="n">
        <f aca="false">COUNTIFS(Model!$J$2:$J$1001,$B$3,Model!$L$2:$L$1001,$B$4,Model!$I$2:$I$1001,$T241)</f>
        <v>4</v>
      </c>
      <c r="V241" s="74" t="n">
        <f aca="false">SUMIFS(Model!$N$2:$N$1001,Model!$J$2:$J$1001,$B$3,Model!$L$2:$L$1001,$B$4,Model!$I$2:$I$1001,$T241)</f>
        <v>6713</v>
      </c>
      <c r="W241" s="75" t="n">
        <f aca="false">$U241+$V241/1000000000+ROW()/1000000000000</f>
        <v>4.000006713241</v>
      </c>
    </row>
    <row r="242" customFormat="false" ht="15" hidden="false" customHeight="false" outlineLevel="0" collapsed="false">
      <c r="T242" s="72" t="s">
        <v>545</v>
      </c>
      <c r="U242" s="73" t="n">
        <f aca="false">COUNTIFS(Model!$J$2:$J$1001,$B$3,Model!$L$2:$L$1001,$B$4,Model!$I$2:$I$1001,$T242)</f>
        <v>6</v>
      </c>
      <c r="V242" s="74" t="n">
        <f aca="false">SUMIFS(Model!$N$2:$N$1001,Model!$J$2:$J$1001,$B$3,Model!$L$2:$L$1001,$B$4,Model!$I$2:$I$1001,$T242)</f>
        <v>28177</v>
      </c>
      <c r="W242" s="75" t="n">
        <f aca="false">$U242+$V242/1000000000+ROW()/1000000000000</f>
        <v>6.000028177242</v>
      </c>
    </row>
    <row r="243" customFormat="false" ht="15" hidden="false" customHeight="false" outlineLevel="0" collapsed="false">
      <c r="T243" s="72" t="s">
        <v>546</v>
      </c>
      <c r="U243" s="73" t="n">
        <f aca="false">COUNTIFS(Model!$J$2:$J$1001,$B$3,Model!$L$2:$L$1001,$B$4,Model!$I$2:$I$1001,$T243)</f>
        <v>5</v>
      </c>
      <c r="V243" s="74" t="n">
        <f aca="false">SUMIFS(Model!$N$2:$N$1001,Model!$J$2:$J$1001,$B$3,Model!$L$2:$L$1001,$B$4,Model!$I$2:$I$1001,$T243)</f>
        <v>19112</v>
      </c>
      <c r="W243" s="75" t="n">
        <f aca="false">$U243+$V243/1000000000+ROW()/1000000000000</f>
        <v>5.000019112243</v>
      </c>
    </row>
    <row r="244" customFormat="false" ht="15" hidden="false" customHeight="false" outlineLevel="0" collapsed="false">
      <c r="T244" s="72" t="s">
        <v>547</v>
      </c>
      <c r="U244" s="73" t="n">
        <f aca="false">COUNTIFS(Model!$J$2:$J$1001,$B$3,Model!$L$2:$L$1001,$B$4,Model!$I$2:$I$1001,$T244)</f>
        <v>2</v>
      </c>
      <c r="V244" s="74" t="n">
        <f aca="false">SUMIFS(Model!$N$2:$N$1001,Model!$J$2:$J$1001,$B$3,Model!$L$2:$L$1001,$B$4,Model!$I$2:$I$1001,$T244)</f>
        <v>8520</v>
      </c>
      <c r="W244" s="75" t="n">
        <f aca="false">$U244+$V244/1000000000+ROW()/1000000000000</f>
        <v>2.000008520244</v>
      </c>
    </row>
    <row r="245" customFormat="false" ht="15" hidden="false" customHeight="false" outlineLevel="0" collapsed="false">
      <c r="T245" s="72" t="s">
        <v>548</v>
      </c>
      <c r="U245" s="73" t="n">
        <f aca="false">COUNTIFS(Model!$J$2:$J$1001,$B$3,Model!$L$2:$L$1001,$B$4,Model!$I$2:$I$1001,$T245)</f>
        <v>3</v>
      </c>
      <c r="V245" s="74" t="n">
        <f aca="false">SUMIFS(Model!$N$2:$N$1001,Model!$J$2:$J$1001,$B$3,Model!$L$2:$L$1001,$B$4,Model!$I$2:$I$1001,$T245)</f>
        <v>8355</v>
      </c>
      <c r="W245" s="75" t="n">
        <f aca="false">$U245+$V245/1000000000+ROW()/1000000000000</f>
        <v>3.000008355245</v>
      </c>
    </row>
    <row r="246" customFormat="false" ht="15" hidden="false" customHeight="false" outlineLevel="0" collapsed="false">
      <c r="T246" s="72" t="s">
        <v>549</v>
      </c>
      <c r="U246" s="73" t="n">
        <f aca="false">COUNTIFS(Model!$J$2:$J$1001,$B$3,Model!$L$2:$L$1001,$B$4,Model!$I$2:$I$1001,$T246)</f>
        <v>1</v>
      </c>
      <c r="V246" s="74" t="n">
        <f aca="false">SUMIFS(Model!$N$2:$N$1001,Model!$J$2:$J$1001,$B$3,Model!$L$2:$L$1001,$B$4,Model!$I$2:$I$1001,$T246)</f>
        <v>1096</v>
      </c>
      <c r="W246" s="75" t="n">
        <f aca="false">$U246+$V246/1000000000+ROW()/1000000000000</f>
        <v>1.000001096246</v>
      </c>
    </row>
    <row r="247" customFormat="false" ht="15" hidden="false" customHeight="false" outlineLevel="0" collapsed="false">
      <c r="T247" s="72" t="s">
        <v>550</v>
      </c>
      <c r="U247" s="73" t="n">
        <f aca="false">COUNTIFS(Model!$J$2:$J$1001,$B$3,Model!$L$2:$L$1001,$B$4,Model!$I$2:$I$1001,$T247)</f>
        <v>4</v>
      </c>
      <c r="V247" s="74" t="n">
        <f aca="false">SUMIFS(Model!$N$2:$N$1001,Model!$J$2:$J$1001,$B$3,Model!$L$2:$L$1001,$B$4,Model!$I$2:$I$1001,$T247)</f>
        <v>18744</v>
      </c>
      <c r="W247" s="75" t="n">
        <f aca="false">$U247+$V247/1000000000+ROW()/1000000000000</f>
        <v>4.000018744247</v>
      </c>
    </row>
    <row r="248" customFormat="false" ht="15" hidden="false" customHeight="false" outlineLevel="0" collapsed="false">
      <c r="T248" s="72" t="s">
        <v>551</v>
      </c>
      <c r="U248" s="73" t="n">
        <f aca="false">COUNTIFS(Model!$J$2:$J$1001,$B$3,Model!$L$2:$L$1001,$B$4,Model!$I$2:$I$1001,$T248)</f>
        <v>4</v>
      </c>
      <c r="V248" s="74" t="n">
        <f aca="false">SUMIFS(Model!$N$2:$N$1001,Model!$J$2:$J$1001,$B$3,Model!$L$2:$L$1001,$B$4,Model!$I$2:$I$1001,$T248)</f>
        <v>18942</v>
      </c>
      <c r="W248" s="75" t="n">
        <f aca="false">$U248+$V248/1000000000+ROW()/1000000000000</f>
        <v>4.000018942248</v>
      </c>
    </row>
    <row r="249" customFormat="false" ht="15" hidden="false" customHeight="false" outlineLevel="0" collapsed="false">
      <c r="T249" s="72" t="s">
        <v>552</v>
      </c>
      <c r="U249" s="73" t="n">
        <f aca="false">COUNTIFS(Model!$J$2:$J$1001,$B$3,Model!$L$2:$L$1001,$B$4,Model!$I$2:$I$1001,$T249)</f>
        <v>2</v>
      </c>
      <c r="V249" s="74" t="n">
        <f aca="false">SUMIFS(Model!$N$2:$N$1001,Model!$J$2:$J$1001,$B$3,Model!$L$2:$L$1001,$B$4,Model!$I$2:$I$1001,$T249)</f>
        <v>8550</v>
      </c>
      <c r="W249" s="75" t="n">
        <f aca="false">$U249+$V249/1000000000+ROW()/1000000000000</f>
        <v>2.000008550249</v>
      </c>
    </row>
    <row r="250" customFormat="false" ht="15" hidden="false" customHeight="false" outlineLevel="0" collapsed="false">
      <c r="T250" s="72" t="s">
        <v>553</v>
      </c>
      <c r="U250" s="73" t="n">
        <f aca="false">COUNTIFS(Model!$J$2:$J$1001,$B$3,Model!$L$2:$L$1001,$B$4,Model!$I$2:$I$1001,$T250)</f>
        <v>4</v>
      </c>
      <c r="V250" s="74" t="n">
        <f aca="false">SUMIFS(Model!$N$2:$N$1001,Model!$J$2:$J$1001,$B$3,Model!$L$2:$L$1001,$B$4,Model!$I$2:$I$1001,$T250)</f>
        <v>3443</v>
      </c>
      <c r="W250" s="75" t="n">
        <f aca="false">$U250+$V250/1000000000+ROW()/1000000000000</f>
        <v>4.00000344325</v>
      </c>
    </row>
    <row r="251" customFormat="false" ht="15" hidden="false" customHeight="false" outlineLevel="0" collapsed="false">
      <c r="T251" s="72" t="s">
        <v>554</v>
      </c>
      <c r="U251" s="73" t="n">
        <f aca="false">COUNTIFS(Model!$J$2:$J$1001,$B$3,Model!$L$2:$L$1001,$B$4,Model!$I$2:$I$1001,$T251)</f>
        <v>3</v>
      </c>
      <c r="V251" s="74" t="n">
        <f aca="false">SUMIFS(Model!$N$2:$N$1001,Model!$J$2:$J$1001,$B$3,Model!$L$2:$L$1001,$B$4,Model!$I$2:$I$1001,$T251)</f>
        <v>10668</v>
      </c>
      <c r="W251" s="75" t="n">
        <f aca="false">$U251+$V251/1000000000+ROW()/1000000000000</f>
        <v>3.000010668251</v>
      </c>
    </row>
    <row r="252" customFormat="false" ht="15" hidden="false" customHeight="false" outlineLevel="0" collapsed="false">
      <c r="T252" s="72" t="s">
        <v>555</v>
      </c>
      <c r="U252" s="73" t="n">
        <f aca="false">COUNTIFS(Model!$J$2:$J$1001,$B$3,Model!$L$2:$L$1001,$B$4,Model!$I$2:$I$1001,$T252)</f>
        <v>4</v>
      </c>
      <c r="V252" s="74" t="n">
        <f aca="false">SUMIFS(Model!$N$2:$N$1001,Model!$J$2:$J$1001,$B$3,Model!$L$2:$L$1001,$B$4,Model!$I$2:$I$1001,$T252)</f>
        <v>9656</v>
      </c>
      <c r="W252" s="75" t="n">
        <f aca="false">$U252+$V252/1000000000+ROW()/1000000000000</f>
        <v>4.000009656252</v>
      </c>
    </row>
    <row r="253" customFormat="false" ht="15" hidden="false" customHeight="false" outlineLevel="0" collapsed="false">
      <c r="T253" s="72" t="s">
        <v>556</v>
      </c>
      <c r="U253" s="73" t="n">
        <f aca="false">COUNTIFS(Model!$J$2:$J$1001,$B$3,Model!$L$2:$L$1001,$B$4,Model!$I$2:$I$1001,$T253)</f>
        <v>4</v>
      </c>
      <c r="V253" s="74" t="n">
        <f aca="false">SUMIFS(Model!$N$2:$N$1001,Model!$J$2:$J$1001,$B$3,Model!$L$2:$L$1001,$B$4,Model!$I$2:$I$1001,$T253)</f>
        <v>18753</v>
      </c>
      <c r="W253" s="75" t="n">
        <f aca="false">$U253+$V253/1000000000+ROW()/1000000000000</f>
        <v>4.000018753253</v>
      </c>
    </row>
    <row r="254" customFormat="false" ht="15" hidden="false" customHeight="false" outlineLevel="0" collapsed="false">
      <c r="T254" s="72" t="s">
        <v>557</v>
      </c>
      <c r="U254" s="73" t="n">
        <f aca="false">COUNTIFS(Model!$J$2:$J$1001,$B$3,Model!$L$2:$L$1001,$B$4,Model!$I$2:$I$1001,$T254)</f>
        <v>3</v>
      </c>
      <c r="V254" s="74" t="n">
        <f aca="false">SUMIFS(Model!$N$2:$N$1001,Model!$J$2:$J$1001,$B$3,Model!$L$2:$L$1001,$B$4,Model!$I$2:$I$1001,$T254)</f>
        <v>4593</v>
      </c>
      <c r="W254" s="75" t="n">
        <f aca="false">$U254+$V254/1000000000+ROW()/1000000000000</f>
        <v>3.000004593254</v>
      </c>
    </row>
    <row r="255" customFormat="false" ht="15" hidden="false" customHeight="false" outlineLevel="0" collapsed="false">
      <c r="T255" s="72" t="s">
        <v>558</v>
      </c>
      <c r="U255" s="73" t="n">
        <f aca="false">COUNTIFS(Model!$J$2:$J$1001,$B$3,Model!$L$2:$L$1001,$B$4,Model!$I$2:$I$1001,$T255)</f>
        <v>7</v>
      </c>
      <c r="V255" s="74" t="n">
        <f aca="false">SUMIFS(Model!$N$2:$N$1001,Model!$J$2:$J$1001,$B$3,Model!$L$2:$L$1001,$B$4,Model!$I$2:$I$1001,$T255)</f>
        <v>27857</v>
      </c>
      <c r="W255" s="75" t="n">
        <f aca="false">$U255+$V255/1000000000+ROW()/1000000000000</f>
        <v>7.000027857255</v>
      </c>
    </row>
    <row r="256" customFormat="false" ht="15" hidden="false" customHeight="false" outlineLevel="0" collapsed="false">
      <c r="T256" s="72" t="s">
        <v>559</v>
      </c>
      <c r="U256" s="73" t="n">
        <f aca="false">COUNTIFS(Model!$J$2:$J$1001,$B$3,Model!$L$2:$L$1001,$B$4,Model!$I$2:$I$1001,$T256)</f>
        <v>2</v>
      </c>
      <c r="V256" s="74" t="n">
        <f aca="false">SUMIFS(Model!$N$2:$N$1001,Model!$J$2:$J$1001,$B$3,Model!$L$2:$L$1001,$B$4,Model!$I$2:$I$1001,$T256)</f>
        <v>3860</v>
      </c>
      <c r="W256" s="75" t="n">
        <f aca="false">$U256+$V256/1000000000+ROW()/1000000000000</f>
        <v>2.000003860256</v>
      </c>
    </row>
    <row r="257" customFormat="false" ht="15" hidden="false" customHeight="false" outlineLevel="0" collapsed="false">
      <c r="T257" s="72" t="s">
        <v>560</v>
      </c>
      <c r="U257" s="73" t="n">
        <f aca="false">COUNTIFS(Model!$J$2:$J$1001,$B$3,Model!$L$2:$L$1001,$B$4,Model!$I$2:$I$1001,$T257)</f>
        <v>3</v>
      </c>
      <c r="V257" s="74" t="n">
        <f aca="false">SUMIFS(Model!$N$2:$N$1001,Model!$J$2:$J$1001,$B$3,Model!$L$2:$L$1001,$B$4,Model!$I$2:$I$1001,$T257)</f>
        <v>6101</v>
      </c>
      <c r="W257" s="75" t="n">
        <f aca="false">$U257+$V257/1000000000+ROW()/1000000000000</f>
        <v>3.000006101257</v>
      </c>
    </row>
    <row r="258" customFormat="false" ht="15" hidden="false" customHeight="false" outlineLevel="0" collapsed="false">
      <c r="T258" s="72" t="s">
        <v>561</v>
      </c>
      <c r="U258" s="73" t="n">
        <f aca="false">COUNTIFS(Model!$J$2:$J$1001,$B$3,Model!$L$2:$L$1001,$B$4,Model!$I$2:$I$1001,$T258)</f>
        <v>2</v>
      </c>
      <c r="V258" s="74" t="n">
        <f aca="false">SUMIFS(Model!$N$2:$N$1001,Model!$J$2:$J$1001,$B$3,Model!$L$2:$L$1001,$B$4,Model!$I$2:$I$1001,$T258)</f>
        <v>10443</v>
      </c>
      <c r="W258" s="75" t="n">
        <f aca="false">$U258+$V258/1000000000+ROW()/1000000000000</f>
        <v>2.000010443258</v>
      </c>
    </row>
    <row r="259" customFormat="false" ht="15" hidden="false" customHeight="false" outlineLevel="0" collapsed="false">
      <c r="T259" s="72" t="s">
        <v>562</v>
      </c>
      <c r="U259" s="73" t="n">
        <f aca="false">COUNTIFS(Model!$J$2:$J$1001,$B$3,Model!$L$2:$L$1001,$B$4,Model!$I$2:$I$1001,$T259)</f>
        <v>4</v>
      </c>
      <c r="V259" s="74" t="n">
        <f aca="false">SUMIFS(Model!$N$2:$N$1001,Model!$J$2:$J$1001,$B$3,Model!$L$2:$L$1001,$B$4,Model!$I$2:$I$1001,$T259)</f>
        <v>9232</v>
      </c>
      <c r="W259" s="75" t="n">
        <f aca="false">$U259+$V259/1000000000+ROW()/1000000000000</f>
        <v>4.000009232259</v>
      </c>
    </row>
    <row r="260" customFormat="false" ht="15" hidden="false" customHeight="false" outlineLevel="0" collapsed="false">
      <c r="T260" s="72" t="s">
        <v>563</v>
      </c>
      <c r="U260" s="73" t="n">
        <f aca="false">COUNTIFS(Model!$J$2:$J$1001,$B$3,Model!$L$2:$L$1001,$B$4,Model!$I$2:$I$1001,$T260)</f>
        <v>2</v>
      </c>
      <c r="V260" s="74" t="n">
        <f aca="false">SUMIFS(Model!$N$2:$N$1001,Model!$J$2:$J$1001,$B$3,Model!$L$2:$L$1001,$B$4,Model!$I$2:$I$1001,$T260)</f>
        <v>7664</v>
      </c>
      <c r="W260" s="75" t="n">
        <f aca="false">$U260+$V260/1000000000+ROW()/1000000000000</f>
        <v>2.00000766426</v>
      </c>
    </row>
    <row r="261" customFormat="false" ht="15" hidden="false" customHeight="false" outlineLevel="0" collapsed="false">
      <c r="T261" s="72" t="s">
        <v>564</v>
      </c>
      <c r="U261" s="73" t="n">
        <f aca="false">COUNTIFS(Model!$J$2:$J$1001,$B$3,Model!$L$2:$L$1001,$B$4,Model!$I$2:$I$1001,$T261)</f>
        <v>4</v>
      </c>
      <c r="V261" s="74" t="n">
        <f aca="false">SUMIFS(Model!$N$2:$N$1001,Model!$J$2:$J$1001,$B$3,Model!$L$2:$L$1001,$B$4,Model!$I$2:$I$1001,$T261)</f>
        <v>18238</v>
      </c>
      <c r="W261" s="75" t="n">
        <f aca="false">$U261+$V261/1000000000+ROW()/1000000000000</f>
        <v>4.000018238261</v>
      </c>
    </row>
    <row r="262" customFormat="false" ht="15" hidden="false" customHeight="false" outlineLevel="0" collapsed="false">
      <c r="T262" s="72" t="s">
        <v>565</v>
      </c>
      <c r="U262" s="73" t="n">
        <f aca="false">COUNTIFS(Model!$J$2:$J$1001,$B$3,Model!$L$2:$L$1001,$B$4,Model!$I$2:$I$1001,$T262)</f>
        <v>5</v>
      </c>
      <c r="V262" s="74" t="n">
        <f aca="false">SUMIFS(Model!$N$2:$N$1001,Model!$J$2:$J$1001,$B$3,Model!$L$2:$L$1001,$B$4,Model!$I$2:$I$1001,$T262)</f>
        <v>13076</v>
      </c>
      <c r="W262" s="75" t="n">
        <f aca="false">$U262+$V262/1000000000+ROW()/1000000000000</f>
        <v>5.000013076262</v>
      </c>
    </row>
    <row r="263" customFormat="false" ht="15" hidden="false" customHeight="false" outlineLevel="0" collapsed="false">
      <c r="T263" s="72" t="s">
        <v>566</v>
      </c>
      <c r="U263" s="73" t="n">
        <f aca="false">COUNTIFS(Model!$J$2:$J$1001,$B$3,Model!$L$2:$L$1001,$B$4,Model!$I$2:$I$1001,$T263)</f>
        <v>1</v>
      </c>
      <c r="V263" s="74" t="n">
        <f aca="false">SUMIFS(Model!$N$2:$N$1001,Model!$J$2:$J$1001,$B$3,Model!$L$2:$L$1001,$B$4,Model!$I$2:$I$1001,$T263)</f>
        <v>1639</v>
      </c>
      <c r="W263" s="75" t="n">
        <f aca="false">$U263+$V263/1000000000+ROW()/1000000000000</f>
        <v>1.000001639263</v>
      </c>
    </row>
    <row r="264" customFormat="false" ht="15" hidden="false" customHeight="false" outlineLevel="0" collapsed="false">
      <c r="T264" s="72" t="s">
        <v>567</v>
      </c>
      <c r="U264" s="73" t="n">
        <f aca="false">COUNTIFS(Model!$J$2:$J$1001,$B$3,Model!$L$2:$L$1001,$B$4,Model!$I$2:$I$1001,$T264)</f>
        <v>3</v>
      </c>
      <c r="V264" s="74" t="n">
        <f aca="false">SUMIFS(Model!$N$2:$N$1001,Model!$J$2:$J$1001,$B$3,Model!$L$2:$L$1001,$B$4,Model!$I$2:$I$1001,$T264)</f>
        <v>13698</v>
      </c>
      <c r="W264" s="75" t="n">
        <f aca="false">$U264+$V264/1000000000+ROW()/1000000000000</f>
        <v>3.000013698264</v>
      </c>
    </row>
    <row r="265" customFormat="false" ht="15" hidden="false" customHeight="false" outlineLevel="0" collapsed="false">
      <c r="T265" s="72" t="s">
        <v>568</v>
      </c>
      <c r="U265" s="73" t="n">
        <f aca="false">COUNTIFS(Model!$J$2:$J$1001,$B$3,Model!$L$2:$L$1001,$B$4,Model!$I$2:$I$1001,$T265)</f>
        <v>3</v>
      </c>
      <c r="V265" s="74" t="n">
        <f aca="false">SUMIFS(Model!$N$2:$N$1001,Model!$J$2:$J$1001,$B$3,Model!$L$2:$L$1001,$B$4,Model!$I$2:$I$1001,$T265)</f>
        <v>13660</v>
      </c>
      <c r="W265" s="75" t="n">
        <f aca="false">$U265+$V265/1000000000+ROW()/1000000000000</f>
        <v>3.000013660265</v>
      </c>
    </row>
    <row r="266" customFormat="false" ht="15" hidden="false" customHeight="false" outlineLevel="0" collapsed="false">
      <c r="T266" s="72" t="s">
        <v>569</v>
      </c>
      <c r="U266" s="73" t="n">
        <f aca="false">COUNTIFS(Model!$J$2:$J$1001,$B$3,Model!$L$2:$L$1001,$B$4,Model!$I$2:$I$1001,$T266)</f>
        <v>3</v>
      </c>
      <c r="V266" s="74" t="n">
        <f aca="false">SUMIFS(Model!$N$2:$N$1001,Model!$J$2:$J$1001,$B$3,Model!$L$2:$L$1001,$B$4,Model!$I$2:$I$1001,$T266)</f>
        <v>7961</v>
      </c>
      <c r="W266" s="75" t="n">
        <f aca="false">$U266+$V266/1000000000+ROW()/1000000000000</f>
        <v>3.000007961266</v>
      </c>
    </row>
    <row r="267" customFormat="false" ht="15" hidden="false" customHeight="false" outlineLevel="0" collapsed="false">
      <c r="T267" s="72" t="s">
        <v>570</v>
      </c>
      <c r="U267" s="73" t="n">
        <f aca="false">COUNTIFS(Model!$J$2:$J$1001,$B$3,Model!$L$2:$L$1001,$B$4,Model!$I$2:$I$1001,$T267)</f>
        <v>7</v>
      </c>
      <c r="V267" s="74" t="n">
        <f aca="false">SUMIFS(Model!$N$2:$N$1001,Model!$J$2:$J$1001,$B$3,Model!$L$2:$L$1001,$B$4,Model!$I$2:$I$1001,$T267)</f>
        <v>22638</v>
      </c>
      <c r="W267" s="75" t="n">
        <f aca="false">$U267+$V267/1000000000+ROW()/1000000000000</f>
        <v>7.000022638267</v>
      </c>
    </row>
    <row r="268" customFormat="false" ht="15" hidden="false" customHeight="false" outlineLevel="0" collapsed="false">
      <c r="T268" s="72" t="s">
        <v>571</v>
      </c>
      <c r="U268" s="73" t="n">
        <f aca="false">COUNTIFS(Model!$J$2:$J$1001,$B$3,Model!$L$2:$L$1001,$B$4,Model!$I$2:$I$1001,$T268)</f>
        <v>3</v>
      </c>
      <c r="V268" s="74" t="n">
        <f aca="false">SUMIFS(Model!$N$2:$N$1001,Model!$J$2:$J$1001,$B$3,Model!$L$2:$L$1001,$B$4,Model!$I$2:$I$1001,$T268)</f>
        <v>11499</v>
      </c>
      <c r="W268" s="75" t="n">
        <f aca="false">$U268+$V268/1000000000+ROW()/1000000000000</f>
        <v>3.000011499268</v>
      </c>
    </row>
    <row r="269" customFormat="false" ht="15" hidden="false" customHeight="false" outlineLevel="0" collapsed="false">
      <c r="T269" s="72" t="s">
        <v>572</v>
      </c>
      <c r="U269" s="73" t="n">
        <f aca="false">COUNTIFS(Model!$J$2:$J$1001,$B$3,Model!$L$2:$L$1001,$B$4,Model!$I$2:$I$1001,$T269)</f>
        <v>1</v>
      </c>
      <c r="V269" s="74" t="n">
        <f aca="false">SUMIFS(Model!$N$2:$N$1001,Model!$J$2:$J$1001,$B$3,Model!$L$2:$L$1001,$B$4,Model!$I$2:$I$1001,$T269)</f>
        <v>9495</v>
      </c>
      <c r="W269" s="75" t="n">
        <f aca="false">$U269+$V269/1000000000+ROW()/1000000000000</f>
        <v>1.000009495269</v>
      </c>
    </row>
    <row r="270" customFormat="false" ht="15" hidden="false" customHeight="false" outlineLevel="0" collapsed="false">
      <c r="T270" s="72" t="s">
        <v>573</v>
      </c>
      <c r="U270" s="73" t="n">
        <f aca="false">COUNTIFS(Model!$J$2:$J$1001,$B$3,Model!$L$2:$L$1001,$B$4,Model!$I$2:$I$1001,$T270)</f>
        <v>1</v>
      </c>
      <c r="V270" s="74" t="n">
        <f aca="false">SUMIFS(Model!$N$2:$N$1001,Model!$J$2:$J$1001,$B$3,Model!$L$2:$L$1001,$B$4,Model!$I$2:$I$1001,$T270)</f>
        <v>203</v>
      </c>
      <c r="W270" s="75" t="n">
        <f aca="false">$U270+$V270/1000000000+ROW()/1000000000000</f>
        <v>1.00000020327</v>
      </c>
    </row>
    <row r="271" customFormat="false" ht="15" hidden="false" customHeight="false" outlineLevel="0" collapsed="false">
      <c r="T271" s="72" t="s">
        <v>574</v>
      </c>
      <c r="U271" s="73" t="n">
        <f aca="false">COUNTIFS(Model!$J$2:$J$1001,$B$3,Model!$L$2:$L$1001,$B$4,Model!$I$2:$I$1001,$T271)</f>
        <v>4</v>
      </c>
      <c r="V271" s="74" t="n">
        <f aca="false">SUMIFS(Model!$N$2:$N$1001,Model!$J$2:$J$1001,$B$3,Model!$L$2:$L$1001,$B$4,Model!$I$2:$I$1001,$T271)</f>
        <v>30142</v>
      </c>
      <c r="W271" s="75" t="n">
        <f aca="false">$U271+$V271/1000000000+ROW()/1000000000000</f>
        <v>4.000030142271</v>
      </c>
    </row>
    <row r="272" customFormat="false" ht="15" hidden="false" customHeight="false" outlineLevel="0" collapsed="false">
      <c r="T272" s="72" t="s">
        <v>575</v>
      </c>
      <c r="U272" s="73" t="n">
        <f aca="false">COUNTIFS(Model!$J$2:$J$1001,$B$3,Model!$L$2:$L$1001,$B$4,Model!$I$2:$I$1001,$T272)</f>
        <v>2</v>
      </c>
      <c r="V272" s="74" t="n">
        <f aca="false">SUMIFS(Model!$N$2:$N$1001,Model!$J$2:$J$1001,$B$3,Model!$L$2:$L$1001,$B$4,Model!$I$2:$I$1001,$T272)</f>
        <v>5733</v>
      </c>
      <c r="W272" s="75" t="n">
        <f aca="false">$U272+$V272/1000000000+ROW()/1000000000000</f>
        <v>2.000005733272</v>
      </c>
    </row>
    <row r="273" customFormat="false" ht="15" hidden="false" customHeight="false" outlineLevel="0" collapsed="false">
      <c r="T273" s="72" t="s">
        <v>576</v>
      </c>
      <c r="U273" s="73" t="n">
        <f aca="false">COUNTIFS(Model!$J$2:$J$1001,$B$3,Model!$L$2:$L$1001,$B$4,Model!$I$2:$I$1001,$T273)</f>
        <v>4</v>
      </c>
      <c r="V273" s="74" t="n">
        <f aca="false">SUMIFS(Model!$N$2:$N$1001,Model!$J$2:$J$1001,$B$3,Model!$L$2:$L$1001,$B$4,Model!$I$2:$I$1001,$T273)</f>
        <v>17637</v>
      </c>
      <c r="W273" s="75" t="n">
        <f aca="false">$U273+$V273/1000000000+ROW()/1000000000000</f>
        <v>4.000017637273</v>
      </c>
    </row>
    <row r="274" customFormat="false" ht="15" hidden="false" customHeight="false" outlineLevel="0" collapsed="false">
      <c r="T274" s="72" t="s">
        <v>577</v>
      </c>
      <c r="U274" s="73" t="n">
        <f aca="false">COUNTIFS(Model!$J$2:$J$1001,$B$3,Model!$L$2:$L$1001,$B$4,Model!$I$2:$I$1001,$T274)</f>
        <v>3</v>
      </c>
      <c r="V274" s="74" t="n">
        <f aca="false">SUMIFS(Model!$N$2:$N$1001,Model!$J$2:$J$1001,$B$3,Model!$L$2:$L$1001,$B$4,Model!$I$2:$I$1001,$T274)</f>
        <v>14660</v>
      </c>
      <c r="W274" s="75" t="n">
        <f aca="false">$U274+$V274/1000000000+ROW()/1000000000000</f>
        <v>3.000014660274</v>
      </c>
    </row>
    <row r="275" customFormat="false" ht="15" hidden="false" customHeight="false" outlineLevel="0" collapsed="false">
      <c r="T275" s="72" t="s">
        <v>578</v>
      </c>
      <c r="U275" s="73" t="n">
        <f aca="false">COUNTIFS(Model!$J$2:$J$1001,$B$3,Model!$L$2:$L$1001,$B$4,Model!$I$2:$I$1001,$T275)</f>
        <v>3</v>
      </c>
      <c r="V275" s="74" t="n">
        <f aca="false">SUMIFS(Model!$N$2:$N$1001,Model!$J$2:$J$1001,$B$3,Model!$L$2:$L$1001,$B$4,Model!$I$2:$I$1001,$T275)</f>
        <v>8105</v>
      </c>
      <c r="W275" s="75" t="n">
        <f aca="false">$U275+$V275/1000000000+ROW()/1000000000000</f>
        <v>3.000008105275</v>
      </c>
    </row>
    <row r="276" customFormat="false" ht="15" hidden="false" customHeight="false" outlineLevel="0" collapsed="false">
      <c r="T276" s="72" t="s">
        <v>579</v>
      </c>
      <c r="U276" s="73" t="n">
        <f aca="false">COUNTIFS(Model!$J$2:$J$1001,$B$3,Model!$L$2:$L$1001,$B$4,Model!$I$2:$I$1001,$T276)</f>
        <v>4</v>
      </c>
      <c r="V276" s="74" t="n">
        <f aca="false">SUMIFS(Model!$N$2:$N$1001,Model!$J$2:$J$1001,$B$3,Model!$L$2:$L$1001,$B$4,Model!$I$2:$I$1001,$T276)</f>
        <v>9816</v>
      </c>
      <c r="W276" s="75" t="n">
        <f aca="false">$U276+$V276/1000000000+ROW()/1000000000000</f>
        <v>4.000009816276</v>
      </c>
    </row>
    <row r="277" customFormat="false" ht="15" hidden="false" customHeight="false" outlineLevel="0" collapsed="false">
      <c r="T277" s="72" t="s">
        <v>580</v>
      </c>
      <c r="U277" s="73" t="n">
        <f aca="false">COUNTIFS(Model!$J$2:$J$1001,$B$3,Model!$L$2:$L$1001,$B$4,Model!$I$2:$I$1001,$T277)</f>
        <v>3</v>
      </c>
      <c r="V277" s="74" t="n">
        <f aca="false">SUMIFS(Model!$N$2:$N$1001,Model!$J$2:$J$1001,$B$3,Model!$L$2:$L$1001,$B$4,Model!$I$2:$I$1001,$T277)</f>
        <v>3784</v>
      </c>
      <c r="W277" s="75" t="n">
        <f aca="false">$U277+$V277/1000000000+ROW()/1000000000000</f>
        <v>3.000003784277</v>
      </c>
    </row>
    <row r="278" customFormat="false" ht="15" hidden="false" customHeight="false" outlineLevel="0" collapsed="false">
      <c r="T278" s="72" t="s">
        <v>581</v>
      </c>
      <c r="U278" s="73" t="n">
        <f aca="false">COUNTIFS(Model!$J$2:$J$1001,$B$3,Model!$L$2:$L$1001,$B$4,Model!$I$2:$I$1001,$T278)</f>
        <v>4</v>
      </c>
      <c r="V278" s="74" t="n">
        <f aca="false">SUMIFS(Model!$N$2:$N$1001,Model!$J$2:$J$1001,$B$3,Model!$L$2:$L$1001,$B$4,Model!$I$2:$I$1001,$T278)</f>
        <v>11842</v>
      </c>
      <c r="W278" s="75" t="n">
        <f aca="false">$U278+$V278/1000000000+ROW()/1000000000000</f>
        <v>4.000011842278</v>
      </c>
    </row>
    <row r="279" customFormat="false" ht="15" hidden="false" customHeight="false" outlineLevel="0" collapsed="false">
      <c r="T279" s="72" t="s">
        <v>582</v>
      </c>
      <c r="U279" s="73" t="n">
        <f aca="false">COUNTIFS(Model!$J$2:$J$1001,$B$3,Model!$L$2:$L$1001,$B$4,Model!$I$2:$I$1001,$T279)</f>
        <v>3</v>
      </c>
      <c r="V279" s="74" t="n">
        <f aca="false">SUMIFS(Model!$N$2:$N$1001,Model!$J$2:$J$1001,$B$3,Model!$L$2:$L$1001,$B$4,Model!$I$2:$I$1001,$T279)</f>
        <v>5643</v>
      </c>
      <c r="W279" s="75" t="n">
        <f aca="false">$U279+$V279/1000000000+ROW()/1000000000000</f>
        <v>3.000005643279</v>
      </c>
    </row>
    <row r="280" customFormat="false" ht="15" hidden="false" customHeight="false" outlineLevel="0" collapsed="false">
      <c r="T280" s="72" t="s">
        <v>583</v>
      </c>
      <c r="U280" s="73" t="n">
        <f aca="false">COUNTIFS(Model!$J$2:$J$1001,$B$3,Model!$L$2:$L$1001,$B$4,Model!$I$2:$I$1001,$T280)</f>
        <v>1</v>
      </c>
      <c r="V280" s="74" t="n">
        <f aca="false">SUMIFS(Model!$N$2:$N$1001,Model!$J$2:$J$1001,$B$3,Model!$L$2:$L$1001,$B$4,Model!$I$2:$I$1001,$T280)</f>
        <v>1161</v>
      </c>
      <c r="W280" s="75" t="n">
        <f aca="false">$U280+$V280/1000000000+ROW()/1000000000000</f>
        <v>1.00000116128</v>
      </c>
    </row>
    <row r="281" customFormat="false" ht="15" hidden="false" customHeight="false" outlineLevel="0" collapsed="false">
      <c r="T281" s="72" t="s">
        <v>584</v>
      </c>
      <c r="U281" s="73" t="n">
        <f aca="false">COUNTIFS(Model!$J$2:$J$1001,$B$3,Model!$L$2:$L$1001,$B$4,Model!$I$2:$I$1001,$T281)</f>
        <v>3</v>
      </c>
      <c r="V281" s="74" t="n">
        <f aca="false">SUMIFS(Model!$N$2:$N$1001,Model!$J$2:$J$1001,$B$3,Model!$L$2:$L$1001,$B$4,Model!$I$2:$I$1001,$T281)</f>
        <v>3287</v>
      </c>
      <c r="W281" s="75" t="n">
        <f aca="false">$U281+$V281/1000000000+ROW()/1000000000000</f>
        <v>3.000003287281</v>
      </c>
    </row>
    <row r="282" customFormat="false" ht="15" hidden="false" customHeight="false" outlineLevel="0" collapsed="false">
      <c r="T282" s="72" t="s">
        <v>585</v>
      </c>
      <c r="U282" s="73" t="n">
        <f aca="false">COUNTIFS(Model!$J$2:$J$1001,$B$3,Model!$L$2:$L$1001,$B$4,Model!$I$2:$I$1001,$T282)</f>
        <v>4</v>
      </c>
      <c r="V282" s="74" t="n">
        <f aca="false">SUMIFS(Model!$N$2:$N$1001,Model!$J$2:$J$1001,$B$3,Model!$L$2:$L$1001,$B$4,Model!$I$2:$I$1001,$T282)</f>
        <v>23814</v>
      </c>
      <c r="W282" s="75" t="n">
        <f aca="false">$U282+$V282/1000000000+ROW()/1000000000000</f>
        <v>4.000023814282</v>
      </c>
    </row>
    <row r="283" customFormat="false" ht="15" hidden="false" customHeight="false" outlineLevel="0" collapsed="false">
      <c r="T283" s="72" t="s">
        <v>586</v>
      </c>
      <c r="U283" s="73" t="n">
        <f aca="false">COUNTIFS(Model!$J$2:$J$1001,$B$3,Model!$L$2:$L$1001,$B$4,Model!$I$2:$I$1001,$T283)</f>
        <v>2</v>
      </c>
      <c r="V283" s="74" t="n">
        <f aca="false">SUMIFS(Model!$N$2:$N$1001,Model!$J$2:$J$1001,$B$3,Model!$L$2:$L$1001,$B$4,Model!$I$2:$I$1001,$T283)</f>
        <v>9172</v>
      </c>
      <c r="W283" s="75" t="n">
        <f aca="false">$U283+$V283/1000000000+ROW()/1000000000000</f>
        <v>2.000009172283</v>
      </c>
    </row>
    <row r="284" customFormat="false" ht="15" hidden="false" customHeight="false" outlineLevel="0" collapsed="false">
      <c r="T284" s="72" t="s">
        <v>587</v>
      </c>
      <c r="U284" s="73" t="n">
        <f aca="false">COUNTIFS(Model!$J$2:$J$1001,$B$3,Model!$L$2:$L$1001,$B$4,Model!$I$2:$I$1001,$T284)</f>
        <v>2</v>
      </c>
      <c r="V284" s="74" t="n">
        <f aca="false">SUMIFS(Model!$N$2:$N$1001,Model!$J$2:$J$1001,$B$3,Model!$L$2:$L$1001,$B$4,Model!$I$2:$I$1001,$T284)</f>
        <v>11015</v>
      </c>
      <c r="W284" s="75" t="n">
        <f aca="false">$U284+$V284/1000000000+ROW()/1000000000000</f>
        <v>2.000011015284</v>
      </c>
    </row>
    <row r="285" customFormat="false" ht="15" hidden="false" customHeight="false" outlineLevel="0" collapsed="false">
      <c r="T285" s="72" t="s">
        <v>588</v>
      </c>
      <c r="U285" s="73" t="n">
        <f aca="false">COUNTIFS(Model!$J$2:$J$1001,$B$3,Model!$L$2:$L$1001,$B$4,Model!$I$2:$I$1001,$T285)</f>
        <v>1</v>
      </c>
      <c r="V285" s="74" t="n">
        <f aca="false">SUMIFS(Model!$N$2:$N$1001,Model!$J$2:$J$1001,$B$3,Model!$L$2:$L$1001,$B$4,Model!$I$2:$I$1001,$T285)</f>
        <v>3612</v>
      </c>
      <c r="W285" s="75" t="n">
        <f aca="false">$U285+$V285/1000000000+ROW()/1000000000000</f>
        <v>1.000003612285</v>
      </c>
    </row>
    <row r="286" customFormat="false" ht="15" hidden="false" customHeight="false" outlineLevel="0" collapsed="false">
      <c r="T286" s="72" t="s">
        <v>589</v>
      </c>
      <c r="U286" s="73" t="n">
        <f aca="false">COUNTIFS(Model!$J$2:$J$1001,$B$3,Model!$L$2:$L$1001,$B$4,Model!$I$2:$I$1001,$T286)</f>
        <v>6</v>
      </c>
      <c r="V286" s="74" t="n">
        <f aca="false">SUMIFS(Model!$N$2:$N$1001,Model!$J$2:$J$1001,$B$3,Model!$L$2:$L$1001,$B$4,Model!$I$2:$I$1001,$T286)</f>
        <v>18913</v>
      </c>
      <c r="W286" s="75" t="n">
        <f aca="false">$U286+$V286/1000000000+ROW()/1000000000000</f>
        <v>6.000018913286</v>
      </c>
    </row>
    <row r="287" customFormat="false" ht="15" hidden="false" customHeight="false" outlineLevel="0" collapsed="false">
      <c r="T287" s="72" t="s">
        <v>590</v>
      </c>
      <c r="U287" s="73" t="n">
        <f aca="false">COUNTIFS(Model!$J$2:$J$1001,$B$3,Model!$L$2:$L$1001,$B$4,Model!$I$2:$I$1001,$T287)</f>
        <v>2</v>
      </c>
      <c r="V287" s="74" t="n">
        <f aca="false">SUMIFS(Model!$N$2:$N$1001,Model!$J$2:$J$1001,$B$3,Model!$L$2:$L$1001,$B$4,Model!$I$2:$I$1001,$T287)</f>
        <v>2466</v>
      </c>
      <c r="W287" s="75" t="n">
        <f aca="false">$U287+$V287/1000000000+ROW()/1000000000000</f>
        <v>2.000002466287</v>
      </c>
    </row>
    <row r="288" customFormat="false" ht="15" hidden="false" customHeight="false" outlineLevel="0" collapsed="false">
      <c r="T288" s="72" t="s">
        <v>591</v>
      </c>
      <c r="U288" s="73" t="n">
        <f aca="false">COUNTIFS(Model!$J$2:$J$1001,$B$3,Model!$L$2:$L$1001,$B$4,Model!$I$2:$I$1001,$T288)</f>
        <v>4</v>
      </c>
      <c r="V288" s="74" t="n">
        <f aca="false">SUMIFS(Model!$N$2:$N$1001,Model!$J$2:$J$1001,$B$3,Model!$L$2:$L$1001,$B$4,Model!$I$2:$I$1001,$T288)</f>
        <v>10561</v>
      </c>
      <c r="W288" s="75" t="n">
        <f aca="false">$U288+$V288/1000000000+ROW()/1000000000000</f>
        <v>4.000010561288</v>
      </c>
    </row>
    <row r="289" customFormat="false" ht="15" hidden="false" customHeight="false" outlineLevel="0" collapsed="false">
      <c r="T289" s="72" t="s">
        <v>592</v>
      </c>
      <c r="U289" s="73" t="n">
        <f aca="false">COUNTIFS(Model!$J$2:$J$1001,$B$3,Model!$L$2:$L$1001,$B$4,Model!$I$2:$I$1001,$T289)</f>
        <v>7</v>
      </c>
      <c r="V289" s="74" t="n">
        <f aca="false">SUMIFS(Model!$N$2:$N$1001,Model!$J$2:$J$1001,$B$3,Model!$L$2:$L$1001,$B$4,Model!$I$2:$I$1001,$T289)</f>
        <v>19136</v>
      </c>
      <c r="W289" s="75" t="n">
        <f aca="false">$U289+$V289/1000000000+ROW()/1000000000000</f>
        <v>7.000019136289</v>
      </c>
    </row>
    <row r="290" customFormat="false" ht="15" hidden="false" customHeight="false" outlineLevel="0" collapsed="false">
      <c r="T290" s="72" t="s">
        <v>593</v>
      </c>
      <c r="U290" s="73" t="n">
        <f aca="false">COUNTIFS(Model!$J$2:$J$1001,$B$3,Model!$L$2:$L$1001,$B$4,Model!$I$2:$I$1001,$T290)</f>
        <v>2</v>
      </c>
      <c r="V290" s="74" t="n">
        <f aca="false">SUMIFS(Model!$N$2:$N$1001,Model!$J$2:$J$1001,$B$3,Model!$L$2:$L$1001,$B$4,Model!$I$2:$I$1001,$T290)</f>
        <v>5436</v>
      </c>
      <c r="W290" s="75" t="n">
        <f aca="false">$U290+$V290/1000000000+ROW()/1000000000000</f>
        <v>2.00000543629</v>
      </c>
    </row>
    <row r="291" customFormat="false" ht="15" hidden="false" customHeight="false" outlineLevel="0" collapsed="false">
      <c r="T291" s="72" t="s">
        <v>594</v>
      </c>
      <c r="U291" s="73" t="n">
        <f aca="false">COUNTIFS(Model!$J$2:$J$1001,$B$3,Model!$L$2:$L$1001,$B$4,Model!$I$2:$I$1001,$T291)</f>
        <v>7</v>
      </c>
      <c r="V291" s="74" t="n">
        <f aca="false">SUMIFS(Model!$N$2:$N$1001,Model!$J$2:$J$1001,$B$3,Model!$L$2:$L$1001,$B$4,Model!$I$2:$I$1001,$T291)</f>
        <v>17789</v>
      </c>
      <c r="W291" s="75" t="n">
        <f aca="false">$U291+$V291/1000000000+ROW()/1000000000000</f>
        <v>7.000017789291</v>
      </c>
    </row>
    <row r="292" customFormat="false" ht="15" hidden="false" customHeight="false" outlineLevel="0" collapsed="false">
      <c r="T292" s="72" t="s">
        <v>595</v>
      </c>
      <c r="U292" s="73" t="n">
        <f aca="false">COUNTIFS(Model!$J$2:$J$1001,$B$3,Model!$L$2:$L$1001,$B$4,Model!$I$2:$I$1001,$T292)</f>
        <v>5</v>
      </c>
      <c r="V292" s="74" t="n">
        <f aca="false">SUMIFS(Model!$N$2:$N$1001,Model!$J$2:$J$1001,$B$3,Model!$L$2:$L$1001,$B$4,Model!$I$2:$I$1001,$T292)</f>
        <v>16931</v>
      </c>
      <c r="W292" s="75" t="n">
        <f aca="false">$U292+$V292/1000000000+ROW()/1000000000000</f>
        <v>5.000016931292</v>
      </c>
    </row>
    <row r="293" customFormat="false" ht="15" hidden="false" customHeight="false" outlineLevel="0" collapsed="false">
      <c r="T293" s="72" t="s">
        <v>596</v>
      </c>
      <c r="U293" s="73" t="n">
        <f aca="false">COUNTIFS(Model!$J$2:$J$1001,$B$3,Model!$L$2:$L$1001,$B$4,Model!$I$2:$I$1001,$T293)</f>
        <v>2</v>
      </c>
      <c r="V293" s="74" t="n">
        <f aca="false">SUMIFS(Model!$N$2:$N$1001,Model!$J$2:$J$1001,$B$3,Model!$L$2:$L$1001,$B$4,Model!$I$2:$I$1001,$T293)</f>
        <v>6568</v>
      </c>
      <c r="W293" s="75" t="n">
        <f aca="false">$U293+$V293/1000000000+ROW()/1000000000000</f>
        <v>2.000006568293</v>
      </c>
    </row>
    <row r="294" customFormat="false" ht="15" hidden="false" customHeight="false" outlineLevel="0" collapsed="false">
      <c r="T294" s="72" t="s">
        <v>597</v>
      </c>
      <c r="U294" s="73" t="n">
        <f aca="false">COUNTIFS(Model!$J$2:$J$1001,$B$3,Model!$L$2:$L$1001,$B$4,Model!$I$2:$I$1001,$T294)</f>
        <v>2</v>
      </c>
      <c r="V294" s="74" t="n">
        <f aca="false">SUMIFS(Model!$N$2:$N$1001,Model!$J$2:$J$1001,$B$3,Model!$L$2:$L$1001,$B$4,Model!$I$2:$I$1001,$T294)</f>
        <v>10093</v>
      </c>
      <c r="W294" s="75" t="n">
        <f aca="false">$U294+$V294/1000000000+ROW()/1000000000000</f>
        <v>2.000010093294</v>
      </c>
    </row>
    <row r="295" customFormat="false" ht="15" hidden="false" customHeight="false" outlineLevel="0" collapsed="false">
      <c r="T295" s="72" t="s">
        <v>598</v>
      </c>
      <c r="U295" s="73" t="n">
        <f aca="false">COUNTIFS(Model!$J$2:$J$1001,$B$3,Model!$L$2:$L$1001,$B$4,Model!$I$2:$I$1001,$T295)</f>
        <v>1</v>
      </c>
      <c r="V295" s="74" t="n">
        <f aca="false">SUMIFS(Model!$N$2:$N$1001,Model!$J$2:$J$1001,$B$3,Model!$L$2:$L$1001,$B$4,Model!$I$2:$I$1001,$T295)</f>
        <v>4336</v>
      </c>
      <c r="W295" s="75" t="n">
        <f aca="false">$U295+$V295/1000000000+ROW()/1000000000000</f>
        <v>1.000004336295</v>
      </c>
    </row>
    <row r="296" customFormat="false" ht="15" hidden="false" customHeight="false" outlineLevel="0" collapsed="false">
      <c r="T296" s="72" t="s">
        <v>599</v>
      </c>
      <c r="U296" s="73" t="n">
        <f aca="false">COUNTIFS(Model!$J$2:$J$1001,$B$3,Model!$L$2:$L$1001,$B$4,Model!$I$2:$I$1001,$T296)</f>
        <v>5</v>
      </c>
      <c r="V296" s="74" t="n">
        <f aca="false">SUMIFS(Model!$N$2:$N$1001,Model!$J$2:$J$1001,$B$3,Model!$L$2:$L$1001,$B$4,Model!$I$2:$I$1001,$T296)</f>
        <v>14020</v>
      </c>
      <c r="W296" s="75" t="n">
        <f aca="false">$U296+$V296/1000000000+ROW()/1000000000000</f>
        <v>5.000014020296</v>
      </c>
    </row>
    <row r="297" customFormat="false" ht="15" hidden="false" customHeight="false" outlineLevel="0" collapsed="false">
      <c r="T297" s="72" t="s">
        <v>600</v>
      </c>
      <c r="U297" s="73" t="n">
        <f aca="false">COUNTIFS(Model!$J$2:$J$1001,$B$3,Model!$L$2:$L$1001,$B$4,Model!$I$2:$I$1001,$T297)</f>
        <v>1</v>
      </c>
      <c r="V297" s="74" t="n">
        <f aca="false">SUMIFS(Model!$N$2:$N$1001,Model!$J$2:$J$1001,$B$3,Model!$L$2:$L$1001,$B$4,Model!$I$2:$I$1001,$T297)</f>
        <v>1791</v>
      </c>
      <c r="W297" s="75" t="n">
        <f aca="false">$U297+$V297/1000000000+ROW()/1000000000000</f>
        <v>1.000001791297</v>
      </c>
    </row>
    <row r="298" customFormat="false" ht="15" hidden="false" customHeight="false" outlineLevel="0" collapsed="false">
      <c r="T298" s="72" t="s">
        <v>601</v>
      </c>
      <c r="U298" s="73" t="n">
        <f aca="false">COUNTIFS(Model!$J$2:$J$1001,$B$3,Model!$L$2:$L$1001,$B$4,Model!$I$2:$I$1001,$T298)</f>
        <v>4</v>
      </c>
      <c r="V298" s="74" t="n">
        <f aca="false">SUMIFS(Model!$N$2:$N$1001,Model!$J$2:$J$1001,$B$3,Model!$L$2:$L$1001,$B$4,Model!$I$2:$I$1001,$T298)</f>
        <v>11113</v>
      </c>
      <c r="W298" s="75" t="n">
        <f aca="false">$U298+$V298/1000000000+ROW()/1000000000000</f>
        <v>4.000011113298</v>
      </c>
    </row>
    <row r="299" customFormat="false" ht="15" hidden="false" customHeight="false" outlineLevel="0" collapsed="false">
      <c r="T299" s="72" t="s">
        <v>602</v>
      </c>
      <c r="U299" s="73" t="n">
        <f aca="false">COUNTIFS(Model!$J$2:$J$1001,$B$3,Model!$L$2:$L$1001,$B$4,Model!$I$2:$I$1001,$T299)</f>
        <v>2</v>
      </c>
      <c r="V299" s="74" t="n">
        <f aca="false">SUMIFS(Model!$N$2:$N$1001,Model!$J$2:$J$1001,$B$3,Model!$L$2:$L$1001,$B$4,Model!$I$2:$I$1001,$T299)</f>
        <v>10185</v>
      </c>
      <c r="W299" s="75" t="n">
        <f aca="false">$U299+$V299/1000000000+ROW()/1000000000000</f>
        <v>2.000010185299</v>
      </c>
    </row>
    <row r="300" customFormat="false" ht="15" hidden="false" customHeight="false" outlineLevel="0" collapsed="false">
      <c r="T300" s="72" t="s">
        <v>603</v>
      </c>
      <c r="U300" s="73" t="n">
        <f aca="false">COUNTIFS(Model!$J$2:$J$1001,$B$3,Model!$L$2:$L$1001,$B$4,Model!$I$2:$I$1001,$T300)</f>
        <v>7</v>
      </c>
      <c r="V300" s="74" t="n">
        <f aca="false">SUMIFS(Model!$N$2:$N$1001,Model!$J$2:$J$1001,$B$3,Model!$L$2:$L$1001,$B$4,Model!$I$2:$I$1001,$T300)</f>
        <v>17747</v>
      </c>
      <c r="W300" s="75" t="n">
        <f aca="false">$U300+$V300/1000000000+ROW()/1000000000000</f>
        <v>7.0000177473</v>
      </c>
    </row>
    <row r="301" customFormat="false" ht="15" hidden="false" customHeight="false" outlineLevel="0" collapsed="false">
      <c r="T301" s="72" t="s">
        <v>604</v>
      </c>
      <c r="U301" s="73" t="n">
        <f aca="false">COUNTIFS(Model!$J$2:$J$1001,$B$3,Model!$L$2:$L$1001,$B$4,Model!$I$2:$I$1001,$T301)</f>
        <v>2</v>
      </c>
      <c r="V301" s="74" t="n">
        <f aca="false">SUMIFS(Model!$N$2:$N$1001,Model!$J$2:$J$1001,$B$3,Model!$L$2:$L$1001,$B$4,Model!$I$2:$I$1001,$T301)</f>
        <v>10138</v>
      </c>
      <c r="W301" s="75" t="n">
        <f aca="false">$U301+$V301/1000000000+ROW()/1000000000000</f>
        <v>2.000010138301</v>
      </c>
    </row>
    <row r="302" customFormat="false" ht="15" hidden="false" customHeight="false" outlineLevel="0" collapsed="false">
      <c r="T302" s="72" t="s">
        <v>605</v>
      </c>
      <c r="U302" s="73" t="n">
        <f aca="false">COUNTIFS(Model!$J$2:$J$1001,$B$3,Model!$L$2:$L$1001,$B$4,Model!$I$2:$I$1001,$T302)</f>
        <v>3</v>
      </c>
      <c r="V302" s="74" t="n">
        <f aca="false">SUMIFS(Model!$N$2:$N$1001,Model!$J$2:$J$1001,$B$3,Model!$L$2:$L$1001,$B$4,Model!$I$2:$I$1001,$T302)</f>
        <v>10955</v>
      </c>
      <c r="W302" s="75" t="n">
        <f aca="false">$U302+$V302/1000000000+ROW()/1000000000000</f>
        <v>3.000010955302</v>
      </c>
    </row>
    <row r="303" customFormat="false" ht="15" hidden="false" customHeight="false" outlineLevel="0" collapsed="false">
      <c r="T303" s="72" t="s">
        <v>606</v>
      </c>
      <c r="U303" s="73" t="n">
        <f aca="false">COUNTIFS(Model!$J$2:$J$1001,$B$3,Model!$L$2:$L$1001,$B$4,Model!$I$2:$I$1001,$T303)</f>
        <v>6</v>
      </c>
      <c r="V303" s="74" t="n">
        <f aca="false">SUMIFS(Model!$N$2:$N$1001,Model!$J$2:$J$1001,$B$3,Model!$L$2:$L$1001,$B$4,Model!$I$2:$I$1001,$T303)</f>
        <v>32862</v>
      </c>
      <c r="W303" s="75" t="n">
        <f aca="false">$U303+$V303/1000000000+ROW()/1000000000000</f>
        <v>6.000032862303</v>
      </c>
    </row>
    <row r="304" customFormat="false" ht="15" hidden="false" customHeight="false" outlineLevel="0" collapsed="false">
      <c r="T304" s="72" t="s">
        <v>607</v>
      </c>
      <c r="U304" s="73" t="n">
        <f aca="false">COUNTIFS(Model!$J$2:$J$1001,$B$3,Model!$L$2:$L$1001,$B$4,Model!$I$2:$I$1001,$T304)</f>
        <v>2</v>
      </c>
      <c r="V304" s="74" t="n">
        <f aca="false">SUMIFS(Model!$N$2:$N$1001,Model!$J$2:$J$1001,$B$3,Model!$L$2:$L$1001,$B$4,Model!$I$2:$I$1001,$T304)</f>
        <v>4970</v>
      </c>
      <c r="W304" s="75" t="n">
        <f aca="false">$U304+$V304/1000000000+ROW()/1000000000000</f>
        <v>2.000004970304</v>
      </c>
    </row>
    <row r="305" customFormat="false" ht="15" hidden="false" customHeight="false" outlineLevel="0" collapsed="false">
      <c r="T305" s="72" t="s">
        <v>608</v>
      </c>
      <c r="U305" s="73" t="n">
        <f aca="false">COUNTIFS(Model!$J$2:$J$1001,$B$3,Model!$L$2:$L$1001,$B$4,Model!$I$2:$I$1001,$T305)</f>
        <v>3</v>
      </c>
      <c r="V305" s="74" t="n">
        <f aca="false">SUMIFS(Model!$N$2:$N$1001,Model!$J$2:$J$1001,$B$3,Model!$L$2:$L$1001,$B$4,Model!$I$2:$I$1001,$T305)</f>
        <v>19748</v>
      </c>
      <c r="W305" s="75" t="n">
        <f aca="false">$U305+$V305/1000000000+ROW()/1000000000000</f>
        <v>3.000019748305</v>
      </c>
    </row>
    <row r="306" customFormat="false" ht="15" hidden="false" customHeight="false" outlineLevel="0" collapsed="false">
      <c r="T306" s="72" t="s">
        <v>609</v>
      </c>
      <c r="U306" s="73" t="n">
        <f aca="false">COUNTIFS(Model!$J$2:$J$1001,$B$3,Model!$L$2:$L$1001,$B$4,Model!$I$2:$I$1001,$T306)</f>
        <v>3</v>
      </c>
      <c r="V306" s="74" t="n">
        <f aca="false">SUMIFS(Model!$N$2:$N$1001,Model!$J$2:$J$1001,$B$3,Model!$L$2:$L$1001,$B$4,Model!$I$2:$I$1001,$T306)</f>
        <v>8540</v>
      </c>
      <c r="W306" s="75" t="n">
        <f aca="false">$U306+$V306/1000000000+ROW()/1000000000000</f>
        <v>3.000008540306</v>
      </c>
    </row>
    <row r="307" customFormat="false" ht="15" hidden="false" customHeight="false" outlineLevel="0" collapsed="false">
      <c r="T307" s="72" t="s">
        <v>610</v>
      </c>
      <c r="U307" s="73" t="n">
        <f aca="false">COUNTIFS(Model!$J$2:$J$1001,$B$3,Model!$L$2:$L$1001,$B$4,Model!$I$2:$I$1001,$T307)</f>
        <v>1</v>
      </c>
      <c r="V307" s="74" t="n">
        <f aca="false">SUMIFS(Model!$N$2:$N$1001,Model!$J$2:$J$1001,$B$3,Model!$L$2:$L$1001,$B$4,Model!$I$2:$I$1001,$T307)</f>
        <v>6870</v>
      </c>
      <c r="W307" s="75" t="n">
        <f aca="false">$U307+$V307/1000000000+ROW()/1000000000000</f>
        <v>1.000006870307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5"/>
    <col collapsed="false" customWidth="true" hidden="false" outlineLevel="0" max="11" min="11" style="0" width="18"/>
    <col collapsed="false" customWidth="true" hidden="false" outlineLevel="0" max="12" min="12" style="0" width="14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5"/>
    <col collapsed="false" customWidth="true" hidden="false" outlineLevel="0" max="16" min="16" style="0" width="9"/>
    <col collapsed="false" customWidth="true" hidden="false" outlineLevel="0" max="17" min="17" style="0" width="17"/>
    <col collapsed="false" customWidth="true" hidden="false" outlineLevel="0" max="18" min="18" style="0" width="9"/>
    <col collapsed="false" customWidth="true" hidden="false" outlineLevel="0" max="19" min="19" style="0" width="11"/>
    <col collapsed="false" customWidth="true" hidden="false" outlineLevel="0" max="20" min="20" style="0" width="7"/>
    <col collapsed="false" customWidth="true" hidden="false" outlineLevel="0" max="21" min="21" style="0" width="8"/>
    <col collapsed="false" customWidth="true" hidden="false" outlineLevel="0" max="22" min="22" style="0" width="11"/>
    <col collapsed="false" customWidth="true" hidden="false" outlineLevel="0" max="23" min="23" style="0" width="10"/>
    <col collapsed="false" customWidth="true" hidden="false" outlineLevel="0" max="24" min="24" style="0" width="15"/>
    <col collapsed="false" customWidth="true" hidden="false" outlineLevel="0" max="25" min="25" style="0" width="13"/>
  </cols>
  <sheetData>
    <row r="1" customFormat="false" ht="19.5" hidden="false" customHeight="true" outlineLevel="0" collapsed="false">
      <c r="A1" s="76" t="s">
        <v>51</v>
      </c>
      <c r="B1" s="76" t="s">
        <v>55</v>
      </c>
      <c r="C1" s="76" t="s">
        <v>59</v>
      </c>
      <c r="D1" s="76" t="s">
        <v>61</v>
      </c>
      <c r="E1" s="76" t="s">
        <v>63</v>
      </c>
      <c r="F1" s="76" t="s">
        <v>66</v>
      </c>
      <c r="G1" s="76" t="s">
        <v>69</v>
      </c>
      <c r="H1" s="76" t="s">
        <v>71</v>
      </c>
      <c r="I1" s="76" t="s">
        <v>73</v>
      </c>
      <c r="J1" s="76" t="s">
        <v>75</v>
      </c>
      <c r="K1" s="76" t="s">
        <v>80</v>
      </c>
      <c r="L1" s="76" t="s">
        <v>82</v>
      </c>
      <c r="M1" s="76" t="s">
        <v>611</v>
      </c>
      <c r="N1" s="76" t="s">
        <v>612</v>
      </c>
      <c r="O1" s="76" t="s">
        <v>613</v>
      </c>
      <c r="P1" s="76" t="s">
        <v>100</v>
      </c>
      <c r="Q1" s="76" t="s">
        <v>614</v>
      </c>
      <c r="R1" s="76" t="s">
        <v>615</v>
      </c>
      <c r="S1" s="76" t="s">
        <v>616</v>
      </c>
      <c r="T1" s="76" t="s">
        <v>617</v>
      </c>
      <c r="U1" s="76" t="s">
        <v>618</v>
      </c>
      <c r="V1" s="76" t="s">
        <v>619</v>
      </c>
      <c r="W1" s="76" t="s">
        <v>620</v>
      </c>
      <c r="X1" s="76" t="s">
        <v>621</v>
      </c>
      <c r="Y1" s="76" t="s">
        <v>622</v>
      </c>
    </row>
    <row r="2" customFormat="false" ht="15" hidden="false" customHeight="false" outlineLevel="0" collapsed="false">
      <c r="A2" s="7" t="n">
        <v>1</v>
      </c>
      <c r="B2" s="7" t="s">
        <v>215</v>
      </c>
      <c r="C2" s="7" t="n">
        <v>67</v>
      </c>
      <c r="D2" s="7" t="n">
        <v>5</v>
      </c>
      <c r="E2" s="77" t="n">
        <v>44981</v>
      </c>
      <c r="F2" s="78" t="n">
        <v>0.99181712962963</v>
      </c>
      <c r="G2" s="77" t="n">
        <v>44990</v>
      </c>
      <c r="H2" s="78" t="n">
        <v>0.310532407407407</v>
      </c>
      <c r="I2" s="7" t="s">
        <v>201</v>
      </c>
      <c r="J2" s="7" t="s">
        <v>168</v>
      </c>
      <c r="K2" s="79" t="str">
        <f aca="false">INDEX(Products!$B$2:$B$71,MATCH($C2,Products!$A$2:$A$71,0))</f>
        <v>Maiores Box</v>
      </c>
      <c r="L2" s="79" t="str">
        <f aca="false">INDEX(Products!$C$2:$C$71,MATCH($C2,Products!$A$2:$A$71,0))</f>
        <v>Raksha Bandhan</v>
      </c>
      <c r="M2" s="80" t="n">
        <f aca="false">INDEX(Products!$D$2:$D$71,MATCH($C2,Products!$A$2:$A$71,0))</f>
        <v>1374</v>
      </c>
      <c r="N2" s="80" t="n">
        <f aca="false">$D2*$M2</f>
        <v>6870</v>
      </c>
      <c r="O2" s="79" t="str">
        <f aca="false">INDEX(Customers!$C$2:$C$101,MATCH($B2,Customers!$A$2:$A$101,0))</f>
        <v>Davanagere</v>
      </c>
      <c r="P2" s="79" t="str">
        <f aca="false">INDEX(Customers!$F$2:$F$101,MATCH($B2,Customers!$A$2:$A$101,0))</f>
        <v>Male</v>
      </c>
      <c r="Q2" s="79" t="str">
        <f aca="false">INDEX(Customers!$B$2:$B$101,MATCH($B2,Customers!$A$2:$A$101,0))</f>
        <v>Aradhya Kumar</v>
      </c>
      <c r="R2" s="79" t="n">
        <f aca="false">MONTH($E2)</f>
        <v>2</v>
      </c>
      <c r="S2" s="79" t="str">
        <f aca="false">INDEX(Lists!$B$2:$B$13,$R2)</f>
        <v>February</v>
      </c>
      <c r="T2" s="79" t="n">
        <f aca="false">HOUR($F2)</f>
        <v>23</v>
      </c>
      <c r="U2" s="79" t="n">
        <f aca="false">WEEKDAY($E2,2)</f>
        <v>5</v>
      </c>
      <c r="V2" s="79" t="str">
        <f aca="false">INDEX(Lists!$F$2:$F$8,$U2)</f>
        <v>Friday</v>
      </c>
      <c r="W2" s="81" t="n">
        <f aca="false">($G2+$H2)-($E2+$F2)</f>
        <v>8.31871527777778</v>
      </c>
      <c r="X2" s="79" t="str">
        <f aca="false">LOOKUP($M2,Lists!$G$2:$G$5,Lists!$H$2:$H$5)</f>
        <v>₹1,000 - 1,499</v>
      </c>
      <c r="Y2" s="79" t="str">
        <f aca="false">LOOKUP($W2,Lists!$I$2:$I$7,Lists!$J$2:$J$7)</f>
        <v>8 - 10 days</v>
      </c>
    </row>
    <row r="3" customFormat="false" ht="15" hidden="false" customHeight="false" outlineLevel="0" collapsed="false">
      <c r="A3" s="2" t="n">
        <v>2</v>
      </c>
      <c r="B3" s="2" t="s">
        <v>174</v>
      </c>
      <c r="C3" s="2" t="n">
        <v>41</v>
      </c>
      <c r="D3" s="2" t="n">
        <v>2</v>
      </c>
      <c r="E3" s="82" t="n">
        <v>45237</v>
      </c>
      <c r="F3" s="83" t="n">
        <v>0.979375</v>
      </c>
      <c r="G3" s="82" t="n">
        <v>45243</v>
      </c>
      <c r="H3" s="83" t="n">
        <v>0.302974537037037</v>
      </c>
      <c r="I3" s="2" t="s">
        <v>428</v>
      </c>
      <c r="J3" s="2" t="s">
        <v>32</v>
      </c>
      <c r="K3" s="46" t="str">
        <f aca="false">INDEX(Products!$B$2:$B$71,MATCH($C3,Products!$A$2:$A$71,0))</f>
        <v>Aut Box</v>
      </c>
      <c r="L3" s="46" t="str">
        <f aca="false">INDEX(Products!$C$2:$C$71,MATCH($C3,Products!$A$2:$A$71,0))</f>
        <v>Sweets</v>
      </c>
      <c r="M3" s="84" t="n">
        <f aca="false">INDEX(Products!$D$2:$D$71,MATCH($C3,Products!$A$2:$A$71,0))</f>
        <v>1977</v>
      </c>
      <c r="N3" s="84" t="n">
        <f aca="false">$D3*$M3</f>
        <v>3954</v>
      </c>
      <c r="O3" s="46" t="str">
        <f aca="false">INDEX(Customers!$C$2:$C$101,MATCH($B3,Customers!$A$2:$A$101,0))</f>
        <v>Danapur</v>
      </c>
      <c r="P3" s="46" t="str">
        <f aca="false">INDEX(Customers!$F$2:$F$101,MATCH($B3,Customers!$A$2:$A$101,0))</f>
        <v>Male</v>
      </c>
      <c r="Q3" s="46" t="str">
        <f aca="false">INDEX(Customers!$B$2:$B$101,MATCH($B3,Customers!$A$2:$A$101,0))</f>
        <v>Amira Sengupta</v>
      </c>
      <c r="R3" s="46" t="n">
        <f aca="false">MONTH($E3)</f>
        <v>11</v>
      </c>
      <c r="S3" s="46" t="str">
        <f aca="false">INDEX(Lists!$B$2:$B$13,$R3)</f>
        <v>November</v>
      </c>
      <c r="T3" s="46" t="n">
        <f aca="false">HOUR($F3)</f>
        <v>23</v>
      </c>
      <c r="U3" s="46" t="n">
        <f aca="false">WEEKDAY($E3,2)</f>
        <v>2</v>
      </c>
      <c r="V3" s="46" t="str">
        <f aca="false">INDEX(Lists!$F$2:$F$8,$U3)</f>
        <v>Tuesday</v>
      </c>
      <c r="W3" s="85" t="n">
        <f aca="false">($G3+$H3)-($E3+$F3)</f>
        <v>5.32359953703704</v>
      </c>
      <c r="X3" s="46" t="str">
        <f aca="false">LOOKUP($M3,Lists!$G$2:$G$5,Lists!$H$2:$H$5)</f>
        <v>₹1,500 - 2,000</v>
      </c>
      <c r="Y3" s="46" t="str">
        <f aca="false">LOOKUP($W3,Lists!$I$2:$I$7,Lists!$J$2:$J$7)</f>
        <v>4 - 6 days</v>
      </c>
    </row>
    <row r="4" customFormat="false" ht="15" hidden="false" customHeight="false" outlineLevel="0" collapsed="false">
      <c r="A4" s="7" t="n">
        <v>3</v>
      </c>
      <c r="B4" s="7" t="s">
        <v>196</v>
      </c>
      <c r="C4" s="7" t="n">
        <v>67</v>
      </c>
      <c r="D4" s="7" t="n">
        <v>5</v>
      </c>
      <c r="E4" s="77" t="n">
        <v>45121</v>
      </c>
      <c r="F4" s="78" t="n">
        <v>0.800034722222222</v>
      </c>
      <c r="G4" s="77" t="n">
        <v>45126</v>
      </c>
      <c r="H4" s="78" t="n">
        <v>0.735416666666667</v>
      </c>
      <c r="I4" s="7" t="s">
        <v>282</v>
      </c>
      <c r="J4" s="7" t="s">
        <v>168</v>
      </c>
      <c r="K4" s="79" t="str">
        <f aca="false">INDEX(Products!$B$2:$B$71,MATCH($C4,Products!$A$2:$A$71,0))</f>
        <v>Maiores Box</v>
      </c>
      <c r="L4" s="79" t="str">
        <f aca="false">INDEX(Products!$C$2:$C$71,MATCH($C4,Products!$A$2:$A$71,0))</f>
        <v>Raksha Bandhan</v>
      </c>
      <c r="M4" s="80" t="n">
        <f aca="false">INDEX(Products!$D$2:$D$71,MATCH($C4,Products!$A$2:$A$71,0))</f>
        <v>1374</v>
      </c>
      <c r="N4" s="80" t="n">
        <f aca="false">$D4*$M4</f>
        <v>6870</v>
      </c>
      <c r="O4" s="79" t="str">
        <f aca="false">INDEX(Customers!$C$2:$C$101,MATCH($B4,Customers!$A$2:$A$101,0))</f>
        <v>Haridwar</v>
      </c>
      <c r="P4" s="79" t="str">
        <f aca="false">INDEX(Customers!$F$2:$F$101,MATCH($B4,Customers!$A$2:$A$101,0))</f>
        <v>Female</v>
      </c>
      <c r="Q4" s="79" t="str">
        <f aca="false">INDEX(Customers!$B$2:$B$101,MATCH($B4,Customers!$A$2:$A$101,0))</f>
        <v>Badal Sathe</v>
      </c>
      <c r="R4" s="79" t="n">
        <f aca="false">MONTH($E4)</f>
        <v>7</v>
      </c>
      <c r="S4" s="79" t="str">
        <f aca="false">INDEX(Lists!$B$2:$B$13,$R4)</f>
        <v>July</v>
      </c>
      <c r="T4" s="79" t="n">
        <f aca="false">HOUR($F4)</f>
        <v>19</v>
      </c>
      <c r="U4" s="79" t="n">
        <f aca="false">WEEKDAY($E4,2)</f>
        <v>5</v>
      </c>
      <c r="V4" s="79" t="str">
        <f aca="false">INDEX(Lists!$F$2:$F$8,$U4)</f>
        <v>Friday</v>
      </c>
      <c r="W4" s="81" t="n">
        <f aca="false">($G4+$H4)-($E4+$F4)</f>
        <v>4.93538194444444</v>
      </c>
      <c r="X4" s="79" t="str">
        <f aca="false">LOOKUP($M4,Lists!$G$2:$G$5,Lists!$H$2:$H$5)</f>
        <v>₹1,000 - 1,499</v>
      </c>
      <c r="Y4" s="79" t="str">
        <f aca="false">LOOKUP($W4,Lists!$I$2:$I$7,Lists!$J$2:$J$7)</f>
        <v>4 - 6 days</v>
      </c>
    </row>
    <row r="5" customFormat="false" ht="15" hidden="false" customHeight="false" outlineLevel="0" collapsed="false">
      <c r="A5" s="2" t="n">
        <v>4</v>
      </c>
      <c r="B5" s="2" t="s">
        <v>157</v>
      </c>
      <c r="C5" s="2" t="n">
        <v>14</v>
      </c>
      <c r="D5" s="2" t="n">
        <v>5</v>
      </c>
      <c r="E5" s="82" t="n">
        <v>45117</v>
      </c>
      <c r="F5" s="83" t="n">
        <v>0.19755787037037</v>
      </c>
      <c r="G5" s="82" t="n">
        <v>45126</v>
      </c>
      <c r="H5" s="83" t="n">
        <v>0.27318287037037</v>
      </c>
      <c r="I5" s="2" t="s">
        <v>401</v>
      </c>
      <c r="J5" s="2" t="s">
        <v>31</v>
      </c>
      <c r="K5" s="46" t="str">
        <f aca="false">INDEX(Products!$B$2:$B$71,MATCH($C5,Products!$A$2:$A$71,0))</f>
        <v>Deserunt Box</v>
      </c>
      <c r="L5" s="46" t="str">
        <f aca="false">INDEX(Products!$C$2:$C$71,MATCH($C5,Products!$A$2:$A$71,0))</f>
        <v>Colors</v>
      </c>
      <c r="M5" s="84" t="n">
        <f aca="false">INDEX(Products!$D$2:$D$71,MATCH($C5,Products!$A$2:$A$71,0))</f>
        <v>1915</v>
      </c>
      <c r="N5" s="84" t="n">
        <f aca="false">$D5*$M5</f>
        <v>9575</v>
      </c>
      <c r="O5" s="46" t="str">
        <f aca="false">INDEX(Customers!$C$2:$C$101,MATCH($B5,Customers!$A$2:$A$101,0))</f>
        <v>Bilaspur</v>
      </c>
      <c r="P5" s="46" t="str">
        <f aca="false">INDEX(Customers!$F$2:$F$101,MATCH($B5,Customers!$A$2:$A$101,0))</f>
        <v>Male</v>
      </c>
      <c r="Q5" s="46" t="str">
        <f aca="false">INDEX(Customers!$B$2:$B$101,MATCH($B5,Customers!$A$2:$A$101,0))</f>
        <v>Onkar Mangat</v>
      </c>
      <c r="R5" s="46" t="n">
        <f aca="false">MONTH($E5)</f>
        <v>7</v>
      </c>
      <c r="S5" s="46" t="str">
        <f aca="false">INDEX(Lists!$B$2:$B$13,$R5)</f>
        <v>July</v>
      </c>
      <c r="T5" s="46" t="n">
        <f aca="false">HOUR($F5)</f>
        <v>4</v>
      </c>
      <c r="U5" s="46" t="n">
        <f aca="false">WEEKDAY($E5,2)</f>
        <v>1</v>
      </c>
      <c r="V5" s="46" t="str">
        <f aca="false">INDEX(Lists!$F$2:$F$8,$U5)</f>
        <v>Monday</v>
      </c>
      <c r="W5" s="85" t="n">
        <f aca="false">($G5+$H5)-($E5+$F5)</f>
        <v>9.075625</v>
      </c>
      <c r="X5" s="46" t="str">
        <f aca="false">LOOKUP($M5,Lists!$G$2:$G$5,Lists!$H$2:$H$5)</f>
        <v>₹1,500 - 2,000</v>
      </c>
      <c r="Y5" s="46" t="str">
        <f aca="false">LOOKUP($W5,Lists!$I$2:$I$7,Lists!$J$2:$J$7)</f>
        <v>8 - 10 days</v>
      </c>
    </row>
    <row r="6" customFormat="false" ht="15" hidden="false" customHeight="false" outlineLevel="0" collapsed="false">
      <c r="A6" s="7" t="n">
        <v>5</v>
      </c>
      <c r="B6" s="7" t="s">
        <v>334</v>
      </c>
      <c r="C6" s="7" t="n">
        <v>58</v>
      </c>
      <c r="D6" s="7" t="n">
        <v>2</v>
      </c>
      <c r="E6" s="77" t="n">
        <v>44968</v>
      </c>
      <c r="F6" s="78" t="n">
        <v>0.822777777777778</v>
      </c>
      <c r="G6" s="77" t="n">
        <v>44975</v>
      </c>
      <c r="H6" s="78" t="n">
        <v>0.464490740740741</v>
      </c>
      <c r="I6" s="7" t="s">
        <v>539</v>
      </c>
      <c r="J6" s="7" t="s">
        <v>179</v>
      </c>
      <c r="K6" s="79" t="str">
        <f aca="false">INDEX(Products!$B$2:$B$71,MATCH($C6,Products!$A$2:$A$71,0))</f>
        <v>Sed Pack</v>
      </c>
      <c r="L6" s="79" t="str">
        <f aca="false">INDEX(Products!$C$2:$C$71,MATCH($C6,Products!$A$2:$A$71,0))</f>
        <v>Cake</v>
      </c>
      <c r="M6" s="80" t="n">
        <f aca="false">INDEX(Products!$D$2:$D$71,MATCH($C6,Products!$A$2:$A$71,0))</f>
        <v>1492</v>
      </c>
      <c r="N6" s="80" t="n">
        <f aca="false">$D6*$M6</f>
        <v>2984</v>
      </c>
      <c r="O6" s="79" t="str">
        <f aca="false">INDEX(Customers!$C$2:$C$101,MATCH($B6,Customers!$A$2:$A$101,0))</f>
        <v>Bhubaneswar</v>
      </c>
      <c r="P6" s="79" t="str">
        <f aca="false">INDEX(Customers!$F$2:$F$101,MATCH($B6,Customers!$A$2:$A$101,0))</f>
        <v>Female</v>
      </c>
      <c r="Q6" s="79" t="str">
        <f aca="false">INDEX(Customers!$B$2:$B$101,MATCH($B6,Customers!$A$2:$A$101,0))</f>
        <v>Jivika Rajan</v>
      </c>
      <c r="R6" s="79" t="n">
        <f aca="false">MONTH($E6)</f>
        <v>2</v>
      </c>
      <c r="S6" s="79" t="str">
        <f aca="false">INDEX(Lists!$B$2:$B$13,$R6)</f>
        <v>February</v>
      </c>
      <c r="T6" s="79" t="n">
        <f aca="false">HOUR($F6)</f>
        <v>19</v>
      </c>
      <c r="U6" s="79" t="n">
        <f aca="false">WEEKDAY($E6,2)</f>
        <v>6</v>
      </c>
      <c r="V6" s="79" t="str">
        <f aca="false">INDEX(Lists!$F$2:$F$8,$U6)</f>
        <v>Saturday</v>
      </c>
      <c r="W6" s="81" t="n">
        <f aca="false">($G6+$H6)-($E6+$F6)</f>
        <v>6.64171296296296</v>
      </c>
      <c r="X6" s="79" t="str">
        <f aca="false">LOOKUP($M6,Lists!$G$2:$G$5,Lists!$H$2:$H$5)</f>
        <v>₹1,000 - 1,499</v>
      </c>
      <c r="Y6" s="79" t="str">
        <f aca="false">LOOKUP($W6,Lists!$I$2:$I$7,Lists!$J$2:$J$7)</f>
        <v>6 - 8 days</v>
      </c>
    </row>
    <row r="7" customFormat="false" ht="15" hidden="false" customHeight="false" outlineLevel="0" collapsed="false">
      <c r="A7" s="2" t="n">
        <v>6</v>
      </c>
      <c r="B7" s="2" t="s">
        <v>224</v>
      </c>
      <c r="C7" s="2" t="n">
        <v>28</v>
      </c>
      <c r="D7" s="2" t="n">
        <v>4</v>
      </c>
      <c r="E7" s="82" t="n">
        <v>45158</v>
      </c>
      <c r="F7" s="83" t="n">
        <v>0.924710648148148</v>
      </c>
      <c r="G7" s="82" t="n">
        <v>45164</v>
      </c>
      <c r="H7" s="83" t="n">
        <v>0.796365740740741</v>
      </c>
      <c r="I7" s="2" t="s">
        <v>570</v>
      </c>
      <c r="J7" s="2" t="s">
        <v>40</v>
      </c>
      <c r="K7" s="46" t="str">
        <f aca="false">INDEX(Products!$B$2:$B$71,MATCH($C7,Products!$A$2:$A$71,0))</f>
        <v>Velit Set</v>
      </c>
      <c r="L7" s="46" t="str">
        <f aca="false">INDEX(Products!$C$2:$C$71,MATCH($C7,Products!$A$2:$A$71,0))</f>
        <v>Sweets</v>
      </c>
      <c r="M7" s="84" t="n">
        <f aca="false">INDEX(Products!$D$2:$D$71,MATCH($C7,Products!$A$2:$A$71,0))</f>
        <v>1778</v>
      </c>
      <c r="N7" s="84" t="n">
        <f aca="false">$D7*$M7</f>
        <v>7112</v>
      </c>
      <c r="O7" s="46" t="str">
        <f aca="false">INDEX(Customers!$C$2:$C$101,MATCH($B7,Customers!$A$2:$A$101,0))</f>
        <v>Pallavaram</v>
      </c>
      <c r="P7" s="46" t="str">
        <f aca="false">INDEX(Customers!$F$2:$F$101,MATCH($B7,Customers!$A$2:$A$101,0))</f>
        <v>Female</v>
      </c>
      <c r="Q7" s="46" t="str">
        <f aca="false">INDEX(Customers!$B$2:$B$101,MATCH($B7,Customers!$A$2:$A$101,0))</f>
        <v>Hazel Mangat</v>
      </c>
      <c r="R7" s="46" t="n">
        <f aca="false">MONTH($E7)</f>
        <v>8</v>
      </c>
      <c r="S7" s="46" t="str">
        <f aca="false">INDEX(Lists!$B$2:$B$13,$R7)</f>
        <v>August</v>
      </c>
      <c r="T7" s="46" t="n">
        <f aca="false">HOUR($F7)</f>
        <v>22</v>
      </c>
      <c r="U7" s="46" t="n">
        <f aca="false">WEEKDAY($E7,2)</f>
        <v>7</v>
      </c>
      <c r="V7" s="46" t="str">
        <f aca="false">INDEX(Lists!$F$2:$F$8,$U7)</f>
        <v>Sunday</v>
      </c>
      <c r="W7" s="85" t="n">
        <f aca="false">($G7+$H7)-($E7+$F7)</f>
        <v>5.87165509259259</v>
      </c>
      <c r="X7" s="46" t="str">
        <f aca="false">LOOKUP($M7,Lists!$G$2:$G$5,Lists!$H$2:$H$5)</f>
        <v>₹1,500 - 2,000</v>
      </c>
      <c r="Y7" s="46" t="str">
        <f aca="false">LOOKUP($W7,Lists!$I$2:$I$7,Lists!$J$2:$J$7)</f>
        <v>4 - 6 days</v>
      </c>
    </row>
    <row r="8" customFormat="false" ht="15" hidden="false" customHeight="false" outlineLevel="0" collapsed="false">
      <c r="A8" s="7" t="n">
        <v>7</v>
      </c>
      <c r="B8" s="7" t="s">
        <v>148</v>
      </c>
      <c r="C8" s="7" t="n">
        <v>45</v>
      </c>
      <c r="D8" s="7" t="n">
        <v>2</v>
      </c>
      <c r="E8" s="77" t="n">
        <v>45054</v>
      </c>
      <c r="F8" s="78" t="n">
        <v>0.0730671296296296</v>
      </c>
      <c r="G8" s="77" t="n">
        <v>45059</v>
      </c>
      <c r="H8" s="78" t="n">
        <v>0.421724537037037</v>
      </c>
      <c r="I8" s="7" t="s">
        <v>503</v>
      </c>
      <c r="J8" s="7" t="s">
        <v>31</v>
      </c>
      <c r="K8" s="79" t="str">
        <f aca="false">INDEX(Products!$B$2:$B$71,MATCH($C8,Products!$A$2:$A$71,0))</f>
        <v>Iusto Set</v>
      </c>
      <c r="L8" s="79" t="str">
        <f aca="false">INDEX(Products!$C$2:$C$71,MATCH($C8,Products!$A$2:$A$71,0))</f>
        <v>Raksha Bandhan</v>
      </c>
      <c r="M8" s="80" t="n">
        <f aca="false">INDEX(Products!$D$2:$D$71,MATCH($C8,Products!$A$2:$A$71,0))</f>
        <v>722</v>
      </c>
      <c r="N8" s="80" t="n">
        <f aca="false">$D8*$M8</f>
        <v>1444</v>
      </c>
      <c r="O8" s="79" t="str">
        <f aca="false">INDEX(Customers!$C$2:$C$101,MATCH($B8,Customers!$A$2:$A$101,0))</f>
        <v>Madurai</v>
      </c>
      <c r="P8" s="79" t="str">
        <f aca="false">INDEX(Customers!$F$2:$F$101,MATCH($B8,Customers!$A$2:$A$101,0))</f>
        <v>Female</v>
      </c>
      <c r="Q8" s="79" t="str">
        <f aca="false">INDEX(Customers!$B$2:$B$101,MATCH($B8,Customers!$A$2:$A$101,0))</f>
        <v>Ritvik Borah</v>
      </c>
      <c r="R8" s="79" t="n">
        <f aca="false">MONTH($E8)</f>
        <v>5</v>
      </c>
      <c r="S8" s="79" t="str">
        <f aca="false">INDEX(Lists!$B$2:$B$13,$R8)</f>
        <v>May</v>
      </c>
      <c r="T8" s="79" t="n">
        <f aca="false">HOUR($F8)</f>
        <v>1</v>
      </c>
      <c r="U8" s="79" t="n">
        <f aca="false">WEEKDAY($E8,2)</f>
        <v>1</v>
      </c>
      <c r="V8" s="79" t="str">
        <f aca="false">INDEX(Lists!$F$2:$F$8,$U8)</f>
        <v>Monday</v>
      </c>
      <c r="W8" s="81" t="n">
        <f aca="false">($G8+$H8)-($E8+$F8)</f>
        <v>5.34865740740741</v>
      </c>
      <c r="X8" s="79" t="str">
        <f aca="false">LOOKUP($M8,Lists!$G$2:$G$5,Lists!$H$2:$H$5)</f>
        <v>₹500 - 999</v>
      </c>
      <c r="Y8" s="79" t="str">
        <f aca="false">LOOKUP($W8,Lists!$I$2:$I$7,Lists!$J$2:$J$7)</f>
        <v>4 - 6 days</v>
      </c>
    </row>
    <row r="9" customFormat="false" ht="15" hidden="false" customHeight="false" outlineLevel="0" collapsed="false">
      <c r="A9" s="2" t="n">
        <v>8</v>
      </c>
      <c r="B9" s="2" t="s">
        <v>385</v>
      </c>
      <c r="C9" s="2" t="n">
        <v>43</v>
      </c>
      <c r="D9" s="2" t="n">
        <v>3</v>
      </c>
      <c r="E9" s="82" t="n">
        <v>45238</v>
      </c>
      <c r="F9" s="83" t="n">
        <v>0.805578703703704</v>
      </c>
      <c r="G9" s="82" t="n">
        <v>45244</v>
      </c>
      <c r="H9" s="83" t="n">
        <v>0.364409722222222</v>
      </c>
      <c r="I9" s="2" t="s">
        <v>494</v>
      </c>
      <c r="J9" s="2" t="s">
        <v>32</v>
      </c>
      <c r="K9" s="46" t="str">
        <f aca="false">INDEX(Products!$B$2:$B$71,MATCH($C9,Products!$A$2:$A$71,0))</f>
        <v>Quisquam Pack</v>
      </c>
      <c r="L9" s="46" t="str">
        <f aca="false">INDEX(Products!$C$2:$C$71,MATCH($C9,Products!$A$2:$A$71,0))</f>
        <v>Raksha Bandhan</v>
      </c>
      <c r="M9" s="84" t="n">
        <f aca="false">INDEX(Products!$D$2:$D$71,MATCH($C9,Products!$A$2:$A$71,0))</f>
        <v>750</v>
      </c>
      <c r="N9" s="84" t="n">
        <f aca="false">$D9*$M9</f>
        <v>2250</v>
      </c>
      <c r="O9" s="46" t="str">
        <f aca="false">INDEX(Customers!$C$2:$C$101,MATCH($B9,Customers!$A$2:$A$101,0))</f>
        <v>Sri Ganganagar</v>
      </c>
      <c r="P9" s="46" t="str">
        <f aca="false">INDEX(Customers!$F$2:$F$101,MATCH($B9,Customers!$A$2:$A$101,0))</f>
        <v>Female</v>
      </c>
      <c r="Q9" s="46" t="str">
        <f aca="false">INDEX(Customers!$B$2:$B$101,MATCH($B9,Customers!$A$2:$A$101,0))</f>
        <v>Nakul Randhawa</v>
      </c>
      <c r="R9" s="46" t="n">
        <f aca="false">MONTH($E9)</f>
        <v>11</v>
      </c>
      <c r="S9" s="46" t="str">
        <f aca="false">INDEX(Lists!$B$2:$B$13,$R9)</f>
        <v>November</v>
      </c>
      <c r="T9" s="46" t="n">
        <f aca="false">HOUR($F9)</f>
        <v>19</v>
      </c>
      <c r="U9" s="46" t="n">
        <f aca="false">WEEKDAY($E9,2)</f>
        <v>3</v>
      </c>
      <c r="V9" s="46" t="str">
        <f aca="false">INDEX(Lists!$F$2:$F$8,$U9)</f>
        <v>Wednesday</v>
      </c>
      <c r="W9" s="85" t="n">
        <f aca="false">($G9+$H9)-($E9+$F9)</f>
        <v>5.55883101851852</v>
      </c>
      <c r="X9" s="46" t="str">
        <f aca="false">LOOKUP($M9,Lists!$G$2:$G$5,Lists!$H$2:$H$5)</f>
        <v>₹500 - 999</v>
      </c>
      <c r="Y9" s="46" t="str">
        <f aca="false">LOOKUP($W9,Lists!$I$2:$I$7,Lists!$J$2:$J$7)</f>
        <v>4 - 6 days</v>
      </c>
    </row>
    <row r="10" customFormat="false" ht="15" hidden="false" customHeight="false" outlineLevel="0" collapsed="false">
      <c r="A10" s="7" t="n">
        <v>9</v>
      </c>
      <c r="B10" s="7" t="s">
        <v>236</v>
      </c>
      <c r="C10" s="7" t="n">
        <v>27</v>
      </c>
      <c r="D10" s="7" t="n">
        <v>4</v>
      </c>
      <c r="E10" s="77" t="n">
        <v>45158</v>
      </c>
      <c r="F10" s="78" t="n">
        <v>0.986006944444445</v>
      </c>
      <c r="G10" s="77" t="n">
        <v>45167</v>
      </c>
      <c r="H10" s="78" t="n">
        <v>0.999930555555556</v>
      </c>
      <c r="I10" s="7" t="s">
        <v>539</v>
      </c>
      <c r="J10" s="7" t="s">
        <v>40</v>
      </c>
      <c r="K10" s="79" t="str">
        <f aca="false">INDEX(Products!$B$2:$B$71,MATCH($C10,Products!$A$2:$A$71,0))</f>
        <v>Architecto Gift</v>
      </c>
      <c r="L10" s="79" t="str">
        <f aca="false">INDEX(Products!$C$2:$C$71,MATCH($C10,Products!$A$2:$A$71,0))</f>
        <v>Cake</v>
      </c>
      <c r="M10" s="80" t="n">
        <f aca="false">INDEX(Products!$D$2:$D$71,MATCH($C10,Products!$A$2:$A$71,0))</f>
        <v>548</v>
      </c>
      <c r="N10" s="80" t="n">
        <f aca="false">$D10*$M10</f>
        <v>2192</v>
      </c>
      <c r="O10" s="79" t="str">
        <f aca="false">INDEX(Customers!$C$2:$C$101,MATCH($B10,Customers!$A$2:$A$101,0))</f>
        <v>Agra</v>
      </c>
      <c r="P10" s="79" t="str">
        <f aca="false">INDEX(Customers!$F$2:$F$101,MATCH($B10,Customers!$A$2:$A$101,0))</f>
        <v>Male</v>
      </c>
      <c r="Q10" s="79" t="str">
        <f aca="false">INDEX(Customers!$B$2:$B$101,MATCH($B10,Customers!$A$2:$A$101,0))</f>
        <v>Seher Mann</v>
      </c>
      <c r="R10" s="79" t="n">
        <f aca="false">MONTH($E10)</f>
        <v>8</v>
      </c>
      <c r="S10" s="79" t="str">
        <f aca="false">INDEX(Lists!$B$2:$B$13,$R10)</f>
        <v>August</v>
      </c>
      <c r="T10" s="79" t="n">
        <f aca="false">HOUR($F10)</f>
        <v>23</v>
      </c>
      <c r="U10" s="79" t="n">
        <f aca="false">WEEKDAY($E10,2)</f>
        <v>7</v>
      </c>
      <c r="V10" s="79" t="str">
        <f aca="false">INDEX(Lists!$F$2:$F$8,$U10)</f>
        <v>Sunday</v>
      </c>
      <c r="W10" s="81" t="n">
        <f aca="false">($G10+$H10)-($E10+$F10)</f>
        <v>9.01392361111111</v>
      </c>
      <c r="X10" s="79" t="str">
        <f aca="false">LOOKUP($M10,Lists!$G$2:$G$5,Lists!$H$2:$H$5)</f>
        <v>₹500 - 999</v>
      </c>
      <c r="Y10" s="79" t="str">
        <f aca="false">LOOKUP($W10,Lists!$I$2:$I$7,Lists!$J$2:$J$7)</f>
        <v>8 - 10 days</v>
      </c>
    </row>
    <row r="11" customFormat="false" ht="15" hidden="false" customHeight="false" outlineLevel="0" collapsed="false">
      <c r="A11" s="2" t="n">
        <v>10</v>
      </c>
      <c r="B11" s="2" t="s">
        <v>390</v>
      </c>
      <c r="C11" s="2" t="n">
        <v>56</v>
      </c>
      <c r="D11" s="2" t="n">
        <v>3</v>
      </c>
      <c r="E11" s="82" t="n">
        <v>44983</v>
      </c>
      <c r="F11" s="83" t="n">
        <v>0.0121064814814815</v>
      </c>
      <c r="G11" s="82" t="n">
        <v>44993</v>
      </c>
      <c r="H11" s="83" t="n">
        <v>0.866469907407407</v>
      </c>
      <c r="I11" s="2" t="s">
        <v>160</v>
      </c>
      <c r="J11" s="2" t="s">
        <v>168</v>
      </c>
      <c r="K11" s="46" t="str">
        <f aca="false">INDEX(Products!$B$2:$B$71,MATCH($C11,Products!$A$2:$A$71,0))</f>
        <v>Quia Gift</v>
      </c>
      <c r="L11" s="46" t="str">
        <f aca="false">INDEX(Products!$C$2:$C$71,MATCH($C11,Products!$A$2:$A$71,0))</f>
        <v>Raksha Bandhan</v>
      </c>
      <c r="M11" s="84" t="n">
        <f aca="false">INDEX(Products!$D$2:$D$71,MATCH($C11,Products!$A$2:$A$71,0))</f>
        <v>1272</v>
      </c>
      <c r="N11" s="84" t="n">
        <f aca="false">$D11*$M11</f>
        <v>3816</v>
      </c>
      <c r="O11" s="46" t="str">
        <f aca="false">INDEX(Customers!$C$2:$C$101,MATCH($B11,Customers!$A$2:$A$101,0))</f>
        <v>Dhanbad</v>
      </c>
      <c r="P11" s="46" t="str">
        <f aca="false">INDEX(Customers!$F$2:$F$101,MATCH($B11,Customers!$A$2:$A$101,0))</f>
        <v>Female</v>
      </c>
      <c r="Q11" s="46" t="str">
        <f aca="false">INDEX(Customers!$B$2:$B$101,MATCH($B11,Customers!$A$2:$A$101,0))</f>
        <v>Ranbir Loyal</v>
      </c>
      <c r="R11" s="46" t="n">
        <f aca="false">MONTH($E11)</f>
        <v>2</v>
      </c>
      <c r="S11" s="46" t="str">
        <f aca="false">INDEX(Lists!$B$2:$B$13,$R11)</f>
        <v>February</v>
      </c>
      <c r="T11" s="46" t="n">
        <f aca="false">HOUR($F11)</f>
        <v>0</v>
      </c>
      <c r="U11" s="46" t="n">
        <f aca="false">WEEKDAY($E11,2)</f>
        <v>7</v>
      </c>
      <c r="V11" s="46" t="str">
        <f aca="false">INDEX(Lists!$F$2:$F$8,$U11)</f>
        <v>Sunday</v>
      </c>
      <c r="W11" s="85" t="n">
        <f aca="false">($G11+$H11)-($E11+$F11)</f>
        <v>10.8543634259259</v>
      </c>
      <c r="X11" s="46" t="str">
        <f aca="false">LOOKUP($M11,Lists!$G$2:$G$5,Lists!$H$2:$H$5)</f>
        <v>₹1,000 - 1,499</v>
      </c>
      <c r="Y11" s="46" t="str">
        <f aca="false">LOOKUP($W11,Lists!$I$2:$I$7,Lists!$J$2:$J$7)</f>
        <v>Over 10 days</v>
      </c>
    </row>
    <row r="12" customFormat="false" ht="15" hidden="false" customHeight="false" outlineLevel="0" collapsed="false">
      <c r="A12" s="7" t="n">
        <v>11</v>
      </c>
      <c r="B12" s="7" t="s">
        <v>297</v>
      </c>
      <c r="C12" s="7" t="n">
        <v>16</v>
      </c>
      <c r="D12" s="7" t="n">
        <v>4</v>
      </c>
      <c r="E12" s="77" t="n">
        <v>44987</v>
      </c>
      <c r="F12" s="78" t="n">
        <v>0.84369212962963</v>
      </c>
      <c r="G12" s="77" t="n">
        <v>44988</v>
      </c>
      <c r="H12" s="78" t="n">
        <v>0.972071759259259</v>
      </c>
      <c r="I12" s="7" t="s">
        <v>211</v>
      </c>
      <c r="J12" s="7" t="s">
        <v>33</v>
      </c>
      <c r="K12" s="79" t="str">
        <f aca="false">INDEX(Products!$B$2:$B$71,MATCH($C12,Products!$A$2:$A$71,0))</f>
        <v>Ut Pack</v>
      </c>
      <c r="L12" s="79" t="str">
        <f aca="false">INDEX(Products!$C$2:$C$71,MATCH($C12,Products!$A$2:$A$71,0))</f>
        <v>Sweets</v>
      </c>
      <c r="M12" s="80" t="n">
        <f aca="false">INDEX(Products!$D$2:$D$71,MATCH($C12,Products!$A$2:$A$71,0))</f>
        <v>1721</v>
      </c>
      <c r="N12" s="80" t="n">
        <f aca="false">$D12*$M12</f>
        <v>6884</v>
      </c>
      <c r="O12" s="79" t="str">
        <f aca="false">INDEX(Customers!$C$2:$C$101,MATCH($B12,Customers!$A$2:$A$101,0))</f>
        <v>North Dumdum</v>
      </c>
      <c r="P12" s="79" t="str">
        <f aca="false">INDEX(Customers!$F$2:$F$101,MATCH($B12,Customers!$A$2:$A$101,0))</f>
        <v>Male</v>
      </c>
      <c r="Q12" s="79" t="str">
        <f aca="false">INDEX(Customers!$B$2:$B$101,MATCH($B12,Customers!$A$2:$A$101,0))</f>
        <v>Badal Vora</v>
      </c>
      <c r="R12" s="79" t="n">
        <f aca="false">MONTH($E12)</f>
        <v>3</v>
      </c>
      <c r="S12" s="79" t="str">
        <f aca="false">INDEX(Lists!$B$2:$B$13,$R12)</f>
        <v>March</v>
      </c>
      <c r="T12" s="79" t="n">
        <f aca="false">HOUR($F12)</f>
        <v>20</v>
      </c>
      <c r="U12" s="79" t="n">
        <f aca="false">WEEKDAY($E12,2)</f>
        <v>4</v>
      </c>
      <c r="V12" s="79" t="str">
        <f aca="false">INDEX(Lists!$F$2:$F$8,$U12)</f>
        <v>Thursday</v>
      </c>
      <c r="W12" s="81" t="n">
        <f aca="false">($G12+$H12)-($E12+$F12)</f>
        <v>1.12837962962963</v>
      </c>
      <c r="X12" s="79" t="str">
        <f aca="false">LOOKUP($M12,Lists!$G$2:$G$5,Lists!$H$2:$H$5)</f>
        <v>₹1,500 - 2,000</v>
      </c>
      <c r="Y12" s="79" t="str">
        <f aca="false">LOOKUP($W12,Lists!$I$2:$I$7,Lists!$J$2:$J$7)</f>
        <v>0 - 2 days</v>
      </c>
    </row>
    <row r="13" customFormat="false" ht="15" hidden="false" customHeight="false" outlineLevel="0" collapsed="false">
      <c r="A13" s="2" t="n">
        <v>12</v>
      </c>
      <c r="B13" s="2" t="s">
        <v>385</v>
      </c>
      <c r="C13" s="2" t="n">
        <v>38</v>
      </c>
      <c r="D13" s="2" t="n">
        <v>3</v>
      </c>
      <c r="E13" s="82" t="n">
        <v>45119</v>
      </c>
      <c r="F13" s="83" t="n">
        <v>0.353425925925926</v>
      </c>
      <c r="G13" s="82" t="n">
        <v>45127</v>
      </c>
      <c r="H13" s="83" t="n">
        <v>0.982604166666667</v>
      </c>
      <c r="I13" s="2" t="s">
        <v>451</v>
      </c>
      <c r="J13" s="2" t="s">
        <v>31</v>
      </c>
      <c r="K13" s="46" t="str">
        <f aca="false">INDEX(Products!$B$2:$B$71,MATCH($C13,Products!$A$2:$A$71,0))</f>
        <v>Mollitia Set</v>
      </c>
      <c r="L13" s="46" t="str">
        <f aca="false">INDEX(Products!$C$2:$C$71,MATCH($C13,Products!$A$2:$A$71,0))</f>
        <v>Cake</v>
      </c>
      <c r="M13" s="84" t="n">
        <f aca="false">INDEX(Products!$D$2:$D$71,MATCH($C13,Products!$A$2:$A$71,0))</f>
        <v>562</v>
      </c>
      <c r="N13" s="84" t="n">
        <f aca="false">$D13*$M13</f>
        <v>1686</v>
      </c>
      <c r="O13" s="46" t="str">
        <f aca="false">INDEX(Customers!$C$2:$C$101,MATCH($B13,Customers!$A$2:$A$101,0))</f>
        <v>Sri Ganganagar</v>
      </c>
      <c r="P13" s="46" t="str">
        <f aca="false">INDEX(Customers!$F$2:$F$101,MATCH($B13,Customers!$A$2:$A$101,0))</f>
        <v>Female</v>
      </c>
      <c r="Q13" s="46" t="str">
        <f aca="false">INDEX(Customers!$B$2:$B$101,MATCH($B13,Customers!$A$2:$A$101,0))</f>
        <v>Nakul Randhawa</v>
      </c>
      <c r="R13" s="46" t="n">
        <f aca="false">MONTH($E13)</f>
        <v>7</v>
      </c>
      <c r="S13" s="46" t="str">
        <f aca="false">INDEX(Lists!$B$2:$B$13,$R13)</f>
        <v>July</v>
      </c>
      <c r="T13" s="46" t="n">
        <f aca="false">HOUR($F13)</f>
        <v>8</v>
      </c>
      <c r="U13" s="46" t="n">
        <f aca="false">WEEKDAY($E13,2)</f>
        <v>3</v>
      </c>
      <c r="V13" s="46" t="str">
        <f aca="false">INDEX(Lists!$F$2:$F$8,$U13)</f>
        <v>Wednesday</v>
      </c>
      <c r="W13" s="85" t="n">
        <f aca="false">($G13+$H13)-($E13+$F13)</f>
        <v>8.62917824074074</v>
      </c>
      <c r="X13" s="46" t="str">
        <f aca="false">LOOKUP($M13,Lists!$G$2:$G$5,Lists!$H$2:$H$5)</f>
        <v>₹500 - 999</v>
      </c>
      <c r="Y13" s="46" t="str">
        <f aca="false">LOOKUP($W13,Lists!$I$2:$I$7,Lists!$J$2:$J$7)</f>
        <v>8 - 10 days</v>
      </c>
    </row>
    <row r="14" customFormat="false" ht="15" hidden="false" customHeight="false" outlineLevel="0" collapsed="false">
      <c r="A14" s="7" t="n">
        <v>13</v>
      </c>
      <c r="B14" s="7" t="s">
        <v>185</v>
      </c>
      <c r="C14" s="7" t="n">
        <v>20</v>
      </c>
      <c r="D14" s="7" t="n">
        <v>3</v>
      </c>
      <c r="E14" s="77" t="n">
        <v>44981</v>
      </c>
      <c r="F14" s="78" t="n">
        <v>0.699490740740741</v>
      </c>
      <c r="G14" s="77" t="n">
        <v>44989</v>
      </c>
      <c r="H14" s="78" t="n">
        <v>0.102511574074074</v>
      </c>
      <c r="I14" s="7" t="s">
        <v>376</v>
      </c>
      <c r="J14" s="7" t="s">
        <v>168</v>
      </c>
      <c r="K14" s="79" t="str">
        <f aca="false">INDEX(Products!$B$2:$B$71,MATCH($C14,Products!$A$2:$A$71,0))</f>
        <v>Reiciendis Box</v>
      </c>
      <c r="L14" s="79" t="str">
        <f aca="false">INDEX(Products!$C$2:$C$71,MATCH($C14,Products!$A$2:$A$71,0))</f>
        <v>Colors</v>
      </c>
      <c r="M14" s="80" t="n">
        <f aca="false">INDEX(Products!$D$2:$D$71,MATCH($C14,Products!$A$2:$A$71,0))</f>
        <v>697</v>
      </c>
      <c r="N14" s="80" t="n">
        <f aca="false">$D14*$M14</f>
        <v>2091</v>
      </c>
      <c r="O14" s="79" t="str">
        <f aca="false">INDEX(Customers!$C$2:$C$101,MATCH($B14,Customers!$A$2:$A$101,0))</f>
        <v>Kavali</v>
      </c>
      <c r="P14" s="79" t="str">
        <f aca="false">INDEX(Customers!$F$2:$F$101,MATCH($B14,Customers!$A$2:$A$101,0))</f>
        <v>Female</v>
      </c>
      <c r="Q14" s="79" t="str">
        <f aca="false">INDEX(Customers!$B$2:$B$101,MATCH($B14,Customers!$A$2:$A$101,0))</f>
        <v>Jhanvi Chowdhury</v>
      </c>
      <c r="R14" s="79" t="n">
        <f aca="false">MONTH($E14)</f>
        <v>2</v>
      </c>
      <c r="S14" s="79" t="str">
        <f aca="false">INDEX(Lists!$B$2:$B$13,$R14)</f>
        <v>February</v>
      </c>
      <c r="T14" s="79" t="n">
        <f aca="false">HOUR($F14)</f>
        <v>16</v>
      </c>
      <c r="U14" s="79" t="n">
        <f aca="false">WEEKDAY($E14,2)</f>
        <v>5</v>
      </c>
      <c r="V14" s="79" t="str">
        <f aca="false">INDEX(Lists!$F$2:$F$8,$U14)</f>
        <v>Friday</v>
      </c>
      <c r="W14" s="81" t="n">
        <f aca="false">($G14+$H14)-($E14+$F14)</f>
        <v>7.40302083333333</v>
      </c>
      <c r="X14" s="79" t="str">
        <f aca="false">LOOKUP($M14,Lists!$G$2:$G$5,Lists!$H$2:$H$5)</f>
        <v>₹500 - 999</v>
      </c>
      <c r="Y14" s="79" t="str">
        <f aca="false">LOOKUP($W14,Lists!$I$2:$I$7,Lists!$J$2:$J$7)</f>
        <v>6 - 8 days</v>
      </c>
    </row>
    <row r="15" customFormat="false" ht="15" hidden="false" customHeight="false" outlineLevel="0" collapsed="false">
      <c r="A15" s="2" t="n">
        <v>14</v>
      </c>
      <c r="B15" s="2" t="s">
        <v>230</v>
      </c>
      <c r="C15" s="2" t="n">
        <v>60</v>
      </c>
      <c r="D15" s="2" t="n">
        <v>1</v>
      </c>
      <c r="E15" s="82" t="n">
        <v>45238</v>
      </c>
      <c r="F15" s="83" t="n">
        <v>0.157013888888889</v>
      </c>
      <c r="G15" s="82" t="n">
        <v>45245</v>
      </c>
      <c r="H15" s="83" t="n">
        <v>0.505578703703704</v>
      </c>
      <c r="I15" s="2" t="s">
        <v>282</v>
      </c>
      <c r="J15" s="2" t="s">
        <v>32</v>
      </c>
      <c r="K15" s="46" t="str">
        <f aca="false">INDEX(Products!$B$2:$B$71,MATCH($C15,Products!$A$2:$A$71,0))</f>
        <v>Ea Set</v>
      </c>
      <c r="L15" s="46" t="str">
        <f aca="false">INDEX(Products!$C$2:$C$71,MATCH($C15,Products!$A$2:$A$71,0))</f>
        <v>Sweets</v>
      </c>
      <c r="M15" s="84" t="n">
        <f aca="false">INDEX(Products!$D$2:$D$71,MATCH($C15,Products!$A$2:$A$71,0))</f>
        <v>827</v>
      </c>
      <c r="N15" s="84" t="n">
        <f aca="false">$D15*$M15</f>
        <v>827</v>
      </c>
      <c r="O15" s="46" t="str">
        <f aca="false">INDEX(Customers!$C$2:$C$101,MATCH($B15,Customers!$A$2:$A$101,0))</f>
        <v>Ajmer</v>
      </c>
      <c r="P15" s="46" t="str">
        <f aca="false">INDEX(Customers!$F$2:$F$101,MATCH($B15,Customers!$A$2:$A$101,0))</f>
        <v>Male</v>
      </c>
      <c r="Q15" s="46" t="str">
        <f aca="false">INDEX(Customers!$B$2:$B$101,MATCH($B15,Customers!$A$2:$A$101,0))</f>
        <v>Eshani Sharma</v>
      </c>
      <c r="R15" s="46" t="n">
        <f aca="false">MONTH($E15)</f>
        <v>11</v>
      </c>
      <c r="S15" s="46" t="str">
        <f aca="false">INDEX(Lists!$B$2:$B$13,$R15)</f>
        <v>November</v>
      </c>
      <c r="T15" s="46" t="n">
        <f aca="false">HOUR($F15)</f>
        <v>3</v>
      </c>
      <c r="U15" s="46" t="n">
        <f aca="false">WEEKDAY($E15,2)</f>
        <v>3</v>
      </c>
      <c r="V15" s="46" t="str">
        <f aca="false">INDEX(Lists!$F$2:$F$8,$U15)</f>
        <v>Wednesday</v>
      </c>
      <c r="W15" s="85" t="n">
        <f aca="false">($G15+$H15)-($E15+$F15)</f>
        <v>7.34856481481481</v>
      </c>
      <c r="X15" s="46" t="str">
        <f aca="false">LOOKUP($M15,Lists!$G$2:$G$5,Lists!$H$2:$H$5)</f>
        <v>₹500 - 999</v>
      </c>
      <c r="Y15" s="46" t="str">
        <f aca="false">LOOKUP($W15,Lists!$I$2:$I$7,Lists!$J$2:$J$7)</f>
        <v>6 - 8 days</v>
      </c>
    </row>
    <row r="16" customFormat="false" ht="15" hidden="false" customHeight="false" outlineLevel="0" collapsed="false">
      <c r="A16" s="7" t="n">
        <v>15</v>
      </c>
      <c r="B16" s="7" t="s">
        <v>309</v>
      </c>
      <c r="C16" s="7" t="n">
        <v>21</v>
      </c>
      <c r="D16" s="7" t="n">
        <v>5</v>
      </c>
      <c r="E16" s="77" t="n">
        <v>45164</v>
      </c>
      <c r="F16" s="78" t="n">
        <v>0.119895833333333</v>
      </c>
      <c r="G16" s="77" t="n">
        <v>45168</v>
      </c>
      <c r="H16" s="78" t="n">
        <v>0.560243055555556</v>
      </c>
      <c r="I16" s="7" t="s">
        <v>532</v>
      </c>
      <c r="J16" s="7" t="s">
        <v>40</v>
      </c>
      <c r="K16" s="79" t="str">
        <f aca="false">INDEX(Products!$B$2:$B$71,MATCH($C16,Products!$A$2:$A$71,0))</f>
        <v>Quia Gift</v>
      </c>
      <c r="L16" s="79" t="str">
        <f aca="false">INDEX(Products!$C$2:$C$71,MATCH($C16,Products!$A$2:$A$71,0))</f>
        <v>Colors</v>
      </c>
      <c r="M16" s="80" t="n">
        <f aca="false">INDEX(Products!$D$2:$D$71,MATCH($C16,Products!$A$2:$A$71,0))</f>
        <v>1561</v>
      </c>
      <c r="N16" s="80" t="n">
        <f aca="false">$D16*$M16</f>
        <v>7805</v>
      </c>
      <c r="O16" s="79" t="str">
        <f aca="false">INDEX(Customers!$C$2:$C$101,MATCH($B16,Customers!$A$2:$A$101,0))</f>
        <v>Madhyamgram</v>
      </c>
      <c r="P16" s="79" t="str">
        <f aca="false">INDEX(Customers!$F$2:$F$101,MATCH($B16,Customers!$A$2:$A$101,0))</f>
        <v>Female</v>
      </c>
      <c r="Q16" s="79" t="str">
        <f aca="false">INDEX(Customers!$B$2:$B$101,MATCH($B16,Customers!$A$2:$A$101,0))</f>
        <v>Hunar Tripathi</v>
      </c>
      <c r="R16" s="79" t="n">
        <f aca="false">MONTH($E16)</f>
        <v>8</v>
      </c>
      <c r="S16" s="79" t="str">
        <f aca="false">INDEX(Lists!$B$2:$B$13,$R16)</f>
        <v>August</v>
      </c>
      <c r="T16" s="79" t="n">
        <f aca="false">HOUR($F16)</f>
        <v>2</v>
      </c>
      <c r="U16" s="79" t="n">
        <f aca="false">WEEKDAY($E16,2)</f>
        <v>6</v>
      </c>
      <c r="V16" s="79" t="str">
        <f aca="false">INDEX(Lists!$F$2:$F$8,$U16)</f>
        <v>Saturday</v>
      </c>
      <c r="W16" s="81" t="n">
        <f aca="false">($G16+$H16)-($E16+$F16)</f>
        <v>4.44034722222222</v>
      </c>
      <c r="X16" s="79" t="str">
        <f aca="false">LOOKUP($M16,Lists!$G$2:$G$5,Lists!$H$2:$H$5)</f>
        <v>₹1,500 - 2,000</v>
      </c>
      <c r="Y16" s="79" t="str">
        <f aca="false">LOOKUP($W16,Lists!$I$2:$I$7,Lists!$J$2:$J$7)</f>
        <v>4 - 6 days</v>
      </c>
    </row>
    <row r="17" customFormat="false" ht="15" hidden="false" customHeight="false" outlineLevel="0" collapsed="false">
      <c r="A17" s="2" t="n">
        <v>16</v>
      </c>
      <c r="B17" s="2" t="s">
        <v>159</v>
      </c>
      <c r="C17" s="2" t="n">
        <v>20</v>
      </c>
      <c r="D17" s="2" t="n">
        <v>3</v>
      </c>
      <c r="E17" s="82" t="n">
        <v>44973</v>
      </c>
      <c r="F17" s="83" t="n">
        <v>0.629293981481482</v>
      </c>
      <c r="G17" s="82" t="n">
        <v>44977</v>
      </c>
      <c r="H17" s="83" t="n">
        <v>0.926631944444444</v>
      </c>
      <c r="I17" s="2" t="s">
        <v>454</v>
      </c>
      <c r="J17" s="2" t="s">
        <v>168</v>
      </c>
      <c r="K17" s="46" t="str">
        <f aca="false">INDEX(Products!$B$2:$B$71,MATCH($C17,Products!$A$2:$A$71,0))</f>
        <v>Reiciendis Box</v>
      </c>
      <c r="L17" s="46" t="str">
        <f aca="false">INDEX(Products!$C$2:$C$71,MATCH($C17,Products!$A$2:$A$71,0))</f>
        <v>Colors</v>
      </c>
      <c r="M17" s="84" t="n">
        <f aca="false">INDEX(Products!$D$2:$D$71,MATCH($C17,Products!$A$2:$A$71,0))</f>
        <v>697</v>
      </c>
      <c r="N17" s="84" t="n">
        <f aca="false">$D17*$M17</f>
        <v>2091</v>
      </c>
      <c r="O17" s="46" t="str">
        <f aca="false">INDEX(Customers!$C$2:$C$101,MATCH($B17,Customers!$A$2:$A$101,0))</f>
        <v>Mangalore</v>
      </c>
      <c r="P17" s="46" t="str">
        <f aca="false">INDEX(Customers!$F$2:$F$101,MATCH($B17,Customers!$A$2:$A$101,0))</f>
        <v>Female</v>
      </c>
      <c r="Q17" s="46" t="str">
        <f aca="false">INDEX(Customers!$B$2:$B$101,MATCH($B17,Customers!$A$2:$A$101,0))</f>
        <v>Manikya Goswami</v>
      </c>
      <c r="R17" s="46" t="n">
        <f aca="false">MONTH($E17)</f>
        <v>2</v>
      </c>
      <c r="S17" s="46" t="str">
        <f aca="false">INDEX(Lists!$B$2:$B$13,$R17)</f>
        <v>February</v>
      </c>
      <c r="T17" s="46" t="n">
        <f aca="false">HOUR($F17)</f>
        <v>15</v>
      </c>
      <c r="U17" s="46" t="n">
        <f aca="false">WEEKDAY($E17,2)</f>
        <v>4</v>
      </c>
      <c r="V17" s="46" t="str">
        <f aca="false">INDEX(Lists!$F$2:$F$8,$U17)</f>
        <v>Thursday</v>
      </c>
      <c r="W17" s="85" t="n">
        <f aca="false">($G17+$H17)-($E17+$F17)</f>
        <v>4.29733796296296</v>
      </c>
      <c r="X17" s="46" t="str">
        <f aca="false">LOOKUP($M17,Lists!$G$2:$G$5,Lists!$H$2:$H$5)</f>
        <v>₹500 - 999</v>
      </c>
      <c r="Y17" s="46" t="str">
        <f aca="false">LOOKUP($W17,Lists!$I$2:$I$7,Lists!$J$2:$J$7)</f>
        <v>4 - 6 days</v>
      </c>
    </row>
    <row r="18" customFormat="false" ht="15" hidden="false" customHeight="false" outlineLevel="0" collapsed="false">
      <c r="A18" s="7" t="n">
        <v>17</v>
      </c>
      <c r="B18" s="7" t="s">
        <v>272</v>
      </c>
      <c r="C18" s="7" t="n">
        <v>60</v>
      </c>
      <c r="D18" s="7" t="n">
        <v>2</v>
      </c>
      <c r="E18" s="77" t="n">
        <v>45234</v>
      </c>
      <c r="F18" s="78" t="n">
        <v>0.480243055555556</v>
      </c>
      <c r="G18" s="77" t="n">
        <v>45243</v>
      </c>
      <c r="H18" s="78" t="n">
        <v>0.777928240740741</v>
      </c>
      <c r="I18" s="7" t="s">
        <v>465</v>
      </c>
      <c r="J18" s="7" t="s">
        <v>32</v>
      </c>
      <c r="K18" s="79" t="str">
        <f aca="false">INDEX(Products!$B$2:$B$71,MATCH($C18,Products!$A$2:$A$71,0))</f>
        <v>Ea Set</v>
      </c>
      <c r="L18" s="79" t="str">
        <f aca="false">INDEX(Products!$C$2:$C$71,MATCH($C18,Products!$A$2:$A$71,0))</f>
        <v>Sweets</v>
      </c>
      <c r="M18" s="80" t="n">
        <f aca="false">INDEX(Products!$D$2:$D$71,MATCH($C18,Products!$A$2:$A$71,0))</f>
        <v>827</v>
      </c>
      <c r="N18" s="80" t="n">
        <f aca="false">$D18*$M18</f>
        <v>1654</v>
      </c>
      <c r="O18" s="79" t="str">
        <f aca="false">INDEX(Customers!$C$2:$C$101,MATCH($B18,Customers!$A$2:$A$101,0))</f>
        <v>Haridwar</v>
      </c>
      <c r="P18" s="79" t="str">
        <f aca="false">INDEX(Customers!$F$2:$F$101,MATCH($B18,Customers!$A$2:$A$101,0))</f>
        <v>Male</v>
      </c>
      <c r="Q18" s="79" t="str">
        <f aca="false">INDEX(Customers!$B$2:$B$101,MATCH($B18,Customers!$A$2:$A$101,0))</f>
        <v>Pihu Choudhury</v>
      </c>
      <c r="R18" s="79" t="n">
        <f aca="false">MONTH($E18)</f>
        <v>11</v>
      </c>
      <c r="S18" s="79" t="str">
        <f aca="false">INDEX(Lists!$B$2:$B$13,$R18)</f>
        <v>November</v>
      </c>
      <c r="T18" s="79" t="n">
        <f aca="false">HOUR($F18)</f>
        <v>11</v>
      </c>
      <c r="U18" s="79" t="n">
        <f aca="false">WEEKDAY($E18,2)</f>
        <v>6</v>
      </c>
      <c r="V18" s="79" t="str">
        <f aca="false">INDEX(Lists!$F$2:$F$8,$U18)</f>
        <v>Saturday</v>
      </c>
      <c r="W18" s="81" t="n">
        <f aca="false">($G18+$H18)-($E18+$F18)</f>
        <v>9.29768518518519</v>
      </c>
      <c r="X18" s="79" t="str">
        <f aca="false">LOOKUP($M18,Lists!$G$2:$G$5,Lists!$H$2:$H$5)</f>
        <v>₹500 - 999</v>
      </c>
      <c r="Y18" s="79" t="str">
        <f aca="false">LOOKUP($W18,Lists!$I$2:$I$7,Lists!$J$2:$J$7)</f>
        <v>8 - 10 days</v>
      </c>
    </row>
    <row r="19" customFormat="false" ht="15" hidden="false" customHeight="false" outlineLevel="0" collapsed="false">
      <c r="A19" s="2" t="n">
        <v>18</v>
      </c>
      <c r="B19" s="2" t="s">
        <v>316</v>
      </c>
      <c r="C19" s="2" t="n">
        <v>23</v>
      </c>
      <c r="D19" s="2" t="n">
        <v>4</v>
      </c>
      <c r="E19" s="82" t="n">
        <v>45270</v>
      </c>
      <c r="F19" s="83" t="n">
        <v>0.448784722222222</v>
      </c>
      <c r="G19" s="82" t="n">
        <v>45271</v>
      </c>
      <c r="H19" s="83" t="n">
        <v>0.014224537037037</v>
      </c>
      <c r="I19" s="2" t="s">
        <v>492</v>
      </c>
      <c r="J19" s="2" t="s">
        <v>168</v>
      </c>
      <c r="K19" s="46" t="str">
        <f aca="false">INDEX(Products!$B$2:$B$71,MATCH($C19,Products!$A$2:$A$71,0))</f>
        <v>Dignissimos Pack</v>
      </c>
      <c r="L19" s="46" t="str">
        <f aca="false">INDEX(Products!$C$2:$C$71,MATCH($C19,Products!$A$2:$A$71,0))</f>
        <v>Sweets</v>
      </c>
      <c r="M19" s="84" t="n">
        <f aca="false">INDEX(Products!$D$2:$D$71,MATCH($C19,Products!$A$2:$A$71,0))</f>
        <v>1098</v>
      </c>
      <c r="N19" s="84" t="n">
        <f aca="false">$D19*$M19</f>
        <v>4392</v>
      </c>
      <c r="O19" s="46" t="str">
        <f aca="false">INDEX(Customers!$C$2:$C$101,MATCH($B19,Customers!$A$2:$A$101,0))</f>
        <v>Hyderabad</v>
      </c>
      <c r="P19" s="46" t="str">
        <f aca="false">INDEX(Customers!$F$2:$F$101,MATCH($B19,Customers!$A$2:$A$101,0))</f>
        <v>Male</v>
      </c>
      <c r="Q19" s="46" t="str">
        <f aca="false">INDEX(Customers!$B$2:$B$101,MATCH($B19,Customers!$A$2:$A$101,0))</f>
        <v>Charvi Karnik</v>
      </c>
      <c r="R19" s="46" t="n">
        <f aca="false">MONTH($E19)</f>
        <v>12</v>
      </c>
      <c r="S19" s="46" t="str">
        <f aca="false">INDEX(Lists!$B$2:$B$13,$R19)</f>
        <v>December</v>
      </c>
      <c r="T19" s="46" t="n">
        <f aca="false">HOUR($F19)</f>
        <v>10</v>
      </c>
      <c r="U19" s="46" t="n">
        <f aca="false">WEEKDAY($E19,2)</f>
        <v>7</v>
      </c>
      <c r="V19" s="46" t="str">
        <f aca="false">INDEX(Lists!$F$2:$F$8,$U19)</f>
        <v>Sunday</v>
      </c>
      <c r="W19" s="85" t="n">
        <f aca="false">($G19+$H19)-($E19+$F19)</f>
        <v>0.565439814814815</v>
      </c>
      <c r="X19" s="46" t="str">
        <f aca="false">LOOKUP($M19,Lists!$G$2:$G$5,Lists!$H$2:$H$5)</f>
        <v>₹1,000 - 1,499</v>
      </c>
      <c r="Y19" s="46" t="str">
        <f aca="false">LOOKUP($W19,Lists!$I$2:$I$7,Lists!$J$2:$J$7)</f>
        <v>0 - 2 days</v>
      </c>
    </row>
    <row r="20" customFormat="false" ht="15" hidden="false" customHeight="false" outlineLevel="0" collapsed="false">
      <c r="A20" s="7" t="n">
        <v>19</v>
      </c>
      <c r="B20" s="7" t="s">
        <v>316</v>
      </c>
      <c r="C20" s="7" t="n">
        <v>62</v>
      </c>
      <c r="D20" s="7" t="n">
        <v>4</v>
      </c>
      <c r="E20" s="77" t="n">
        <v>44992</v>
      </c>
      <c r="F20" s="78" t="n">
        <v>0.333194444444445</v>
      </c>
      <c r="G20" s="77" t="n">
        <v>44993</v>
      </c>
      <c r="H20" s="78" t="n">
        <v>0.128171296296296</v>
      </c>
      <c r="I20" s="7" t="s">
        <v>606</v>
      </c>
      <c r="J20" s="7" t="s">
        <v>33</v>
      </c>
      <c r="K20" s="79" t="str">
        <f aca="false">INDEX(Products!$B$2:$B$71,MATCH($C20,Products!$A$2:$A$71,0))</f>
        <v>Sed Set</v>
      </c>
      <c r="L20" s="79" t="str">
        <f aca="false">INDEX(Products!$C$2:$C$71,MATCH($C20,Products!$A$2:$A$71,0))</f>
        <v>Colors</v>
      </c>
      <c r="M20" s="80" t="n">
        <f aca="false">INDEX(Products!$D$2:$D$71,MATCH($C20,Products!$A$2:$A$71,0))</f>
        <v>1356</v>
      </c>
      <c r="N20" s="80" t="n">
        <f aca="false">$D20*$M20</f>
        <v>5424</v>
      </c>
      <c r="O20" s="79" t="str">
        <f aca="false">INDEX(Customers!$C$2:$C$101,MATCH($B20,Customers!$A$2:$A$101,0))</f>
        <v>Hyderabad</v>
      </c>
      <c r="P20" s="79" t="str">
        <f aca="false">INDEX(Customers!$F$2:$F$101,MATCH($B20,Customers!$A$2:$A$101,0))</f>
        <v>Male</v>
      </c>
      <c r="Q20" s="79" t="str">
        <f aca="false">INDEX(Customers!$B$2:$B$101,MATCH($B20,Customers!$A$2:$A$101,0))</f>
        <v>Charvi Karnik</v>
      </c>
      <c r="R20" s="79" t="n">
        <f aca="false">MONTH($E20)</f>
        <v>3</v>
      </c>
      <c r="S20" s="79" t="str">
        <f aca="false">INDEX(Lists!$B$2:$B$13,$R20)</f>
        <v>March</v>
      </c>
      <c r="T20" s="79" t="n">
        <f aca="false">HOUR($F20)</f>
        <v>7</v>
      </c>
      <c r="U20" s="79" t="n">
        <f aca="false">WEEKDAY($E20,2)</f>
        <v>2</v>
      </c>
      <c r="V20" s="79" t="str">
        <f aca="false">INDEX(Lists!$F$2:$F$8,$U20)</f>
        <v>Tuesday</v>
      </c>
      <c r="W20" s="81" t="n">
        <f aca="false">($G20+$H20)-($E20+$F20)</f>
        <v>0.794976851851852</v>
      </c>
      <c r="X20" s="79" t="str">
        <f aca="false">LOOKUP($M20,Lists!$G$2:$G$5,Lists!$H$2:$H$5)</f>
        <v>₹1,000 - 1,499</v>
      </c>
      <c r="Y20" s="79" t="str">
        <f aca="false">LOOKUP($W20,Lists!$I$2:$I$7,Lists!$J$2:$J$7)</f>
        <v>0 - 2 days</v>
      </c>
    </row>
    <row r="21" customFormat="false" ht="15" hidden="false" customHeight="false" outlineLevel="0" collapsed="false">
      <c r="A21" s="2" t="n">
        <v>20</v>
      </c>
      <c r="B21" s="2" t="s">
        <v>154</v>
      </c>
      <c r="C21" s="2" t="n">
        <v>52</v>
      </c>
      <c r="D21" s="2" t="n">
        <v>1</v>
      </c>
      <c r="E21" s="82" t="n">
        <v>44968</v>
      </c>
      <c r="F21" s="83" t="n">
        <v>0.608993055555556</v>
      </c>
      <c r="G21" s="82" t="n">
        <v>44971</v>
      </c>
      <c r="H21" s="83" t="n">
        <v>0.065462962962963</v>
      </c>
      <c r="I21" s="2" t="s">
        <v>477</v>
      </c>
      <c r="J21" s="2" t="s">
        <v>179</v>
      </c>
      <c r="K21" s="46" t="str">
        <f aca="false">INDEX(Products!$B$2:$B$71,MATCH($C21,Products!$A$2:$A$71,0))</f>
        <v>Dolorum Box</v>
      </c>
      <c r="L21" s="46" t="str">
        <f aca="false">INDEX(Products!$C$2:$C$71,MATCH($C21,Products!$A$2:$A$71,0))</f>
        <v>Raksha Bandhan</v>
      </c>
      <c r="M21" s="84" t="n">
        <f aca="false">INDEX(Products!$D$2:$D$71,MATCH($C21,Products!$A$2:$A$71,0))</f>
        <v>236</v>
      </c>
      <c r="N21" s="84" t="n">
        <f aca="false">$D21*$M21</f>
        <v>236</v>
      </c>
      <c r="O21" s="46" t="str">
        <f aca="false">INDEX(Customers!$C$2:$C$101,MATCH($B21,Customers!$A$2:$A$101,0))</f>
        <v>Orai</v>
      </c>
      <c r="P21" s="46" t="str">
        <f aca="false">INDEX(Customers!$F$2:$F$101,MATCH($B21,Customers!$A$2:$A$101,0))</f>
        <v>Female</v>
      </c>
      <c r="Q21" s="46" t="str">
        <f aca="false">INDEX(Customers!$B$2:$B$101,MATCH($B21,Customers!$A$2:$A$101,0))</f>
        <v>Lagan Kapoor</v>
      </c>
      <c r="R21" s="46" t="n">
        <f aca="false">MONTH($E21)</f>
        <v>2</v>
      </c>
      <c r="S21" s="46" t="str">
        <f aca="false">INDEX(Lists!$B$2:$B$13,$R21)</f>
        <v>February</v>
      </c>
      <c r="T21" s="46" t="n">
        <f aca="false">HOUR($F21)</f>
        <v>14</v>
      </c>
      <c r="U21" s="46" t="n">
        <f aca="false">WEEKDAY($E21,2)</f>
        <v>6</v>
      </c>
      <c r="V21" s="46" t="str">
        <f aca="false">INDEX(Lists!$F$2:$F$8,$U21)</f>
        <v>Saturday</v>
      </c>
      <c r="W21" s="85" t="n">
        <f aca="false">($G21+$H21)-($E21+$F21)</f>
        <v>2.45646990740741</v>
      </c>
      <c r="X21" s="46" t="str">
        <f aca="false">LOOKUP($M21,Lists!$G$2:$G$5,Lists!$H$2:$H$5)</f>
        <v>₹0 - 499</v>
      </c>
      <c r="Y21" s="46" t="str">
        <f aca="false">LOOKUP($W21,Lists!$I$2:$I$7,Lists!$J$2:$J$7)</f>
        <v>2 - 4 days</v>
      </c>
    </row>
    <row r="22" customFormat="false" ht="15" hidden="false" customHeight="false" outlineLevel="0" collapsed="false">
      <c r="A22" s="7" t="n">
        <v>21</v>
      </c>
      <c r="B22" s="7" t="s">
        <v>366</v>
      </c>
      <c r="C22" s="7" t="n">
        <v>32</v>
      </c>
      <c r="D22" s="7" t="n">
        <v>1</v>
      </c>
      <c r="E22" s="77" t="n">
        <v>44966</v>
      </c>
      <c r="F22" s="78" t="n">
        <v>0.472824074074074</v>
      </c>
      <c r="G22" s="77" t="n">
        <v>44969</v>
      </c>
      <c r="H22" s="78" t="n">
        <v>0.483634259259259</v>
      </c>
      <c r="I22" s="7" t="s">
        <v>205</v>
      </c>
      <c r="J22" s="7" t="s">
        <v>31</v>
      </c>
      <c r="K22" s="79" t="str">
        <f aca="false">INDEX(Products!$B$2:$B$71,MATCH($C22,Products!$A$2:$A$71,0))</f>
        <v>Fuga Set</v>
      </c>
      <c r="L22" s="79" t="str">
        <f aca="false">INDEX(Products!$C$2:$C$71,MATCH($C22,Products!$A$2:$A$71,0))</f>
        <v>Soft Toys</v>
      </c>
      <c r="M22" s="80" t="n">
        <f aca="false">INDEX(Products!$D$2:$D$71,MATCH($C22,Products!$A$2:$A$71,0))</f>
        <v>1792</v>
      </c>
      <c r="N22" s="80" t="n">
        <f aca="false">$D22*$M22</f>
        <v>1792</v>
      </c>
      <c r="O22" s="79" t="str">
        <f aca="false">INDEX(Customers!$C$2:$C$101,MATCH($B22,Customers!$A$2:$A$101,0))</f>
        <v>Anantapuram</v>
      </c>
      <c r="P22" s="79" t="str">
        <f aca="false">INDEX(Customers!$F$2:$F$101,MATCH($B22,Customers!$A$2:$A$101,0))</f>
        <v>Female</v>
      </c>
      <c r="Q22" s="79" t="str">
        <f aca="false">INDEX(Customers!$B$2:$B$101,MATCH($B22,Customers!$A$2:$A$101,0))</f>
        <v>Drishya De</v>
      </c>
      <c r="R22" s="79" t="n">
        <f aca="false">MONTH($E22)</f>
        <v>2</v>
      </c>
      <c r="S22" s="79" t="str">
        <f aca="false">INDEX(Lists!$B$2:$B$13,$R22)</f>
        <v>February</v>
      </c>
      <c r="T22" s="79" t="n">
        <f aca="false">HOUR($F22)</f>
        <v>11</v>
      </c>
      <c r="U22" s="79" t="n">
        <f aca="false">WEEKDAY($E22,2)</f>
        <v>4</v>
      </c>
      <c r="V22" s="79" t="str">
        <f aca="false">INDEX(Lists!$F$2:$F$8,$U22)</f>
        <v>Thursday</v>
      </c>
      <c r="W22" s="81" t="n">
        <f aca="false">($G22+$H22)-($E22+$F22)</f>
        <v>3.01081018518519</v>
      </c>
      <c r="X22" s="79" t="str">
        <f aca="false">LOOKUP($M22,Lists!$G$2:$G$5,Lists!$H$2:$H$5)</f>
        <v>₹1,500 - 2,000</v>
      </c>
      <c r="Y22" s="79" t="str">
        <f aca="false">LOOKUP($W22,Lists!$I$2:$I$7,Lists!$J$2:$J$7)</f>
        <v>2 - 4 days</v>
      </c>
    </row>
    <row r="23" customFormat="false" ht="15" hidden="false" customHeight="false" outlineLevel="0" collapsed="false">
      <c r="A23" s="2" t="n">
        <v>22</v>
      </c>
      <c r="B23" s="2" t="s">
        <v>266</v>
      </c>
      <c r="C23" s="2" t="n">
        <v>43</v>
      </c>
      <c r="D23" s="2" t="n">
        <v>1</v>
      </c>
      <c r="E23" s="82" t="n">
        <v>45239</v>
      </c>
      <c r="F23" s="83" t="n">
        <v>0.045462962962963</v>
      </c>
      <c r="G23" s="82" t="n">
        <v>45244</v>
      </c>
      <c r="H23" s="83" t="n">
        <v>0.409571759259259</v>
      </c>
      <c r="I23" s="2" t="s">
        <v>584</v>
      </c>
      <c r="J23" s="2" t="s">
        <v>32</v>
      </c>
      <c r="K23" s="46" t="str">
        <f aca="false">INDEX(Products!$B$2:$B$71,MATCH($C23,Products!$A$2:$A$71,0))</f>
        <v>Quisquam Pack</v>
      </c>
      <c r="L23" s="46" t="str">
        <f aca="false">INDEX(Products!$C$2:$C$71,MATCH($C23,Products!$A$2:$A$71,0))</f>
        <v>Raksha Bandhan</v>
      </c>
      <c r="M23" s="84" t="n">
        <f aca="false">INDEX(Products!$D$2:$D$71,MATCH($C23,Products!$A$2:$A$71,0))</f>
        <v>750</v>
      </c>
      <c r="N23" s="84" t="n">
        <f aca="false">$D23*$M23</f>
        <v>750</v>
      </c>
      <c r="O23" s="46" t="str">
        <f aca="false">INDEX(Customers!$C$2:$C$101,MATCH($B23,Customers!$A$2:$A$101,0))</f>
        <v>Bidhannagar</v>
      </c>
      <c r="P23" s="46" t="str">
        <f aca="false">INDEX(Customers!$F$2:$F$101,MATCH($B23,Customers!$A$2:$A$101,0))</f>
        <v>Female</v>
      </c>
      <c r="Q23" s="46" t="str">
        <f aca="false">INDEX(Customers!$B$2:$B$101,MATCH($B23,Customers!$A$2:$A$101,0))</f>
        <v>Umang Ahuja</v>
      </c>
      <c r="R23" s="46" t="n">
        <f aca="false">MONTH($E23)</f>
        <v>11</v>
      </c>
      <c r="S23" s="46" t="str">
        <f aca="false">INDEX(Lists!$B$2:$B$13,$R23)</f>
        <v>November</v>
      </c>
      <c r="T23" s="46" t="n">
        <f aca="false">HOUR($F23)</f>
        <v>1</v>
      </c>
      <c r="U23" s="46" t="n">
        <f aca="false">WEEKDAY($E23,2)</f>
        <v>4</v>
      </c>
      <c r="V23" s="46" t="str">
        <f aca="false">INDEX(Lists!$F$2:$F$8,$U23)</f>
        <v>Thursday</v>
      </c>
      <c r="W23" s="85" t="n">
        <f aca="false">($G23+$H23)-($E23+$F23)</f>
        <v>5.3641087962963</v>
      </c>
      <c r="X23" s="46" t="str">
        <f aca="false">LOOKUP($M23,Lists!$G$2:$G$5,Lists!$H$2:$H$5)</f>
        <v>₹500 - 999</v>
      </c>
      <c r="Y23" s="46" t="str">
        <f aca="false">LOOKUP($W23,Lists!$I$2:$I$7,Lists!$J$2:$J$7)</f>
        <v>4 - 6 days</v>
      </c>
    </row>
    <row r="24" customFormat="false" ht="15" hidden="false" customHeight="false" outlineLevel="0" collapsed="false">
      <c r="A24" s="7" t="n">
        <v>23</v>
      </c>
      <c r="B24" s="7" t="s">
        <v>227</v>
      </c>
      <c r="C24" s="7" t="n">
        <v>12</v>
      </c>
      <c r="D24" s="7" t="n">
        <v>3</v>
      </c>
      <c r="E24" s="77" t="n">
        <v>45051</v>
      </c>
      <c r="F24" s="78" t="n">
        <v>0.228159722222222</v>
      </c>
      <c r="G24" s="77" t="n">
        <v>45052</v>
      </c>
      <c r="H24" s="78" t="n">
        <v>0.508611111111111</v>
      </c>
      <c r="I24" s="7" t="s">
        <v>474</v>
      </c>
      <c r="J24" s="7" t="s">
        <v>168</v>
      </c>
      <c r="K24" s="79" t="str">
        <f aca="false">INDEX(Products!$B$2:$B$71,MATCH($C24,Products!$A$2:$A$71,0))</f>
        <v>Non Set</v>
      </c>
      <c r="L24" s="79" t="str">
        <f aca="false">INDEX(Products!$C$2:$C$71,MATCH($C24,Products!$A$2:$A$71,0))</f>
        <v>Plants</v>
      </c>
      <c r="M24" s="80" t="n">
        <f aca="false">INDEX(Products!$D$2:$D$71,MATCH($C24,Products!$A$2:$A$71,0))</f>
        <v>672</v>
      </c>
      <c r="N24" s="80" t="n">
        <f aca="false">$D24*$M24</f>
        <v>2016</v>
      </c>
      <c r="O24" s="79" t="str">
        <f aca="false">INDEX(Customers!$C$2:$C$101,MATCH($B24,Customers!$A$2:$A$101,0))</f>
        <v>Karaikudi</v>
      </c>
      <c r="P24" s="79" t="str">
        <f aca="false">INDEX(Customers!$F$2:$F$101,MATCH($B24,Customers!$A$2:$A$101,0))</f>
        <v>Male</v>
      </c>
      <c r="Q24" s="79" t="str">
        <f aca="false">INDEX(Customers!$B$2:$B$101,MATCH($B24,Customers!$A$2:$A$101,0))</f>
        <v>Rati Dhingra</v>
      </c>
      <c r="R24" s="79" t="n">
        <f aca="false">MONTH($E24)</f>
        <v>5</v>
      </c>
      <c r="S24" s="79" t="str">
        <f aca="false">INDEX(Lists!$B$2:$B$13,$R24)</f>
        <v>May</v>
      </c>
      <c r="T24" s="79" t="n">
        <f aca="false">HOUR($F24)</f>
        <v>5</v>
      </c>
      <c r="U24" s="79" t="n">
        <f aca="false">WEEKDAY($E24,2)</f>
        <v>5</v>
      </c>
      <c r="V24" s="79" t="str">
        <f aca="false">INDEX(Lists!$F$2:$F$8,$U24)</f>
        <v>Friday</v>
      </c>
      <c r="W24" s="81" t="n">
        <f aca="false">($G24+$H24)-($E24+$F24)</f>
        <v>1.28045138888889</v>
      </c>
      <c r="X24" s="79" t="str">
        <f aca="false">LOOKUP($M24,Lists!$G$2:$G$5,Lists!$H$2:$H$5)</f>
        <v>₹500 - 999</v>
      </c>
      <c r="Y24" s="79" t="str">
        <f aca="false">LOOKUP($W24,Lists!$I$2:$I$7,Lists!$J$2:$J$7)</f>
        <v>0 - 2 days</v>
      </c>
    </row>
    <row r="25" customFormat="false" ht="15" hidden="false" customHeight="false" outlineLevel="0" collapsed="false">
      <c r="A25" s="2" t="n">
        <v>24</v>
      </c>
      <c r="B25" s="2" t="s">
        <v>172</v>
      </c>
      <c r="C25" s="2" t="n">
        <v>42</v>
      </c>
      <c r="D25" s="2" t="n">
        <v>3</v>
      </c>
      <c r="E25" s="82" t="n">
        <v>45132</v>
      </c>
      <c r="F25" s="83" t="n">
        <v>0.215763888888889</v>
      </c>
      <c r="G25" s="82" t="n">
        <v>45141</v>
      </c>
      <c r="H25" s="83" t="n">
        <v>0.331655092592593</v>
      </c>
      <c r="I25" s="2" t="s">
        <v>354</v>
      </c>
      <c r="J25" s="2" t="s">
        <v>165</v>
      </c>
      <c r="K25" s="46" t="str">
        <f aca="false">INDEX(Products!$B$2:$B$71,MATCH($C25,Products!$A$2:$A$71,0))</f>
        <v>Expedita Gift</v>
      </c>
      <c r="L25" s="46" t="str">
        <f aca="false">INDEX(Products!$C$2:$C$71,MATCH($C25,Products!$A$2:$A$71,0))</f>
        <v>Sweets</v>
      </c>
      <c r="M25" s="84" t="n">
        <f aca="false">INDEX(Products!$D$2:$D$71,MATCH($C25,Products!$A$2:$A$71,0))</f>
        <v>1744</v>
      </c>
      <c r="N25" s="84" t="n">
        <f aca="false">$D25*$M25</f>
        <v>5232</v>
      </c>
      <c r="O25" s="46" t="str">
        <f aca="false">INDEX(Customers!$C$2:$C$101,MATCH($B25,Customers!$A$2:$A$101,0))</f>
        <v>Nizamabad</v>
      </c>
      <c r="P25" s="46" t="str">
        <f aca="false">INDEX(Customers!$F$2:$F$101,MATCH($B25,Customers!$A$2:$A$101,0))</f>
        <v>Male</v>
      </c>
      <c r="Q25" s="46" t="str">
        <f aca="false">INDEX(Customers!$B$2:$B$101,MATCH($B25,Customers!$A$2:$A$101,0))</f>
        <v>Eva Vaidya</v>
      </c>
      <c r="R25" s="46" t="n">
        <f aca="false">MONTH($E25)</f>
        <v>7</v>
      </c>
      <c r="S25" s="46" t="str">
        <f aca="false">INDEX(Lists!$B$2:$B$13,$R25)</f>
        <v>July</v>
      </c>
      <c r="T25" s="46" t="n">
        <f aca="false">HOUR($F25)</f>
        <v>5</v>
      </c>
      <c r="U25" s="46" t="n">
        <f aca="false">WEEKDAY($E25,2)</f>
        <v>2</v>
      </c>
      <c r="V25" s="46" t="str">
        <f aca="false">INDEX(Lists!$F$2:$F$8,$U25)</f>
        <v>Tuesday</v>
      </c>
      <c r="W25" s="85" t="n">
        <f aca="false">($G25+$H25)-($E25+$F25)</f>
        <v>9.1158912037037</v>
      </c>
      <c r="X25" s="46" t="str">
        <f aca="false">LOOKUP($M25,Lists!$G$2:$G$5,Lists!$H$2:$H$5)</f>
        <v>₹1,500 - 2,000</v>
      </c>
      <c r="Y25" s="46" t="str">
        <f aca="false">LOOKUP($W25,Lists!$I$2:$I$7,Lists!$J$2:$J$7)</f>
        <v>8 - 10 days</v>
      </c>
    </row>
    <row r="26" customFormat="false" ht="15" hidden="false" customHeight="false" outlineLevel="0" collapsed="false">
      <c r="A26" s="7" t="n">
        <v>25</v>
      </c>
      <c r="B26" s="7" t="s">
        <v>369</v>
      </c>
      <c r="C26" s="7" t="n">
        <v>30</v>
      </c>
      <c r="D26" s="7" t="n">
        <v>3</v>
      </c>
      <c r="E26" s="77" t="n">
        <v>45128</v>
      </c>
      <c r="F26" s="78" t="n">
        <v>0.449270833333333</v>
      </c>
      <c r="G26" s="77" t="n">
        <v>45131</v>
      </c>
      <c r="H26" s="78" t="n">
        <v>0.603263888888889</v>
      </c>
      <c r="I26" s="7" t="s">
        <v>521</v>
      </c>
      <c r="J26" s="7" t="s">
        <v>168</v>
      </c>
      <c r="K26" s="79" t="str">
        <f aca="false">INDEX(Products!$B$2:$B$71,MATCH($C26,Products!$A$2:$A$71,0))</f>
        <v>Recusandae Pack</v>
      </c>
      <c r="L26" s="79" t="str">
        <f aca="false">INDEX(Products!$C$2:$C$71,MATCH($C26,Products!$A$2:$A$71,0))</f>
        <v>Colors</v>
      </c>
      <c r="M26" s="80" t="n">
        <f aca="false">INDEX(Products!$D$2:$D$71,MATCH($C26,Products!$A$2:$A$71,0))</f>
        <v>751</v>
      </c>
      <c r="N26" s="80" t="n">
        <f aca="false">$D26*$M26</f>
        <v>2253</v>
      </c>
      <c r="O26" s="79" t="str">
        <f aca="false">INDEX(Customers!$C$2:$C$101,MATCH($B26,Customers!$A$2:$A$101,0))</f>
        <v>New Delhi</v>
      </c>
      <c r="P26" s="79" t="str">
        <f aca="false">INDEX(Customers!$F$2:$F$101,MATCH($B26,Customers!$A$2:$A$101,0))</f>
        <v>Female</v>
      </c>
      <c r="Q26" s="79" t="str">
        <f aca="false">INDEX(Customers!$B$2:$B$101,MATCH($B26,Customers!$A$2:$A$101,0))</f>
        <v>Adira Rajan</v>
      </c>
      <c r="R26" s="79" t="n">
        <f aca="false">MONTH($E26)</f>
        <v>7</v>
      </c>
      <c r="S26" s="79" t="str">
        <f aca="false">INDEX(Lists!$B$2:$B$13,$R26)</f>
        <v>July</v>
      </c>
      <c r="T26" s="79" t="n">
        <f aca="false">HOUR($F26)</f>
        <v>10</v>
      </c>
      <c r="U26" s="79" t="n">
        <f aca="false">WEEKDAY($E26,2)</f>
        <v>5</v>
      </c>
      <c r="V26" s="79" t="str">
        <f aca="false">INDEX(Lists!$F$2:$F$8,$U26)</f>
        <v>Friday</v>
      </c>
      <c r="W26" s="81" t="n">
        <f aca="false">($G26+$H26)-($E26+$F26)</f>
        <v>3.15399305555556</v>
      </c>
      <c r="X26" s="79" t="str">
        <f aca="false">LOOKUP($M26,Lists!$G$2:$G$5,Lists!$H$2:$H$5)</f>
        <v>₹500 - 999</v>
      </c>
      <c r="Y26" s="79" t="str">
        <f aca="false">LOOKUP($W26,Lists!$I$2:$I$7,Lists!$J$2:$J$7)</f>
        <v>2 - 4 days</v>
      </c>
    </row>
    <row r="27" customFormat="false" ht="15" hidden="false" customHeight="false" outlineLevel="0" collapsed="false">
      <c r="A27" s="2" t="n">
        <v>26</v>
      </c>
      <c r="B27" s="2" t="s">
        <v>224</v>
      </c>
      <c r="C27" s="2" t="n">
        <v>6</v>
      </c>
      <c r="D27" s="2" t="n">
        <v>3</v>
      </c>
      <c r="E27" s="82" t="n">
        <v>44991</v>
      </c>
      <c r="F27" s="83" t="n">
        <v>0.210486111111111</v>
      </c>
      <c r="G27" s="82" t="n">
        <v>44997</v>
      </c>
      <c r="H27" s="83" t="n">
        <v>0.254293981481482</v>
      </c>
      <c r="I27" s="2" t="s">
        <v>173</v>
      </c>
      <c r="J27" s="2" t="s">
        <v>33</v>
      </c>
      <c r="K27" s="46" t="str">
        <f aca="false">INDEX(Products!$B$2:$B$71,MATCH($C27,Products!$A$2:$A$71,0))</f>
        <v>Quos Box</v>
      </c>
      <c r="L27" s="46" t="str">
        <f aca="false">INDEX(Products!$C$2:$C$71,MATCH($C27,Products!$A$2:$A$71,0))</f>
        <v>Cake</v>
      </c>
      <c r="M27" s="84" t="n">
        <f aca="false">INDEX(Products!$D$2:$D$71,MATCH($C27,Products!$A$2:$A$71,0))</f>
        <v>1112</v>
      </c>
      <c r="N27" s="84" t="n">
        <f aca="false">$D27*$M27</f>
        <v>3336</v>
      </c>
      <c r="O27" s="46" t="str">
        <f aca="false">INDEX(Customers!$C$2:$C$101,MATCH($B27,Customers!$A$2:$A$101,0))</f>
        <v>Pallavaram</v>
      </c>
      <c r="P27" s="46" t="str">
        <f aca="false">INDEX(Customers!$F$2:$F$101,MATCH($B27,Customers!$A$2:$A$101,0))</f>
        <v>Female</v>
      </c>
      <c r="Q27" s="46" t="str">
        <f aca="false">INDEX(Customers!$B$2:$B$101,MATCH($B27,Customers!$A$2:$A$101,0))</f>
        <v>Hazel Mangat</v>
      </c>
      <c r="R27" s="46" t="n">
        <f aca="false">MONTH($E27)</f>
        <v>3</v>
      </c>
      <c r="S27" s="46" t="str">
        <f aca="false">INDEX(Lists!$B$2:$B$13,$R27)</f>
        <v>March</v>
      </c>
      <c r="T27" s="46" t="n">
        <f aca="false">HOUR($F27)</f>
        <v>5</v>
      </c>
      <c r="U27" s="46" t="n">
        <f aca="false">WEEKDAY($E27,2)</f>
        <v>1</v>
      </c>
      <c r="V27" s="46" t="str">
        <f aca="false">INDEX(Lists!$F$2:$F$8,$U27)</f>
        <v>Monday</v>
      </c>
      <c r="W27" s="85" t="n">
        <f aca="false">($G27+$H27)-($E27+$F27)</f>
        <v>6.04380787037037</v>
      </c>
      <c r="X27" s="46" t="str">
        <f aca="false">LOOKUP($M27,Lists!$G$2:$G$5,Lists!$H$2:$H$5)</f>
        <v>₹1,000 - 1,499</v>
      </c>
      <c r="Y27" s="46" t="str">
        <f aca="false">LOOKUP($W27,Lists!$I$2:$I$7,Lists!$J$2:$J$7)</f>
        <v>6 - 8 days</v>
      </c>
    </row>
    <row r="28" customFormat="false" ht="15" hidden="false" customHeight="false" outlineLevel="0" collapsed="false">
      <c r="A28" s="7" t="n">
        <v>27</v>
      </c>
      <c r="B28" s="7" t="s">
        <v>291</v>
      </c>
      <c r="C28" s="7" t="n">
        <v>9</v>
      </c>
      <c r="D28" s="7" t="n">
        <v>2</v>
      </c>
      <c r="E28" s="77" t="n">
        <v>45160</v>
      </c>
      <c r="F28" s="78" t="n">
        <v>0.469768518518519</v>
      </c>
      <c r="G28" s="77" t="n">
        <v>45168</v>
      </c>
      <c r="H28" s="78" t="n">
        <v>0.332777777777778</v>
      </c>
      <c r="I28" s="7" t="s">
        <v>537</v>
      </c>
      <c r="J28" s="7" t="s">
        <v>40</v>
      </c>
      <c r="K28" s="79" t="str">
        <f aca="false">INDEX(Products!$B$2:$B$71,MATCH($C28,Products!$A$2:$A$71,0))</f>
        <v>Aperiam Box</v>
      </c>
      <c r="L28" s="79" t="str">
        <f aca="false">INDEX(Products!$C$2:$C$71,MATCH($C28,Products!$A$2:$A$71,0))</f>
        <v>Colors</v>
      </c>
      <c r="M28" s="80" t="n">
        <f aca="false">INDEX(Products!$D$2:$D$71,MATCH($C28,Products!$A$2:$A$71,0))</f>
        <v>1605</v>
      </c>
      <c r="N28" s="80" t="n">
        <f aca="false">$D28*$M28</f>
        <v>3210</v>
      </c>
      <c r="O28" s="79" t="str">
        <f aca="false">INDEX(Customers!$C$2:$C$101,MATCH($B28,Customers!$A$2:$A$101,0))</f>
        <v>Jamnagar</v>
      </c>
      <c r="P28" s="79" t="str">
        <f aca="false">INDEX(Customers!$F$2:$F$101,MATCH($B28,Customers!$A$2:$A$101,0))</f>
        <v>Male</v>
      </c>
      <c r="Q28" s="79" t="str">
        <f aca="false">INDEX(Customers!$B$2:$B$101,MATCH($B28,Customers!$A$2:$A$101,0))</f>
        <v>Arhaan Ahluwalia</v>
      </c>
      <c r="R28" s="79" t="n">
        <f aca="false">MONTH($E28)</f>
        <v>8</v>
      </c>
      <c r="S28" s="79" t="str">
        <f aca="false">INDEX(Lists!$B$2:$B$13,$R28)</f>
        <v>August</v>
      </c>
      <c r="T28" s="79" t="n">
        <f aca="false">HOUR($F28)</f>
        <v>11</v>
      </c>
      <c r="U28" s="79" t="n">
        <f aca="false">WEEKDAY($E28,2)</f>
        <v>2</v>
      </c>
      <c r="V28" s="79" t="str">
        <f aca="false">INDEX(Lists!$F$2:$F$8,$U28)</f>
        <v>Tuesday</v>
      </c>
      <c r="W28" s="81" t="n">
        <f aca="false">($G28+$H28)-($E28+$F28)</f>
        <v>7.86300925925926</v>
      </c>
      <c r="X28" s="79" t="str">
        <f aca="false">LOOKUP($M28,Lists!$G$2:$G$5,Lists!$H$2:$H$5)</f>
        <v>₹1,500 - 2,000</v>
      </c>
      <c r="Y28" s="79" t="str">
        <f aca="false">LOOKUP($W28,Lists!$I$2:$I$7,Lists!$J$2:$J$7)</f>
        <v>6 - 8 days</v>
      </c>
    </row>
    <row r="29" customFormat="false" ht="15" hidden="false" customHeight="false" outlineLevel="0" collapsed="false">
      <c r="A29" s="2" t="n">
        <v>28</v>
      </c>
      <c r="B29" s="2" t="s">
        <v>360</v>
      </c>
      <c r="C29" s="2" t="n">
        <v>42</v>
      </c>
      <c r="D29" s="2" t="n">
        <v>3</v>
      </c>
      <c r="E29" s="82" t="n">
        <v>45051</v>
      </c>
      <c r="F29" s="83" t="n">
        <v>0.142650462962963</v>
      </c>
      <c r="G29" s="82" t="n">
        <v>45056</v>
      </c>
      <c r="H29" s="83" t="n">
        <v>0.329907407407407</v>
      </c>
      <c r="I29" s="2" t="s">
        <v>401</v>
      </c>
      <c r="J29" s="2" t="s">
        <v>165</v>
      </c>
      <c r="K29" s="46" t="str">
        <f aca="false">INDEX(Products!$B$2:$B$71,MATCH($C29,Products!$A$2:$A$71,0))</f>
        <v>Expedita Gift</v>
      </c>
      <c r="L29" s="46" t="str">
        <f aca="false">INDEX(Products!$C$2:$C$71,MATCH($C29,Products!$A$2:$A$71,0))</f>
        <v>Sweets</v>
      </c>
      <c r="M29" s="84" t="n">
        <f aca="false">INDEX(Products!$D$2:$D$71,MATCH($C29,Products!$A$2:$A$71,0))</f>
        <v>1744</v>
      </c>
      <c r="N29" s="84" t="n">
        <f aca="false">$D29*$M29</f>
        <v>5232</v>
      </c>
      <c r="O29" s="46" t="str">
        <f aca="false">INDEX(Customers!$C$2:$C$101,MATCH($B29,Customers!$A$2:$A$101,0))</f>
        <v>Khora </v>
      </c>
      <c r="P29" s="46" t="str">
        <f aca="false">INDEX(Customers!$F$2:$F$101,MATCH($B29,Customers!$A$2:$A$101,0))</f>
        <v>Female</v>
      </c>
      <c r="Q29" s="46" t="str">
        <f aca="false">INDEX(Customers!$B$2:$B$101,MATCH($B29,Customers!$A$2:$A$101,0))</f>
        <v>Shalv Kulkarni</v>
      </c>
      <c r="R29" s="46" t="n">
        <f aca="false">MONTH($E29)</f>
        <v>5</v>
      </c>
      <c r="S29" s="46" t="str">
        <f aca="false">INDEX(Lists!$B$2:$B$13,$R29)</f>
        <v>May</v>
      </c>
      <c r="T29" s="46" t="n">
        <f aca="false">HOUR($F29)</f>
        <v>3</v>
      </c>
      <c r="U29" s="46" t="n">
        <f aca="false">WEEKDAY($E29,2)</f>
        <v>5</v>
      </c>
      <c r="V29" s="46" t="str">
        <f aca="false">INDEX(Lists!$F$2:$F$8,$U29)</f>
        <v>Friday</v>
      </c>
      <c r="W29" s="85" t="n">
        <f aca="false">($G29+$H29)-($E29+$F29)</f>
        <v>5.18725694444444</v>
      </c>
      <c r="X29" s="46" t="str">
        <f aca="false">LOOKUP($M29,Lists!$G$2:$G$5,Lists!$H$2:$H$5)</f>
        <v>₹1,500 - 2,000</v>
      </c>
      <c r="Y29" s="46" t="str">
        <f aca="false">LOOKUP($W29,Lists!$I$2:$I$7,Lists!$J$2:$J$7)</f>
        <v>4 - 6 days</v>
      </c>
    </row>
    <row r="30" customFormat="false" ht="15" hidden="false" customHeight="false" outlineLevel="0" collapsed="false">
      <c r="A30" s="7" t="n">
        <v>29</v>
      </c>
      <c r="B30" s="7" t="s">
        <v>294</v>
      </c>
      <c r="C30" s="7" t="n">
        <v>10</v>
      </c>
      <c r="D30" s="7" t="n">
        <v>5</v>
      </c>
      <c r="E30" s="77" t="n">
        <v>45191</v>
      </c>
      <c r="F30" s="78" t="n">
        <v>0.046087962962963</v>
      </c>
      <c r="G30" s="77" t="n">
        <v>45200</v>
      </c>
      <c r="H30" s="78" t="n">
        <v>0.603657407407407</v>
      </c>
      <c r="I30" s="7" t="s">
        <v>463</v>
      </c>
      <c r="J30" s="7" t="s">
        <v>31</v>
      </c>
      <c r="K30" s="79" t="str">
        <f aca="false">INDEX(Products!$B$2:$B$71,MATCH($C30,Products!$A$2:$A$71,0))</f>
        <v>Accusantium Gift</v>
      </c>
      <c r="L30" s="79" t="str">
        <f aca="false">INDEX(Products!$C$2:$C$71,MATCH($C30,Products!$A$2:$A$71,0))</f>
        <v>Cake</v>
      </c>
      <c r="M30" s="80" t="n">
        <f aca="false">INDEX(Products!$D$2:$D$71,MATCH($C30,Products!$A$2:$A$71,0))</f>
        <v>259</v>
      </c>
      <c r="N30" s="80" t="n">
        <f aca="false">$D30*$M30</f>
        <v>1295</v>
      </c>
      <c r="O30" s="79" t="str">
        <f aca="false">INDEX(Customers!$C$2:$C$101,MATCH($B30,Customers!$A$2:$A$101,0))</f>
        <v>Srikakulam</v>
      </c>
      <c r="P30" s="79" t="str">
        <f aca="false">INDEX(Customers!$F$2:$F$101,MATCH($B30,Customers!$A$2:$A$101,0))</f>
        <v>Male</v>
      </c>
      <c r="Q30" s="79" t="str">
        <f aca="false">INDEX(Customers!$B$2:$B$101,MATCH($B30,Customers!$A$2:$A$101,0))</f>
        <v>Indrajit Kale</v>
      </c>
      <c r="R30" s="79" t="n">
        <f aca="false">MONTH($E30)</f>
        <v>9</v>
      </c>
      <c r="S30" s="79" t="str">
        <f aca="false">INDEX(Lists!$B$2:$B$13,$R30)</f>
        <v>September</v>
      </c>
      <c r="T30" s="79" t="n">
        <f aca="false">HOUR($F30)</f>
        <v>1</v>
      </c>
      <c r="U30" s="79" t="n">
        <f aca="false">WEEKDAY($E30,2)</f>
        <v>5</v>
      </c>
      <c r="V30" s="79" t="str">
        <f aca="false">INDEX(Lists!$F$2:$F$8,$U30)</f>
        <v>Friday</v>
      </c>
      <c r="W30" s="81" t="n">
        <f aca="false">($G30+$H30)-($E30+$F30)</f>
        <v>9.55756944444445</v>
      </c>
      <c r="X30" s="79" t="str">
        <f aca="false">LOOKUP($M30,Lists!$G$2:$G$5,Lists!$H$2:$H$5)</f>
        <v>₹0 - 499</v>
      </c>
      <c r="Y30" s="79" t="str">
        <f aca="false">LOOKUP($W30,Lists!$I$2:$I$7,Lists!$J$2:$J$7)</f>
        <v>8 - 10 days</v>
      </c>
    </row>
    <row r="31" customFormat="false" ht="15" hidden="false" customHeight="false" outlineLevel="0" collapsed="false">
      <c r="A31" s="2" t="n">
        <v>30</v>
      </c>
      <c r="B31" s="2" t="s">
        <v>236</v>
      </c>
      <c r="C31" s="2" t="n">
        <v>23</v>
      </c>
      <c r="D31" s="2" t="n">
        <v>4</v>
      </c>
      <c r="E31" s="82" t="n">
        <v>44939</v>
      </c>
      <c r="F31" s="83" t="n">
        <v>0.391354166666667</v>
      </c>
      <c r="G31" s="82" t="n">
        <v>44941</v>
      </c>
      <c r="H31" s="83" t="n">
        <v>0.567337962962963</v>
      </c>
      <c r="I31" s="2" t="s">
        <v>290</v>
      </c>
      <c r="J31" s="2" t="s">
        <v>168</v>
      </c>
      <c r="K31" s="46" t="str">
        <f aca="false">INDEX(Products!$B$2:$B$71,MATCH($C31,Products!$A$2:$A$71,0))</f>
        <v>Dignissimos Pack</v>
      </c>
      <c r="L31" s="46" t="str">
        <f aca="false">INDEX(Products!$C$2:$C$71,MATCH($C31,Products!$A$2:$A$71,0))</f>
        <v>Sweets</v>
      </c>
      <c r="M31" s="84" t="n">
        <f aca="false">INDEX(Products!$D$2:$D$71,MATCH($C31,Products!$A$2:$A$71,0))</f>
        <v>1098</v>
      </c>
      <c r="N31" s="84" t="n">
        <f aca="false">$D31*$M31</f>
        <v>4392</v>
      </c>
      <c r="O31" s="46" t="str">
        <f aca="false">INDEX(Customers!$C$2:$C$101,MATCH($B31,Customers!$A$2:$A$101,0))</f>
        <v>Agra</v>
      </c>
      <c r="P31" s="46" t="str">
        <f aca="false">INDEX(Customers!$F$2:$F$101,MATCH($B31,Customers!$A$2:$A$101,0))</f>
        <v>Male</v>
      </c>
      <c r="Q31" s="46" t="str">
        <f aca="false">INDEX(Customers!$B$2:$B$101,MATCH($B31,Customers!$A$2:$A$101,0))</f>
        <v>Seher Mann</v>
      </c>
      <c r="R31" s="46" t="n">
        <f aca="false">MONTH($E31)</f>
        <v>1</v>
      </c>
      <c r="S31" s="46" t="str">
        <f aca="false">INDEX(Lists!$B$2:$B$13,$R31)</f>
        <v>January</v>
      </c>
      <c r="T31" s="46" t="n">
        <f aca="false">HOUR($F31)</f>
        <v>9</v>
      </c>
      <c r="U31" s="46" t="n">
        <f aca="false">WEEKDAY($E31,2)</f>
        <v>5</v>
      </c>
      <c r="V31" s="46" t="str">
        <f aca="false">INDEX(Lists!$F$2:$F$8,$U31)</f>
        <v>Friday</v>
      </c>
      <c r="W31" s="85" t="n">
        <f aca="false">($G31+$H31)-($E31+$F31)</f>
        <v>2.1759837962963</v>
      </c>
      <c r="X31" s="46" t="str">
        <f aca="false">LOOKUP($M31,Lists!$G$2:$G$5,Lists!$H$2:$H$5)</f>
        <v>₹1,000 - 1,499</v>
      </c>
      <c r="Y31" s="46" t="str">
        <f aca="false">LOOKUP($W31,Lists!$I$2:$I$7,Lists!$J$2:$J$7)</f>
        <v>2 - 4 days</v>
      </c>
    </row>
    <row r="32" customFormat="false" ht="15" hidden="false" customHeight="false" outlineLevel="0" collapsed="false">
      <c r="A32" s="7" t="n">
        <v>31</v>
      </c>
      <c r="B32" s="7" t="s">
        <v>196</v>
      </c>
      <c r="C32" s="7" t="n">
        <v>7</v>
      </c>
      <c r="D32" s="7" t="n">
        <v>5</v>
      </c>
      <c r="E32" s="77" t="n">
        <v>44985</v>
      </c>
      <c r="F32" s="78" t="n">
        <v>0.550949074074074</v>
      </c>
      <c r="G32" s="77" t="n">
        <v>44988</v>
      </c>
      <c r="H32" s="78" t="n">
        <v>0.983206018518519</v>
      </c>
      <c r="I32" s="7" t="s">
        <v>504</v>
      </c>
      <c r="J32" s="7" t="s">
        <v>33</v>
      </c>
      <c r="K32" s="79" t="str">
        <f aca="false">INDEX(Products!$B$2:$B$71,MATCH($C32,Products!$A$2:$A$71,0))</f>
        <v>Quos Set</v>
      </c>
      <c r="L32" s="79" t="str">
        <f aca="false">INDEX(Products!$C$2:$C$71,MATCH($C32,Products!$A$2:$A$71,0))</f>
        <v>Soft Toys</v>
      </c>
      <c r="M32" s="80" t="n">
        <f aca="false">INDEX(Products!$D$2:$D$71,MATCH($C32,Products!$A$2:$A$71,0))</f>
        <v>409</v>
      </c>
      <c r="N32" s="80" t="n">
        <f aca="false">$D32*$M32</f>
        <v>2045</v>
      </c>
      <c r="O32" s="79" t="str">
        <f aca="false">INDEX(Customers!$C$2:$C$101,MATCH($B32,Customers!$A$2:$A$101,0))</f>
        <v>Haridwar</v>
      </c>
      <c r="P32" s="79" t="str">
        <f aca="false">INDEX(Customers!$F$2:$F$101,MATCH($B32,Customers!$A$2:$A$101,0))</f>
        <v>Female</v>
      </c>
      <c r="Q32" s="79" t="str">
        <f aca="false">INDEX(Customers!$B$2:$B$101,MATCH($B32,Customers!$A$2:$A$101,0))</f>
        <v>Badal Sathe</v>
      </c>
      <c r="R32" s="79" t="n">
        <f aca="false">MONTH($E32)</f>
        <v>2</v>
      </c>
      <c r="S32" s="79" t="str">
        <f aca="false">INDEX(Lists!$B$2:$B$13,$R32)</f>
        <v>February</v>
      </c>
      <c r="T32" s="79" t="n">
        <f aca="false">HOUR($F32)</f>
        <v>13</v>
      </c>
      <c r="U32" s="79" t="n">
        <f aca="false">WEEKDAY($E32,2)</f>
        <v>2</v>
      </c>
      <c r="V32" s="79" t="str">
        <f aca="false">INDEX(Lists!$F$2:$F$8,$U32)</f>
        <v>Tuesday</v>
      </c>
      <c r="W32" s="81" t="n">
        <f aca="false">($G32+$H32)-($E32+$F32)</f>
        <v>3.43225694444444</v>
      </c>
      <c r="X32" s="79" t="str">
        <f aca="false">LOOKUP($M32,Lists!$G$2:$G$5,Lists!$H$2:$H$5)</f>
        <v>₹0 - 499</v>
      </c>
      <c r="Y32" s="79" t="str">
        <f aca="false">LOOKUP($W32,Lists!$I$2:$I$7,Lists!$J$2:$J$7)</f>
        <v>2 - 4 days</v>
      </c>
    </row>
    <row r="33" customFormat="false" ht="15" hidden="false" customHeight="false" outlineLevel="0" collapsed="false">
      <c r="A33" s="2" t="n">
        <v>32</v>
      </c>
      <c r="B33" s="2" t="s">
        <v>297</v>
      </c>
      <c r="C33" s="2" t="n">
        <v>7</v>
      </c>
      <c r="D33" s="2" t="n">
        <v>5</v>
      </c>
      <c r="E33" s="82" t="n">
        <v>44989</v>
      </c>
      <c r="F33" s="83" t="n">
        <v>0.650474537037037</v>
      </c>
      <c r="G33" s="82" t="n">
        <v>44990</v>
      </c>
      <c r="H33" s="83" t="n">
        <v>0.662615740740741</v>
      </c>
      <c r="I33" s="2" t="s">
        <v>531</v>
      </c>
      <c r="J33" s="2" t="s">
        <v>33</v>
      </c>
      <c r="K33" s="46" t="str">
        <f aca="false">INDEX(Products!$B$2:$B$71,MATCH($C33,Products!$A$2:$A$71,0))</f>
        <v>Quos Set</v>
      </c>
      <c r="L33" s="46" t="str">
        <f aca="false">INDEX(Products!$C$2:$C$71,MATCH($C33,Products!$A$2:$A$71,0))</f>
        <v>Soft Toys</v>
      </c>
      <c r="M33" s="84" t="n">
        <f aca="false">INDEX(Products!$D$2:$D$71,MATCH($C33,Products!$A$2:$A$71,0))</f>
        <v>409</v>
      </c>
      <c r="N33" s="84" t="n">
        <f aca="false">$D33*$M33</f>
        <v>2045</v>
      </c>
      <c r="O33" s="46" t="str">
        <f aca="false">INDEX(Customers!$C$2:$C$101,MATCH($B33,Customers!$A$2:$A$101,0))</f>
        <v>North Dumdum</v>
      </c>
      <c r="P33" s="46" t="str">
        <f aca="false">INDEX(Customers!$F$2:$F$101,MATCH($B33,Customers!$A$2:$A$101,0))</f>
        <v>Male</v>
      </c>
      <c r="Q33" s="46" t="str">
        <f aca="false">INDEX(Customers!$B$2:$B$101,MATCH($B33,Customers!$A$2:$A$101,0))</f>
        <v>Badal Vora</v>
      </c>
      <c r="R33" s="46" t="n">
        <f aca="false">MONTH($E33)</f>
        <v>3</v>
      </c>
      <c r="S33" s="46" t="str">
        <f aca="false">INDEX(Lists!$B$2:$B$13,$R33)</f>
        <v>March</v>
      </c>
      <c r="T33" s="46" t="n">
        <f aca="false">HOUR($F33)</f>
        <v>15</v>
      </c>
      <c r="U33" s="46" t="n">
        <f aca="false">WEEKDAY($E33,2)</f>
        <v>6</v>
      </c>
      <c r="V33" s="46" t="str">
        <f aca="false">INDEX(Lists!$F$2:$F$8,$U33)</f>
        <v>Saturday</v>
      </c>
      <c r="W33" s="85" t="n">
        <f aca="false">($G33+$H33)-($E33+$F33)</f>
        <v>1.0121412037037</v>
      </c>
      <c r="X33" s="46" t="str">
        <f aca="false">LOOKUP($M33,Lists!$G$2:$G$5,Lists!$H$2:$H$5)</f>
        <v>₹0 - 499</v>
      </c>
      <c r="Y33" s="46" t="str">
        <f aca="false">LOOKUP($W33,Lists!$I$2:$I$7,Lists!$J$2:$J$7)</f>
        <v>0 - 2 days</v>
      </c>
    </row>
    <row r="34" customFormat="false" ht="15" hidden="false" customHeight="false" outlineLevel="0" collapsed="false">
      <c r="A34" s="7" t="n">
        <v>33</v>
      </c>
      <c r="B34" s="7" t="s">
        <v>245</v>
      </c>
      <c r="C34" s="7" t="n">
        <v>8</v>
      </c>
      <c r="D34" s="7" t="n">
        <v>3</v>
      </c>
      <c r="E34" s="77" t="n">
        <v>45031</v>
      </c>
      <c r="F34" s="78" t="n">
        <v>0.0676736111111111</v>
      </c>
      <c r="G34" s="77" t="n">
        <v>45041</v>
      </c>
      <c r="H34" s="78" t="n">
        <v>0.0926736111111111</v>
      </c>
      <c r="I34" s="7" t="s">
        <v>173</v>
      </c>
      <c r="J34" s="7" t="s">
        <v>168</v>
      </c>
      <c r="K34" s="79" t="str">
        <f aca="false">INDEX(Products!$B$2:$B$71,MATCH($C34,Products!$A$2:$A$71,0))</f>
        <v>Qui Box</v>
      </c>
      <c r="L34" s="79" t="str">
        <f aca="false">INDEX(Products!$C$2:$C$71,MATCH($C34,Products!$A$2:$A$71,0))</f>
        <v>Sweets</v>
      </c>
      <c r="M34" s="80" t="n">
        <f aca="false">INDEX(Products!$D$2:$D$71,MATCH($C34,Products!$A$2:$A$71,0))</f>
        <v>252</v>
      </c>
      <c r="N34" s="80" t="n">
        <f aca="false">$D34*$M34</f>
        <v>756</v>
      </c>
      <c r="O34" s="79" t="str">
        <f aca="false">INDEX(Customers!$C$2:$C$101,MATCH($B34,Customers!$A$2:$A$101,0))</f>
        <v>Jorhat</v>
      </c>
      <c r="P34" s="79" t="str">
        <f aca="false">INDEX(Customers!$F$2:$F$101,MATCH($B34,Customers!$A$2:$A$101,0))</f>
        <v>Male</v>
      </c>
      <c r="Q34" s="79" t="str">
        <f aca="false">INDEX(Customers!$B$2:$B$101,MATCH($B34,Customers!$A$2:$A$101,0))</f>
        <v>Bhamini Ravi</v>
      </c>
      <c r="R34" s="79" t="n">
        <f aca="false">MONTH($E34)</f>
        <v>4</v>
      </c>
      <c r="S34" s="79" t="str">
        <f aca="false">INDEX(Lists!$B$2:$B$13,$R34)</f>
        <v>April</v>
      </c>
      <c r="T34" s="79" t="n">
        <f aca="false">HOUR($F34)</f>
        <v>1</v>
      </c>
      <c r="U34" s="79" t="n">
        <f aca="false">WEEKDAY($E34,2)</f>
        <v>6</v>
      </c>
      <c r="V34" s="79" t="str">
        <f aca="false">INDEX(Lists!$F$2:$F$8,$U34)</f>
        <v>Saturday</v>
      </c>
      <c r="W34" s="81" t="n">
        <f aca="false">($G34+$H34)-($E34+$F34)</f>
        <v>10.025</v>
      </c>
      <c r="X34" s="79" t="str">
        <f aca="false">LOOKUP($M34,Lists!$G$2:$G$5,Lists!$H$2:$H$5)</f>
        <v>₹0 - 499</v>
      </c>
      <c r="Y34" s="79" t="str">
        <f aca="false">LOOKUP($W34,Lists!$I$2:$I$7,Lists!$J$2:$J$7)</f>
        <v>Over 10 days</v>
      </c>
    </row>
    <row r="35" customFormat="false" ht="15" hidden="false" customHeight="false" outlineLevel="0" collapsed="false">
      <c r="A35" s="2" t="n">
        <v>34</v>
      </c>
      <c r="B35" s="2" t="s">
        <v>313</v>
      </c>
      <c r="C35" s="2" t="n">
        <v>17</v>
      </c>
      <c r="D35" s="2" t="n">
        <v>2</v>
      </c>
      <c r="E35" s="82" t="n">
        <v>45200</v>
      </c>
      <c r="F35" s="83" t="n">
        <v>0.957118055555556</v>
      </c>
      <c r="G35" s="82" t="n">
        <v>45204</v>
      </c>
      <c r="H35" s="83" t="n">
        <v>0.233865740740741</v>
      </c>
      <c r="I35" s="2" t="s">
        <v>593</v>
      </c>
      <c r="J35" s="2" t="s">
        <v>168</v>
      </c>
      <c r="K35" s="46" t="str">
        <f aca="false">INDEX(Products!$B$2:$B$71,MATCH($C35,Products!$A$2:$A$71,0))</f>
        <v>Delectus Gift</v>
      </c>
      <c r="L35" s="46" t="str">
        <f aca="false">INDEX(Products!$C$2:$C$71,MATCH($C35,Products!$A$2:$A$71,0))</f>
        <v>Soft Toys</v>
      </c>
      <c r="M35" s="84" t="n">
        <f aca="false">INDEX(Products!$D$2:$D$71,MATCH($C35,Products!$A$2:$A$71,0))</f>
        <v>1899</v>
      </c>
      <c r="N35" s="84" t="n">
        <f aca="false">$D35*$M35</f>
        <v>3798</v>
      </c>
      <c r="O35" s="46" t="str">
        <f aca="false">INDEX(Customers!$C$2:$C$101,MATCH($B35,Customers!$A$2:$A$101,0))</f>
        <v>Tiruppur</v>
      </c>
      <c r="P35" s="46" t="str">
        <f aca="false">INDEX(Customers!$F$2:$F$101,MATCH($B35,Customers!$A$2:$A$101,0))</f>
        <v>Male</v>
      </c>
      <c r="Q35" s="46" t="str">
        <f aca="false">INDEX(Customers!$B$2:$B$101,MATCH($B35,Customers!$A$2:$A$101,0))</f>
        <v>Purab Sheth</v>
      </c>
      <c r="R35" s="46" t="n">
        <f aca="false">MONTH($E35)</f>
        <v>10</v>
      </c>
      <c r="S35" s="46" t="str">
        <f aca="false">INDEX(Lists!$B$2:$B$13,$R35)</f>
        <v>October</v>
      </c>
      <c r="T35" s="46" t="n">
        <f aca="false">HOUR($F35)</f>
        <v>22</v>
      </c>
      <c r="U35" s="46" t="n">
        <f aca="false">WEEKDAY($E35,2)</f>
        <v>7</v>
      </c>
      <c r="V35" s="46" t="str">
        <f aca="false">INDEX(Lists!$F$2:$F$8,$U35)</f>
        <v>Sunday</v>
      </c>
      <c r="W35" s="85" t="n">
        <f aca="false">($G35+$H35)-($E35+$F35)</f>
        <v>3.27674768518519</v>
      </c>
      <c r="X35" s="46" t="str">
        <f aca="false">LOOKUP($M35,Lists!$G$2:$G$5,Lists!$H$2:$H$5)</f>
        <v>₹1,500 - 2,000</v>
      </c>
      <c r="Y35" s="46" t="str">
        <f aca="false">LOOKUP($W35,Lists!$I$2:$I$7,Lists!$J$2:$J$7)</f>
        <v>2 - 4 days</v>
      </c>
    </row>
    <row r="36" customFormat="false" ht="15" hidden="false" customHeight="false" outlineLevel="0" collapsed="false">
      <c r="A36" s="7" t="n">
        <v>35</v>
      </c>
      <c r="B36" s="7" t="s">
        <v>269</v>
      </c>
      <c r="C36" s="7" t="n">
        <v>7</v>
      </c>
      <c r="D36" s="7" t="n">
        <v>5</v>
      </c>
      <c r="E36" s="77" t="n">
        <v>44987</v>
      </c>
      <c r="F36" s="78" t="n">
        <v>0.673912037037037</v>
      </c>
      <c r="G36" s="77" t="n">
        <v>44990</v>
      </c>
      <c r="H36" s="78" t="n">
        <v>0.625462962962963</v>
      </c>
      <c r="I36" s="7" t="s">
        <v>184</v>
      </c>
      <c r="J36" s="7" t="s">
        <v>33</v>
      </c>
      <c r="K36" s="79" t="str">
        <f aca="false">INDEX(Products!$B$2:$B$71,MATCH($C36,Products!$A$2:$A$71,0))</f>
        <v>Quos Set</v>
      </c>
      <c r="L36" s="79" t="str">
        <f aca="false">INDEX(Products!$C$2:$C$71,MATCH($C36,Products!$A$2:$A$71,0))</f>
        <v>Soft Toys</v>
      </c>
      <c r="M36" s="80" t="n">
        <f aca="false">INDEX(Products!$D$2:$D$71,MATCH($C36,Products!$A$2:$A$71,0))</f>
        <v>409</v>
      </c>
      <c r="N36" s="80" t="n">
        <f aca="false">$D36*$M36</f>
        <v>2045</v>
      </c>
      <c r="O36" s="79" t="str">
        <f aca="false">INDEX(Customers!$C$2:$C$101,MATCH($B36,Customers!$A$2:$A$101,0))</f>
        <v>Imphal</v>
      </c>
      <c r="P36" s="79" t="str">
        <f aca="false">INDEX(Customers!$F$2:$F$101,MATCH($B36,Customers!$A$2:$A$101,0))</f>
        <v>Male</v>
      </c>
      <c r="Q36" s="79" t="str">
        <f aca="false">INDEX(Customers!$B$2:$B$101,MATCH($B36,Customers!$A$2:$A$101,0))</f>
        <v>Umang Luthra</v>
      </c>
      <c r="R36" s="79" t="n">
        <f aca="false">MONTH($E36)</f>
        <v>3</v>
      </c>
      <c r="S36" s="79" t="str">
        <f aca="false">INDEX(Lists!$B$2:$B$13,$R36)</f>
        <v>March</v>
      </c>
      <c r="T36" s="79" t="n">
        <f aca="false">HOUR($F36)</f>
        <v>16</v>
      </c>
      <c r="U36" s="79" t="n">
        <f aca="false">WEEKDAY($E36,2)</f>
        <v>4</v>
      </c>
      <c r="V36" s="79" t="str">
        <f aca="false">INDEX(Lists!$F$2:$F$8,$U36)</f>
        <v>Thursday</v>
      </c>
      <c r="W36" s="81" t="n">
        <f aca="false">($G36+$H36)-($E36+$F36)</f>
        <v>2.95155092592593</v>
      </c>
      <c r="X36" s="79" t="str">
        <f aca="false">LOOKUP($M36,Lists!$G$2:$G$5,Lists!$H$2:$H$5)</f>
        <v>₹0 - 499</v>
      </c>
      <c r="Y36" s="79" t="str">
        <f aca="false">LOOKUP($W36,Lists!$I$2:$I$7,Lists!$J$2:$J$7)</f>
        <v>2 - 4 days</v>
      </c>
    </row>
    <row r="37" customFormat="false" ht="15" hidden="false" customHeight="false" outlineLevel="0" collapsed="false">
      <c r="A37" s="2" t="n">
        <v>36</v>
      </c>
      <c r="B37" s="2" t="s">
        <v>196</v>
      </c>
      <c r="C37" s="2" t="n">
        <v>66</v>
      </c>
      <c r="D37" s="2" t="n">
        <v>1</v>
      </c>
      <c r="E37" s="82" t="n">
        <v>44989</v>
      </c>
      <c r="F37" s="83" t="n">
        <v>0.436724537037037</v>
      </c>
      <c r="G37" s="82" t="n">
        <v>44999</v>
      </c>
      <c r="H37" s="83" t="n">
        <v>0.343622685185185</v>
      </c>
      <c r="I37" s="2" t="s">
        <v>510</v>
      </c>
      <c r="J37" s="2" t="s">
        <v>33</v>
      </c>
      <c r="K37" s="46" t="str">
        <f aca="false">INDEX(Products!$B$2:$B$71,MATCH($C37,Products!$A$2:$A$71,0))</f>
        <v>Quas Box</v>
      </c>
      <c r="L37" s="46" t="str">
        <f aca="false">INDEX(Products!$C$2:$C$71,MATCH($C37,Products!$A$2:$A$71,0))</f>
        <v>Colors</v>
      </c>
      <c r="M37" s="84" t="n">
        <f aca="false">INDEX(Products!$D$2:$D$71,MATCH($C37,Products!$A$2:$A$71,0))</f>
        <v>610</v>
      </c>
      <c r="N37" s="84" t="n">
        <f aca="false">$D37*$M37</f>
        <v>610</v>
      </c>
      <c r="O37" s="46" t="str">
        <f aca="false">INDEX(Customers!$C$2:$C$101,MATCH($B37,Customers!$A$2:$A$101,0))</f>
        <v>Haridwar</v>
      </c>
      <c r="P37" s="46" t="str">
        <f aca="false">INDEX(Customers!$F$2:$F$101,MATCH($B37,Customers!$A$2:$A$101,0))</f>
        <v>Female</v>
      </c>
      <c r="Q37" s="46" t="str">
        <f aca="false">INDEX(Customers!$B$2:$B$101,MATCH($B37,Customers!$A$2:$A$101,0))</f>
        <v>Badal Sathe</v>
      </c>
      <c r="R37" s="46" t="n">
        <f aca="false">MONTH($E37)</f>
        <v>3</v>
      </c>
      <c r="S37" s="46" t="str">
        <f aca="false">INDEX(Lists!$B$2:$B$13,$R37)</f>
        <v>March</v>
      </c>
      <c r="T37" s="46" t="n">
        <f aca="false">HOUR($F37)</f>
        <v>10</v>
      </c>
      <c r="U37" s="46" t="n">
        <f aca="false">WEEKDAY($E37,2)</f>
        <v>6</v>
      </c>
      <c r="V37" s="46" t="str">
        <f aca="false">INDEX(Lists!$F$2:$F$8,$U37)</f>
        <v>Saturday</v>
      </c>
      <c r="W37" s="85" t="n">
        <f aca="false">($G37+$H37)-($E37+$F37)</f>
        <v>9.90689814814815</v>
      </c>
      <c r="X37" s="46" t="str">
        <f aca="false">LOOKUP($M37,Lists!$G$2:$G$5,Lists!$H$2:$H$5)</f>
        <v>₹500 - 999</v>
      </c>
      <c r="Y37" s="46" t="str">
        <f aca="false">LOOKUP($W37,Lists!$I$2:$I$7,Lists!$J$2:$J$7)</f>
        <v>8 - 10 days</v>
      </c>
    </row>
    <row r="38" customFormat="false" ht="15" hidden="false" customHeight="false" outlineLevel="0" collapsed="false">
      <c r="A38" s="7" t="n">
        <v>37</v>
      </c>
      <c r="B38" s="7" t="s">
        <v>382</v>
      </c>
      <c r="C38" s="7" t="n">
        <v>19</v>
      </c>
      <c r="D38" s="7" t="n">
        <v>5</v>
      </c>
      <c r="E38" s="77" t="n">
        <v>44967</v>
      </c>
      <c r="F38" s="78" t="n">
        <v>0.459074074074074</v>
      </c>
      <c r="G38" s="77" t="n">
        <v>44972</v>
      </c>
      <c r="H38" s="78" t="n">
        <v>0.888611111111111</v>
      </c>
      <c r="I38" s="7" t="s">
        <v>452</v>
      </c>
      <c r="J38" s="7" t="s">
        <v>179</v>
      </c>
      <c r="K38" s="79" t="str">
        <f aca="false">INDEX(Products!$B$2:$B$71,MATCH($C38,Products!$A$2:$A$71,0))</f>
        <v>Iure Gift</v>
      </c>
      <c r="L38" s="79" t="str">
        <f aca="false">INDEX(Products!$C$2:$C$71,MATCH($C38,Products!$A$2:$A$71,0))</f>
        <v>Mugs</v>
      </c>
      <c r="M38" s="80" t="n">
        <f aca="false">INDEX(Products!$D$2:$D$71,MATCH($C38,Products!$A$2:$A$71,0))</f>
        <v>1234</v>
      </c>
      <c r="N38" s="80" t="n">
        <f aca="false">$D38*$M38</f>
        <v>6170</v>
      </c>
      <c r="O38" s="79" t="str">
        <f aca="false">INDEX(Customers!$C$2:$C$101,MATCH($B38,Customers!$A$2:$A$101,0))</f>
        <v>Medininagar</v>
      </c>
      <c r="P38" s="79" t="str">
        <f aca="false">INDEX(Customers!$F$2:$F$101,MATCH($B38,Customers!$A$2:$A$101,0))</f>
        <v>Male</v>
      </c>
      <c r="Q38" s="79" t="str">
        <f aca="false">INDEX(Customers!$B$2:$B$101,MATCH($B38,Customers!$A$2:$A$101,0))</f>
        <v>Kavya Reddy</v>
      </c>
      <c r="R38" s="79" t="n">
        <f aca="false">MONTH($E38)</f>
        <v>2</v>
      </c>
      <c r="S38" s="79" t="str">
        <f aca="false">INDEX(Lists!$B$2:$B$13,$R38)</f>
        <v>February</v>
      </c>
      <c r="T38" s="79" t="n">
        <f aca="false">HOUR($F38)</f>
        <v>11</v>
      </c>
      <c r="U38" s="79" t="n">
        <f aca="false">WEEKDAY($E38,2)</f>
        <v>5</v>
      </c>
      <c r="V38" s="79" t="str">
        <f aca="false">INDEX(Lists!$F$2:$F$8,$U38)</f>
        <v>Friday</v>
      </c>
      <c r="W38" s="81" t="n">
        <f aca="false">($G38+$H38)-($E38+$F38)</f>
        <v>5.42953703703704</v>
      </c>
      <c r="X38" s="79" t="str">
        <f aca="false">LOOKUP($M38,Lists!$G$2:$G$5,Lists!$H$2:$H$5)</f>
        <v>₹1,000 - 1,499</v>
      </c>
      <c r="Y38" s="79" t="str">
        <f aca="false">LOOKUP($W38,Lists!$I$2:$I$7,Lists!$J$2:$J$7)</f>
        <v>4 - 6 days</v>
      </c>
    </row>
    <row r="39" customFormat="false" ht="15" hidden="false" customHeight="false" outlineLevel="0" collapsed="false">
      <c r="A39" s="2" t="n">
        <v>38</v>
      </c>
      <c r="B39" s="2" t="s">
        <v>303</v>
      </c>
      <c r="C39" s="2" t="n">
        <v>37</v>
      </c>
      <c r="D39" s="2" t="n">
        <v>3</v>
      </c>
      <c r="E39" s="82" t="n">
        <v>45241</v>
      </c>
      <c r="F39" s="83" t="n">
        <v>0.521157407407408</v>
      </c>
      <c r="G39" s="82" t="n">
        <v>45244</v>
      </c>
      <c r="H39" s="83" t="n">
        <v>0.517256944444445</v>
      </c>
      <c r="I39" s="2" t="s">
        <v>424</v>
      </c>
      <c r="J39" s="2" t="s">
        <v>32</v>
      </c>
      <c r="K39" s="46" t="str">
        <f aca="false">INDEX(Products!$B$2:$B$71,MATCH($C39,Products!$A$2:$A$71,0))</f>
        <v>Officiis Pack</v>
      </c>
      <c r="L39" s="46" t="str">
        <f aca="false">INDEX(Products!$C$2:$C$71,MATCH($C39,Products!$A$2:$A$71,0))</f>
        <v>Colors</v>
      </c>
      <c r="M39" s="84" t="n">
        <f aca="false">INDEX(Products!$D$2:$D$71,MATCH($C39,Products!$A$2:$A$71,0))</f>
        <v>1428</v>
      </c>
      <c r="N39" s="84" t="n">
        <f aca="false">$D39*$M39</f>
        <v>4284</v>
      </c>
      <c r="O39" s="46" t="str">
        <f aca="false">INDEX(Customers!$C$2:$C$101,MATCH($B39,Customers!$A$2:$A$101,0))</f>
        <v>Anand</v>
      </c>
      <c r="P39" s="46" t="str">
        <f aca="false">INDEX(Customers!$F$2:$F$101,MATCH($B39,Customers!$A$2:$A$101,0))</f>
        <v>Male</v>
      </c>
      <c r="Q39" s="46" t="str">
        <f aca="false">INDEX(Customers!$B$2:$B$101,MATCH($B39,Customers!$A$2:$A$101,0))</f>
        <v>Eva Sankaran</v>
      </c>
      <c r="R39" s="46" t="n">
        <f aca="false">MONTH($E39)</f>
        <v>11</v>
      </c>
      <c r="S39" s="46" t="str">
        <f aca="false">INDEX(Lists!$B$2:$B$13,$R39)</f>
        <v>November</v>
      </c>
      <c r="T39" s="46" t="n">
        <f aca="false">HOUR($F39)</f>
        <v>12</v>
      </c>
      <c r="U39" s="46" t="n">
        <f aca="false">WEEKDAY($E39,2)</f>
        <v>6</v>
      </c>
      <c r="V39" s="46" t="str">
        <f aca="false">INDEX(Lists!$F$2:$F$8,$U39)</f>
        <v>Saturday</v>
      </c>
      <c r="W39" s="85" t="n">
        <f aca="false">($G39+$H39)-($E39+$F39)</f>
        <v>2.99609953703704</v>
      </c>
      <c r="X39" s="46" t="str">
        <f aca="false">LOOKUP($M39,Lists!$G$2:$G$5,Lists!$H$2:$H$5)</f>
        <v>₹1,000 - 1,499</v>
      </c>
      <c r="Y39" s="46" t="str">
        <f aca="false">LOOKUP($W39,Lists!$I$2:$I$7,Lists!$J$2:$J$7)</f>
        <v>2 - 4 days</v>
      </c>
    </row>
    <row r="40" customFormat="false" ht="15" hidden="false" customHeight="false" outlineLevel="0" collapsed="false">
      <c r="A40" s="7" t="n">
        <v>39</v>
      </c>
      <c r="B40" s="7" t="s">
        <v>266</v>
      </c>
      <c r="C40" s="7" t="n">
        <v>43</v>
      </c>
      <c r="D40" s="7" t="n">
        <v>2</v>
      </c>
      <c r="E40" s="77" t="n">
        <v>45232</v>
      </c>
      <c r="F40" s="78" t="n">
        <v>0.809699074074074</v>
      </c>
      <c r="G40" s="77" t="n">
        <v>45234</v>
      </c>
      <c r="H40" s="78" t="n">
        <v>0.561597222222222</v>
      </c>
      <c r="I40" s="7" t="s">
        <v>605</v>
      </c>
      <c r="J40" s="7" t="s">
        <v>32</v>
      </c>
      <c r="K40" s="79" t="str">
        <f aca="false">INDEX(Products!$B$2:$B$71,MATCH($C40,Products!$A$2:$A$71,0))</f>
        <v>Quisquam Pack</v>
      </c>
      <c r="L40" s="79" t="str">
        <f aca="false">INDEX(Products!$C$2:$C$71,MATCH($C40,Products!$A$2:$A$71,0))</f>
        <v>Raksha Bandhan</v>
      </c>
      <c r="M40" s="80" t="n">
        <f aca="false">INDEX(Products!$D$2:$D$71,MATCH($C40,Products!$A$2:$A$71,0))</f>
        <v>750</v>
      </c>
      <c r="N40" s="80" t="n">
        <f aca="false">$D40*$M40</f>
        <v>1500</v>
      </c>
      <c r="O40" s="79" t="str">
        <f aca="false">INDEX(Customers!$C$2:$C$101,MATCH($B40,Customers!$A$2:$A$101,0))</f>
        <v>Bidhannagar</v>
      </c>
      <c r="P40" s="79" t="str">
        <f aca="false">INDEX(Customers!$F$2:$F$101,MATCH($B40,Customers!$A$2:$A$101,0))</f>
        <v>Female</v>
      </c>
      <c r="Q40" s="79" t="str">
        <f aca="false">INDEX(Customers!$B$2:$B$101,MATCH($B40,Customers!$A$2:$A$101,0))</f>
        <v>Umang Ahuja</v>
      </c>
      <c r="R40" s="79" t="n">
        <f aca="false">MONTH($E40)</f>
        <v>11</v>
      </c>
      <c r="S40" s="79" t="str">
        <f aca="false">INDEX(Lists!$B$2:$B$13,$R40)</f>
        <v>November</v>
      </c>
      <c r="T40" s="79" t="n">
        <f aca="false">HOUR($F40)</f>
        <v>19</v>
      </c>
      <c r="U40" s="79" t="n">
        <f aca="false">WEEKDAY($E40,2)</f>
        <v>4</v>
      </c>
      <c r="V40" s="79" t="str">
        <f aca="false">INDEX(Lists!$F$2:$F$8,$U40)</f>
        <v>Thursday</v>
      </c>
      <c r="W40" s="81" t="n">
        <f aca="false">($G40+$H40)-($E40+$F40)</f>
        <v>1.75189814814815</v>
      </c>
      <c r="X40" s="79" t="str">
        <f aca="false">LOOKUP($M40,Lists!$G$2:$G$5,Lists!$H$2:$H$5)</f>
        <v>₹500 - 999</v>
      </c>
      <c r="Y40" s="79" t="str">
        <f aca="false">LOOKUP($W40,Lists!$I$2:$I$7,Lists!$J$2:$J$7)</f>
        <v>0 - 2 days</v>
      </c>
    </row>
    <row r="41" customFormat="false" ht="15" hidden="false" customHeight="false" outlineLevel="0" collapsed="false">
      <c r="A41" s="2" t="n">
        <v>40</v>
      </c>
      <c r="B41" s="2" t="s">
        <v>300</v>
      </c>
      <c r="C41" s="2" t="n">
        <v>48</v>
      </c>
      <c r="D41" s="2" t="n">
        <v>4</v>
      </c>
      <c r="E41" s="82" t="n">
        <v>45232</v>
      </c>
      <c r="F41" s="83" t="n">
        <v>0.593865740740741</v>
      </c>
      <c r="G41" s="82" t="n">
        <v>45235</v>
      </c>
      <c r="H41" s="83" t="n">
        <v>0.187430555555556</v>
      </c>
      <c r="I41" s="2" t="s">
        <v>536</v>
      </c>
      <c r="J41" s="2" t="s">
        <v>32</v>
      </c>
      <c r="K41" s="46" t="str">
        <f aca="false">INDEX(Products!$B$2:$B$71,MATCH($C41,Products!$A$2:$A$71,0))</f>
        <v>Maiores Gift</v>
      </c>
      <c r="L41" s="46" t="str">
        <f aca="false">INDEX(Products!$C$2:$C$71,MATCH($C41,Products!$A$2:$A$71,0))</f>
        <v>Colors</v>
      </c>
      <c r="M41" s="84" t="n">
        <f aca="false">INDEX(Products!$D$2:$D$71,MATCH($C41,Products!$A$2:$A$71,0))</f>
        <v>433</v>
      </c>
      <c r="N41" s="84" t="n">
        <f aca="false">$D41*$M41</f>
        <v>1732</v>
      </c>
      <c r="O41" s="46" t="str">
        <f aca="false">INDEX(Customers!$C$2:$C$101,MATCH($B41,Customers!$A$2:$A$101,0))</f>
        <v>Malegaon</v>
      </c>
      <c r="P41" s="46" t="str">
        <f aca="false">INDEX(Customers!$F$2:$F$101,MATCH($B41,Customers!$A$2:$A$101,0))</f>
        <v>Female</v>
      </c>
      <c r="Q41" s="46" t="str">
        <f aca="false">INDEX(Customers!$B$2:$B$101,MATCH($B41,Customers!$A$2:$A$101,0))</f>
        <v>Eshani Buch</v>
      </c>
      <c r="R41" s="46" t="n">
        <f aca="false">MONTH($E41)</f>
        <v>11</v>
      </c>
      <c r="S41" s="46" t="str">
        <f aca="false">INDEX(Lists!$B$2:$B$13,$R41)</f>
        <v>November</v>
      </c>
      <c r="T41" s="46" t="n">
        <f aca="false">HOUR($F41)</f>
        <v>14</v>
      </c>
      <c r="U41" s="46" t="n">
        <f aca="false">WEEKDAY($E41,2)</f>
        <v>4</v>
      </c>
      <c r="V41" s="46" t="str">
        <f aca="false">INDEX(Lists!$F$2:$F$8,$U41)</f>
        <v>Thursday</v>
      </c>
      <c r="W41" s="85" t="n">
        <f aca="false">($G41+$H41)-($E41+$F41)</f>
        <v>2.59356481481482</v>
      </c>
      <c r="X41" s="46" t="str">
        <f aca="false">LOOKUP($M41,Lists!$G$2:$G$5,Lists!$H$2:$H$5)</f>
        <v>₹0 - 499</v>
      </c>
      <c r="Y41" s="46" t="str">
        <f aca="false">LOOKUP($W41,Lists!$I$2:$I$7,Lists!$J$2:$J$7)</f>
        <v>2 - 4 days</v>
      </c>
    </row>
    <row r="42" customFormat="false" ht="15" hidden="false" customHeight="false" outlineLevel="0" collapsed="false">
      <c r="A42" s="7" t="n">
        <v>41</v>
      </c>
      <c r="B42" s="7" t="s">
        <v>245</v>
      </c>
      <c r="C42" s="7" t="n">
        <v>54</v>
      </c>
      <c r="D42" s="7" t="n">
        <v>4</v>
      </c>
      <c r="E42" s="77" t="n">
        <v>45085</v>
      </c>
      <c r="F42" s="78" t="n">
        <v>0.805439814814815</v>
      </c>
      <c r="G42" s="77" t="n">
        <v>45087</v>
      </c>
      <c r="H42" s="78" t="n">
        <v>0.603958333333333</v>
      </c>
      <c r="I42" s="7" t="s">
        <v>552</v>
      </c>
      <c r="J42" s="7" t="s">
        <v>168</v>
      </c>
      <c r="K42" s="79" t="str">
        <f aca="false">INDEX(Products!$B$2:$B$71,MATCH($C42,Products!$A$2:$A$71,0))</f>
        <v>Occaecati Gift</v>
      </c>
      <c r="L42" s="79" t="str">
        <f aca="false">INDEX(Products!$C$2:$C$71,MATCH($C42,Products!$A$2:$A$71,0))</f>
        <v>Cake</v>
      </c>
      <c r="M42" s="80" t="n">
        <f aca="false">INDEX(Products!$D$2:$D$71,MATCH($C42,Products!$A$2:$A$71,0))</f>
        <v>1236</v>
      </c>
      <c r="N42" s="80" t="n">
        <f aca="false">$D42*$M42</f>
        <v>4944</v>
      </c>
      <c r="O42" s="79" t="str">
        <f aca="false">INDEX(Customers!$C$2:$C$101,MATCH($B42,Customers!$A$2:$A$101,0))</f>
        <v>Jorhat</v>
      </c>
      <c r="P42" s="79" t="str">
        <f aca="false">INDEX(Customers!$F$2:$F$101,MATCH($B42,Customers!$A$2:$A$101,0))</f>
        <v>Male</v>
      </c>
      <c r="Q42" s="79" t="str">
        <f aca="false">INDEX(Customers!$B$2:$B$101,MATCH($B42,Customers!$A$2:$A$101,0))</f>
        <v>Bhamini Ravi</v>
      </c>
      <c r="R42" s="79" t="n">
        <f aca="false">MONTH($E42)</f>
        <v>6</v>
      </c>
      <c r="S42" s="79" t="str">
        <f aca="false">INDEX(Lists!$B$2:$B$13,$R42)</f>
        <v>June</v>
      </c>
      <c r="T42" s="79" t="n">
        <f aca="false">HOUR($F42)</f>
        <v>19</v>
      </c>
      <c r="U42" s="79" t="n">
        <f aca="false">WEEKDAY($E42,2)</f>
        <v>4</v>
      </c>
      <c r="V42" s="79" t="str">
        <f aca="false">INDEX(Lists!$F$2:$F$8,$U42)</f>
        <v>Thursday</v>
      </c>
      <c r="W42" s="81" t="n">
        <f aca="false">($G42+$H42)-($E42+$F42)</f>
        <v>1.79851851851852</v>
      </c>
      <c r="X42" s="79" t="str">
        <f aca="false">LOOKUP($M42,Lists!$G$2:$G$5,Lists!$H$2:$H$5)</f>
        <v>₹1,000 - 1,499</v>
      </c>
      <c r="Y42" s="79" t="str">
        <f aca="false">LOOKUP($W42,Lists!$I$2:$I$7,Lists!$J$2:$J$7)</f>
        <v>0 - 2 days</v>
      </c>
    </row>
    <row r="43" customFormat="false" ht="15" hidden="false" customHeight="false" outlineLevel="0" collapsed="false">
      <c r="A43" s="2" t="n">
        <v>42</v>
      </c>
      <c r="B43" s="2" t="s">
        <v>338</v>
      </c>
      <c r="C43" s="2" t="n">
        <v>35</v>
      </c>
      <c r="D43" s="2" t="n">
        <v>1</v>
      </c>
      <c r="E43" s="82" t="n">
        <v>44983</v>
      </c>
      <c r="F43" s="83" t="n">
        <v>0.00599537037037037</v>
      </c>
      <c r="G43" s="82" t="n">
        <v>44992</v>
      </c>
      <c r="H43" s="83" t="n">
        <v>0.721157407407407</v>
      </c>
      <c r="I43" s="2" t="s">
        <v>368</v>
      </c>
      <c r="J43" s="2" t="s">
        <v>33</v>
      </c>
      <c r="K43" s="46" t="str">
        <f aca="false">INDEX(Products!$B$2:$B$71,MATCH($C43,Products!$A$2:$A$71,0))</f>
        <v>Nam Gift</v>
      </c>
      <c r="L43" s="46" t="str">
        <f aca="false">INDEX(Products!$C$2:$C$71,MATCH($C43,Products!$A$2:$A$71,0))</f>
        <v>Colors</v>
      </c>
      <c r="M43" s="84" t="n">
        <f aca="false">INDEX(Products!$D$2:$D$71,MATCH($C43,Products!$A$2:$A$71,0))</f>
        <v>1865</v>
      </c>
      <c r="N43" s="84" t="n">
        <f aca="false">$D43*$M43</f>
        <v>1865</v>
      </c>
      <c r="O43" s="46" t="str">
        <f aca="false">INDEX(Customers!$C$2:$C$101,MATCH($B43,Customers!$A$2:$A$101,0))</f>
        <v>Bhopal</v>
      </c>
      <c r="P43" s="46" t="str">
        <f aca="false">INDEX(Customers!$F$2:$F$101,MATCH($B43,Customers!$A$2:$A$101,0))</f>
        <v>Male</v>
      </c>
      <c r="Q43" s="46" t="str">
        <f aca="false">INDEX(Customers!$B$2:$B$101,MATCH($B43,Customers!$A$2:$A$101,0))</f>
        <v>Mohanlal Garde</v>
      </c>
      <c r="R43" s="46" t="n">
        <f aca="false">MONTH($E43)</f>
        <v>2</v>
      </c>
      <c r="S43" s="46" t="str">
        <f aca="false">INDEX(Lists!$B$2:$B$13,$R43)</f>
        <v>February</v>
      </c>
      <c r="T43" s="46" t="n">
        <f aca="false">HOUR($F43)</f>
        <v>0</v>
      </c>
      <c r="U43" s="46" t="n">
        <f aca="false">WEEKDAY($E43,2)</f>
        <v>7</v>
      </c>
      <c r="V43" s="46" t="str">
        <f aca="false">INDEX(Lists!$F$2:$F$8,$U43)</f>
        <v>Sunday</v>
      </c>
      <c r="W43" s="85" t="n">
        <f aca="false">($G43+$H43)-($E43+$F43)</f>
        <v>9.71516203703704</v>
      </c>
      <c r="X43" s="46" t="str">
        <f aca="false">LOOKUP($M43,Lists!$G$2:$G$5,Lists!$H$2:$H$5)</f>
        <v>₹1,500 - 2,000</v>
      </c>
      <c r="Y43" s="46" t="str">
        <f aca="false">LOOKUP($W43,Lists!$I$2:$I$7,Lists!$J$2:$J$7)</f>
        <v>8 - 10 days</v>
      </c>
    </row>
    <row r="44" customFormat="false" ht="15" hidden="false" customHeight="false" outlineLevel="0" collapsed="false">
      <c r="A44" s="7" t="n">
        <v>43</v>
      </c>
      <c r="B44" s="7" t="s">
        <v>242</v>
      </c>
      <c r="C44" s="7" t="n">
        <v>49</v>
      </c>
      <c r="D44" s="7" t="n">
        <v>3</v>
      </c>
      <c r="E44" s="77" t="n">
        <v>44969</v>
      </c>
      <c r="F44" s="78" t="n">
        <v>0.93837962962963</v>
      </c>
      <c r="G44" s="77" t="n">
        <v>44973</v>
      </c>
      <c r="H44" s="78" t="n">
        <v>0.116516203703704</v>
      </c>
      <c r="I44" s="7" t="s">
        <v>554</v>
      </c>
      <c r="J44" s="7" t="s">
        <v>179</v>
      </c>
      <c r="K44" s="79" t="str">
        <f aca="false">INDEX(Products!$B$2:$B$71,MATCH($C44,Products!$A$2:$A$71,0))</f>
        <v>Voluptate Pack</v>
      </c>
      <c r="L44" s="79" t="str">
        <f aca="false">INDEX(Products!$C$2:$C$71,MATCH($C44,Products!$A$2:$A$71,0))</f>
        <v>Colors</v>
      </c>
      <c r="M44" s="80" t="n">
        <f aca="false">INDEX(Products!$D$2:$D$71,MATCH($C44,Products!$A$2:$A$71,0))</f>
        <v>903</v>
      </c>
      <c r="N44" s="80" t="n">
        <f aca="false">$D44*$M44</f>
        <v>2709</v>
      </c>
      <c r="O44" s="79" t="str">
        <f aca="false">INDEX(Customers!$C$2:$C$101,MATCH($B44,Customers!$A$2:$A$101,0))</f>
        <v>Guna</v>
      </c>
      <c r="P44" s="79" t="str">
        <f aca="false">INDEX(Customers!$F$2:$F$101,MATCH($B44,Customers!$A$2:$A$101,0))</f>
        <v>Male</v>
      </c>
      <c r="Q44" s="79" t="str">
        <f aca="false">INDEX(Customers!$B$2:$B$101,MATCH($B44,Customers!$A$2:$A$101,0))</f>
        <v>Tara Kannan</v>
      </c>
      <c r="R44" s="79" t="n">
        <f aca="false">MONTH($E44)</f>
        <v>2</v>
      </c>
      <c r="S44" s="79" t="str">
        <f aca="false">INDEX(Lists!$B$2:$B$13,$R44)</f>
        <v>February</v>
      </c>
      <c r="T44" s="79" t="n">
        <f aca="false">HOUR($F44)</f>
        <v>22</v>
      </c>
      <c r="U44" s="79" t="n">
        <f aca="false">WEEKDAY($E44,2)</f>
        <v>7</v>
      </c>
      <c r="V44" s="79" t="str">
        <f aca="false">INDEX(Lists!$F$2:$F$8,$U44)</f>
        <v>Sunday</v>
      </c>
      <c r="W44" s="81" t="n">
        <f aca="false">($G44+$H44)-($E44+$F44)</f>
        <v>3.17813657407407</v>
      </c>
      <c r="X44" s="79" t="str">
        <f aca="false">LOOKUP($M44,Lists!$G$2:$G$5,Lists!$H$2:$H$5)</f>
        <v>₹500 - 999</v>
      </c>
      <c r="Y44" s="79" t="str">
        <f aca="false">LOOKUP($W44,Lists!$I$2:$I$7,Lists!$J$2:$J$7)</f>
        <v>2 - 4 days</v>
      </c>
    </row>
    <row r="45" customFormat="false" ht="15" hidden="false" customHeight="false" outlineLevel="0" collapsed="false">
      <c r="A45" s="2" t="n">
        <v>44</v>
      </c>
      <c r="B45" s="2" t="s">
        <v>139</v>
      </c>
      <c r="C45" s="2" t="n">
        <v>14</v>
      </c>
      <c r="D45" s="2" t="n">
        <v>1</v>
      </c>
      <c r="E45" s="82" t="n">
        <v>45124</v>
      </c>
      <c r="F45" s="83" t="n">
        <v>0.915231481481482</v>
      </c>
      <c r="G45" s="82" t="n">
        <v>45134</v>
      </c>
      <c r="H45" s="83" t="n">
        <v>0.450104166666667</v>
      </c>
      <c r="I45" s="2" t="s">
        <v>238</v>
      </c>
      <c r="J45" s="2" t="s">
        <v>31</v>
      </c>
      <c r="K45" s="46" t="str">
        <f aca="false">INDEX(Products!$B$2:$B$71,MATCH($C45,Products!$A$2:$A$71,0))</f>
        <v>Deserunt Box</v>
      </c>
      <c r="L45" s="46" t="str">
        <f aca="false">INDEX(Products!$C$2:$C$71,MATCH($C45,Products!$A$2:$A$71,0))</f>
        <v>Colors</v>
      </c>
      <c r="M45" s="84" t="n">
        <f aca="false">INDEX(Products!$D$2:$D$71,MATCH($C45,Products!$A$2:$A$71,0))</f>
        <v>1915</v>
      </c>
      <c r="N45" s="84" t="n">
        <f aca="false">$D45*$M45</f>
        <v>1915</v>
      </c>
      <c r="O45" s="46" t="str">
        <f aca="false">INDEX(Customers!$C$2:$C$101,MATCH($B45,Customers!$A$2:$A$101,0))</f>
        <v>Karimnagar</v>
      </c>
      <c r="P45" s="46" t="str">
        <f aca="false">INDEX(Customers!$F$2:$F$101,MATCH($B45,Customers!$A$2:$A$101,0))</f>
        <v>Female</v>
      </c>
      <c r="Q45" s="46" t="str">
        <f aca="false">INDEX(Customers!$B$2:$B$101,MATCH($B45,Customers!$A$2:$A$101,0))</f>
        <v>Rania Mann</v>
      </c>
      <c r="R45" s="46" t="n">
        <f aca="false">MONTH($E45)</f>
        <v>7</v>
      </c>
      <c r="S45" s="46" t="str">
        <f aca="false">INDEX(Lists!$B$2:$B$13,$R45)</f>
        <v>July</v>
      </c>
      <c r="T45" s="46" t="n">
        <f aca="false">HOUR($F45)</f>
        <v>21</v>
      </c>
      <c r="U45" s="46" t="n">
        <f aca="false">WEEKDAY($E45,2)</f>
        <v>1</v>
      </c>
      <c r="V45" s="46" t="str">
        <f aca="false">INDEX(Lists!$F$2:$F$8,$U45)</f>
        <v>Monday</v>
      </c>
      <c r="W45" s="85" t="n">
        <f aca="false">($G45+$H45)-($E45+$F45)</f>
        <v>9.53487268518519</v>
      </c>
      <c r="X45" s="46" t="str">
        <f aca="false">LOOKUP($M45,Lists!$G$2:$G$5,Lists!$H$2:$H$5)</f>
        <v>₹1,500 - 2,000</v>
      </c>
      <c r="Y45" s="46" t="str">
        <f aca="false">LOOKUP($W45,Lists!$I$2:$I$7,Lists!$J$2:$J$7)</f>
        <v>8 - 10 days</v>
      </c>
    </row>
    <row r="46" customFormat="false" ht="15" hidden="false" customHeight="false" outlineLevel="0" collapsed="false">
      <c r="A46" s="7" t="n">
        <v>45</v>
      </c>
      <c r="B46" s="7" t="s">
        <v>385</v>
      </c>
      <c r="C46" s="7" t="n">
        <v>61</v>
      </c>
      <c r="D46" s="7" t="n">
        <v>5</v>
      </c>
      <c r="E46" s="77" t="n">
        <v>45044</v>
      </c>
      <c r="F46" s="78" t="n">
        <v>0.601689814814815</v>
      </c>
      <c r="G46" s="77" t="n">
        <v>45045</v>
      </c>
      <c r="H46" s="78" t="n">
        <v>0.261527777777778</v>
      </c>
      <c r="I46" s="7" t="s">
        <v>404</v>
      </c>
      <c r="J46" s="7" t="s">
        <v>168</v>
      </c>
      <c r="K46" s="79" t="str">
        <f aca="false">INDEX(Products!$B$2:$B$71,MATCH($C46,Products!$A$2:$A$71,0))</f>
        <v>Iusto Box</v>
      </c>
      <c r="L46" s="79" t="str">
        <f aca="false">INDEX(Products!$C$2:$C$71,MATCH($C46,Products!$A$2:$A$71,0))</f>
        <v>Plants</v>
      </c>
      <c r="M46" s="80" t="n">
        <f aca="false">INDEX(Products!$D$2:$D$71,MATCH($C46,Products!$A$2:$A$71,0))</f>
        <v>810</v>
      </c>
      <c r="N46" s="80" t="n">
        <f aca="false">$D46*$M46</f>
        <v>4050</v>
      </c>
      <c r="O46" s="79" t="str">
        <f aca="false">INDEX(Customers!$C$2:$C$101,MATCH($B46,Customers!$A$2:$A$101,0))</f>
        <v>Sri Ganganagar</v>
      </c>
      <c r="P46" s="79" t="str">
        <f aca="false">INDEX(Customers!$F$2:$F$101,MATCH($B46,Customers!$A$2:$A$101,0))</f>
        <v>Female</v>
      </c>
      <c r="Q46" s="79" t="str">
        <f aca="false">INDEX(Customers!$B$2:$B$101,MATCH($B46,Customers!$A$2:$A$101,0))</f>
        <v>Nakul Randhawa</v>
      </c>
      <c r="R46" s="79" t="n">
        <f aca="false">MONTH($E46)</f>
        <v>4</v>
      </c>
      <c r="S46" s="79" t="str">
        <f aca="false">INDEX(Lists!$B$2:$B$13,$R46)</f>
        <v>April</v>
      </c>
      <c r="T46" s="79" t="n">
        <f aca="false">HOUR($F46)</f>
        <v>14</v>
      </c>
      <c r="U46" s="79" t="n">
        <f aca="false">WEEKDAY($E46,2)</f>
        <v>5</v>
      </c>
      <c r="V46" s="79" t="str">
        <f aca="false">INDEX(Lists!$F$2:$F$8,$U46)</f>
        <v>Friday</v>
      </c>
      <c r="W46" s="81" t="n">
        <f aca="false">($G46+$H46)-($E46+$F46)</f>
        <v>0.659837962962963</v>
      </c>
      <c r="X46" s="79" t="str">
        <f aca="false">LOOKUP($M46,Lists!$G$2:$G$5,Lists!$H$2:$H$5)</f>
        <v>₹500 - 999</v>
      </c>
      <c r="Y46" s="79" t="str">
        <f aca="false">LOOKUP($W46,Lists!$I$2:$I$7,Lists!$J$2:$J$7)</f>
        <v>0 - 2 days</v>
      </c>
    </row>
    <row r="47" customFormat="false" ht="15" hidden="false" customHeight="false" outlineLevel="0" collapsed="false">
      <c r="A47" s="2" t="n">
        <v>46</v>
      </c>
      <c r="B47" s="2" t="s">
        <v>281</v>
      </c>
      <c r="C47" s="2" t="n">
        <v>22</v>
      </c>
      <c r="D47" s="2" t="n">
        <v>4</v>
      </c>
      <c r="E47" s="82" t="n">
        <v>45034</v>
      </c>
      <c r="F47" s="83" t="n">
        <v>0.139710648148148</v>
      </c>
      <c r="G47" s="82" t="n">
        <v>45039</v>
      </c>
      <c r="H47" s="83" t="n">
        <v>0.335243055555556</v>
      </c>
      <c r="I47" s="2" t="s">
        <v>397</v>
      </c>
      <c r="J47" s="2" t="s">
        <v>165</v>
      </c>
      <c r="K47" s="46" t="str">
        <f aca="false">INDEX(Products!$B$2:$B$71,MATCH($C47,Products!$A$2:$A$71,0))</f>
        <v>Exercitationem Pack</v>
      </c>
      <c r="L47" s="46" t="str">
        <f aca="false">INDEX(Products!$C$2:$C$71,MATCH($C47,Products!$A$2:$A$71,0))</f>
        <v>Soft Toys</v>
      </c>
      <c r="M47" s="84" t="n">
        <f aca="false">INDEX(Products!$D$2:$D$71,MATCH($C47,Products!$A$2:$A$71,0))</f>
        <v>1639</v>
      </c>
      <c r="N47" s="84" t="n">
        <f aca="false">$D47*$M47</f>
        <v>6556</v>
      </c>
      <c r="O47" s="46" t="str">
        <f aca="false">INDEX(Customers!$C$2:$C$101,MATCH($B47,Customers!$A$2:$A$101,0))</f>
        <v>Kalyan-Dombivli</v>
      </c>
      <c r="P47" s="46" t="str">
        <f aca="false">INDEX(Customers!$F$2:$F$101,MATCH($B47,Customers!$A$2:$A$101,0))</f>
        <v>Male</v>
      </c>
      <c r="Q47" s="46" t="str">
        <f aca="false">INDEX(Customers!$B$2:$B$101,MATCH($B47,Customers!$A$2:$A$101,0))</f>
        <v>Nirvi Wagle</v>
      </c>
      <c r="R47" s="46" t="n">
        <f aca="false">MONTH($E47)</f>
        <v>4</v>
      </c>
      <c r="S47" s="46" t="str">
        <f aca="false">INDEX(Lists!$B$2:$B$13,$R47)</f>
        <v>April</v>
      </c>
      <c r="T47" s="46" t="n">
        <f aca="false">HOUR($F47)</f>
        <v>3</v>
      </c>
      <c r="U47" s="46" t="n">
        <f aca="false">WEEKDAY($E47,2)</f>
        <v>2</v>
      </c>
      <c r="V47" s="46" t="str">
        <f aca="false">INDEX(Lists!$F$2:$F$8,$U47)</f>
        <v>Tuesday</v>
      </c>
      <c r="W47" s="85" t="n">
        <f aca="false">($G47+$H47)-($E47+$F47)</f>
        <v>5.19553240740741</v>
      </c>
      <c r="X47" s="46" t="str">
        <f aca="false">LOOKUP($M47,Lists!$G$2:$G$5,Lists!$H$2:$H$5)</f>
        <v>₹1,500 - 2,000</v>
      </c>
      <c r="Y47" s="46" t="str">
        <f aca="false">LOOKUP($W47,Lists!$I$2:$I$7,Lists!$J$2:$J$7)</f>
        <v>4 - 6 days</v>
      </c>
    </row>
    <row r="48" customFormat="false" ht="15" hidden="false" customHeight="false" outlineLevel="0" collapsed="false">
      <c r="A48" s="7" t="n">
        <v>47</v>
      </c>
      <c r="B48" s="7" t="s">
        <v>159</v>
      </c>
      <c r="C48" s="7" t="n">
        <v>7</v>
      </c>
      <c r="D48" s="7" t="n">
        <v>5</v>
      </c>
      <c r="E48" s="77" t="n">
        <v>44983</v>
      </c>
      <c r="F48" s="78" t="n">
        <v>0.544768518518519</v>
      </c>
      <c r="G48" s="77" t="n">
        <v>44985</v>
      </c>
      <c r="H48" s="78" t="n">
        <v>0.250231481481482</v>
      </c>
      <c r="I48" s="7" t="s">
        <v>428</v>
      </c>
      <c r="J48" s="7" t="s">
        <v>33</v>
      </c>
      <c r="K48" s="79" t="str">
        <f aca="false">INDEX(Products!$B$2:$B$71,MATCH($C48,Products!$A$2:$A$71,0))</f>
        <v>Quos Set</v>
      </c>
      <c r="L48" s="79" t="str">
        <f aca="false">INDEX(Products!$C$2:$C$71,MATCH($C48,Products!$A$2:$A$71,0))</f>
        <v>Soft Toys</v>
      </c>
      <c r="M48" s="80" t="n">
        <f aca="false">INDEX(Products!$D$2:$D$71,MATCH($C48,Products!$A$2:$A$71,0))</f>
        <v>409</v>
      </c>
      <c r="N48" s="80" t="n">
        <f aca="false">$D48*$M48</f>
        <v>2045</v>
      </c>
      <c r="O48" s="79" t="str">
        <f aca="false">INDEX(Customers!$C$2:$C$101,MATCH($B48,Customers!$A$2:$A$101,0))</f>
        <v>Mangalore</v>
      </c>
      <c r="P48" s="79" t="str">
        <f aca="false">INDEX(Customers!$F$2:$F$101,MATCH($B48,Customers!$A$2:$A$101,0))</f>
        <v>Female</v>
      </c>
      <c r="Q48" s="79" t="str">
        <f aca="false">INDEX(Customers!$B$2:$B$101,MATCH($B48,Customers!$A$2:$A$101,0))</f>
        <v>Manikya Goswami</v>
      </c>
      <c r="R48" s="79" t="n">
        <f aca="false">MONTH($E48)</f>
        <v>2</v>
      </c>
      <c r="S48" s="79" t="str">
        <f aca="false">INDEX(Lists!$B$2:$B$13,$R48)</f>
        <v>February</v>
      </c>
      <c r="T48" s="79" t="n">
        <f aca="false">HOUR($F48)</f>
        <v>13</v>
      </c>
      <c r="U48" s="79" t="n">
        <f aca="false">WEEKDAY($E48,2)</f>
        <v>7</v>
      </c>
      <c r="V48" s="79" t="str">
        <f aca="false">INDEX(Lists!$F$2:$F$8,$U48)</f>
        <v>Sunday</v>
      </c>
      <c r="W48" s="81" t="n">
        <f aca="false">($G48+$H48)-($E48+$F48)</f>
        <v>1.70546296296296</v>
      </c>
      <c r="X48" s="79" t="str">
        <f aca="false">LOOKUP($M48,Lists!$G$2:$G$5,Lists!$H$2:$H$5)</f>
        <v>₹0 - 499</v>
      </c>
      <c r="Y48" s="79" t="str">
        <f aca="false">LOOKUP($W48,Lists!$I$2:$I$7,Lists!$J$2:$J$7)</f>
        <v>0 - 2 days</v>
      </c>
    </row>
    <row r="49" customFormat="false" ht="15" hidden="false" customHeight="false" outlineLevel="0" collapsed="false">
      <c r="A49" s="2" t="n">
        <v>48</v>
      </c>
      <c r="B49" s="2" t="s">
        <v>200</v>
      </c>
      <c r="C49" s="2" t="n">
        <v>65</v>
      </c>
      <c r="D49" s="2" t="n">
        <v>4</v>
      </c>
      <c r="E49" s="82" t="n">
        <v>45242</v>
      </c>
      <c r="F49" s="83" t="n">
        <v>0.833680555555556</v>
      </c>
      <c r="G49" s="82" t="n">
        <v>45246</v>
      </c>
      <c r="H49" s="83" t="n">
        <v>0.230347222222222</v>
      </c>
      <c r="I49" s="2" t="s">
        <v>333</v>
      </c>
      <c r="J49" s="2" t="s">
        <v>165</v>
      </c>
      <c r="K49" s="46" t="str">
        <f aca="false">INDEX(Products!$B$2:$B$71,MATCH($C49,Products!$A$2:$A$71,0))</f>
        <v>Error Gift</v>
      </c>
      <c r="L49" s="46" t="str">
        <f aca="false">INDEX(Products!$C$2:$C$71,MATCH($C49,Products!$A$2:$A$71,0))</f>
        <v>Raksha Bandhan</v>
      </c>
      <c r="M49" s="84" t="n">
        <f aca="false">INDEX(Products!$D$2:$D$71,MATCH($C49,Products!$A$2:$A$71,0))</f>
        <v>1895</v>
      </c>
      <c r="N49" s="84" t="n">
        <f aca="false">$D49*$M49</f>
        <v>7580</v>
      </c>
      <c r="O49" s="46" t="str">
        <f aca="false">INDEX(Customers!$C$2:$C$101,MATCH($B49,Customers!$A$2:$A$101,0))</f>
        <v>Sasaram</v>
      </c>
      <c r="P49" s="46" t="str">
        <f aca="false">INDEX(Customers!$F$2:$F$101,MATCH($B49,Customers!$A$2:$A$101,0))</f>
        <v>Female</v>
      </c>
      <c r="Q49" s="46" t="str">
        <f aca="false">INDEX(Customers!$B$2:$B$101,MATCH($B49,Customers!$A$2:$A$101,0))</f>
        <v>Madhup Wable</v>
      </c>
      <c r="R49" s="46" t="n">
        <f aca="false">MONTH($E49)</f>
        <v>11</v>
      </c>
      <c r="S49" s="46" t="str">
        <f aca="false">INDEX(Lists!$B$2:$B$13,$R49)</f>
        <v>November</v>
      </c>
      <c r="T49" s="46" t="n">
        <f aca="false">HOUR($F49)</f>
        <v>20</v>
      </c>
      <c r="U49" s="46" t="n">
        <f aca="false">WEEKDAY($E49,2)</f>
        <v>7</v>
      </c>
      <c r="V49" s="46" t="str">
        <f aca="false">INDEX(Lists!$F$2:$F$8,$U49)</f>
        <v>Sunday</v>
      </c>
      <c r="W49" s="85" t="n">
        <f aca="false">($G49+$H49)-($E49+$F49)</f>
        <v>3.39666666666667</v>
      </c>
      <c r="X49" s="46" t="str">
        <f aca="false">LOOKUP($M49,Lists!$G$2:$G$5,Lists!$H$2:$H$5)</f>
        <v>₹1,500 - 2,000</v>
      </c>
      <c r="Y49" s="46" t="str">
        <f aca="false">LOOKUP($W49,Lists!$I$2:$I$7,Lists!$J$2:$J$7)</f>
        <v>2 - 4 days</v>
      </c>
    </row>
    <row r="50" customFormat="false" ht="15" hidden="false" customHeight="false" outlineLevel="0" collapsed="false">
      <c r="A50" s="7" t="n">
        <v>49</v>
      </c>
      <c r="B50" s="7" t="s">
        <v>176</v>
      </c>
      <c r="C50" s="7" t="n">
        <v>43</v>
      </c>
      <c r="D50" s="7" t="n">
        <v>1</v>
      </c>
      <c r="E50" s="77" t="n">
        <v>45241</v>
      </c>
      <c r="F50" s="78" t="n">
        <v>0.739236111111111</v>
      </c>
      <c r="G50" s="77" t="n">
        <v>45248</v>
      </c>
      <c r="H50" s="78" t="n">
        <v>0.576296296296296</v>
      </c>
      <c r="I50" s="7" t="s">
        <v>505</v>
      </c>
      <c r="J50" s="7" t="s">
        <v>32</v>
      </c>
      <c r="K50" s="79" t="str">
        <f aca="false">INDEX(Products!$B$2:$B$71,MATCH($C50,Products!$A$2:$A$71,0))</f>
        <v>Quisquam Pack</v>
      </c>
      <c r="L50" s="79" t="str">
        <f aca="false">INDEX(Products!$C$2:$C$71,MATCH($C50,Products!$A$2:$A$71,0))</f>
        <v>Raksha Bandhan</v>
      </c>
      <c r="M50" s="80" t="n">
        <f aca="false">INDEX(Products!$D$2:$D$71,MATCH($C50,Products!$A$2:$A$71,0))</f>
        <v>750</v>
      </c>
      <c r="N50" s="80" t="n">
        <f aca="false">$D50*$M50</f>
        <v>750</v>
      </c>
      <c r="O50" s="79" t="str">
        <f aca="false">INDEX(Customers!$C$2:$C$101,MATCH($B50,Customers!$A$2:$A$101,0))</f>
        <v>Machilipatnam</v>
      </c>
      <c r="P50" s="79" t="str">
        <f aca="false">INDEX(Customers!$F$2:$F$101,MATCH($B50,Customers!$A$2:$A$101,0))</f>
        <v>Male</v>
      </c>
      <c r="Q50" s="79" t="str">
        <f aca="false">INDEX(Customers!$B$2:$B$101,MATCH($B50,Customers!$A$2:$A$101,0))</f>
        <v>Samaira Ganesh</v>
      </c>
      <c r="R50" s="79" t="n">
        <f aca="false">MONTH($E50)</f>
        <v>11</v>
      </c>
      <c r="S50" s="79" t="str">
        <f aca="false">INDEX(Lists!$B$2:$B$13,$R50)</f>
        <v>November</v>
      </c>
      <c r="T50" s="79" t="n">
        <f aca="false">HOUR($F50)</f>
        <v>17</v>
      </c>
      <c r="U50" s="79" t="n">
        <f aca="false">WEEKDAY($E50,2)</f>
        <v>6</v>
      </c>
      <c r="V50" s="79" t="str">
        <f aca="false">INDEX(Lists!$F$2:$F$8,$U50)</f>
        <v>Saturday</v>
      </c>
      <c r="W50" s="81" t="n">
        <f aca="false">($G50+$H50)-($E50+$F50)</f>
        <v>6.83706018518519</v>
      </c>
      <c r="X50" s="79" t="str">
        <f aca="false">LOOKUP($M50,Lists!$G$2:$G$5,Lists!$H$2:$H$5)</f>
        <v>₹500 - 999</v>
      </c>
      <c r="Y50" s="79" t="str">
        <f aca="false">LOOKUP($W50,Lists!$I$2:$I$7,Lists!$J$2:$J$7)</f>
        <v>6 - 8 days</v>
      </c>
    </row>
    <row r="51" customFormat="false" ht="15" hidden="false" customHeight="false" outlineLevel="0" collapsed="false">
      <c r="A51" s="2" t="n">
        <v>50</v>
      </c>
      <c r="B51" s="2" t="s">
        <v>161</v>
      </c>
      <c r="C51" s="2" t="n">
        <v>41</v>
      </c>
      <c r="D51" s="2" t="n">
        <v>4</v>
      </c>
      <c r="E51" s="82" t="n">
        <v>45239</v>
      </c>
      <c r="F51" s="83" t="n">
        <v>0.289270833333333</v>
      </c>
      <c r="G51" s="82" t="n">
        <v>45246</v>
      </c>
      <c r="H51" s="83" t="n">
        <v>0.430115740740741</v>
      </c>
      <c r="I51" s="2" t="s">
        <v>436</v>
      </c>
      <c r="J51" s="2" t="s">
        <v>32</v>
      </c>
      <c r="K51" s="46" t="str">
        <f aca="false">INDEX(Products!$B$2:$B$71,MATCH($C51,Products!$A$2:$A$71,0))</f>
        <v>Aut Box</v>
      </c>
      <c r="L51" s="46" t="str">
        <f aca="false">INDEX(Products!$C$2:$C$71,MATCH($C51,Products!$A$2:$A$71,0))</f>
        <v>Sweets</v>
      </c>
      <c r="M51" s="84" t="n">
        <f aca="false">INDEX(Products!$D$2:$D$71,MATCH($C51,Products!$A$2:$A$71,0))</f>
        <v>1977</v>
      </c>
      <c r="N51" s="84" t="n">
        <f aca="false">$D51*$M51</f>
        <v>7908</v>
      </c>
      <c r="O51" s="46" t="str">
        <f aca="false">INDEX(Customers!$C$2:$C$101,MATCH($B51,Customers!$A$2:$A$101,0))</f>
        <v>Panvel</v>
      </c>
      <c r="P51" s="46" t="str">
        <f aca="false">INDEX(Customers!$F$2:$F$101,MATCH($B51,Customers!$A$2:$A$101,0))</f>
        <v>Female</v>
      </c>
      <c r="Q51" s="46" t="str">
        <f aca="false">INDEX(Customers!$B$2:$B$101,MATCH($B51,Customers!$A$2:$A$101,0))</f>
        <v>Indrans Shukla</v>
      </c>
      <c r="R51" s="46" t="n">
        <f aca="false">MONTH($E51)</f>
        <v>11</v>
      </c>
      <c r="S51" s="46" t="str">
        <f aca="false">INDEX(Lists!$B$2:$B$13,$R51)</f>
        <v>November</v>
      </c>
      <c r="T51" s="46" t="n">
        <f aca="false">HOUR($F51)</f>
        <v>6</v>
      </c>
      <c r="U51" s="46" t="n">
        <f aca="false">WEEKDAY($E51,2)</f>
        <v>4</v>
      </c>
      <c r="V51" s="46" t="str">
        <f aca="false">INDEX(Lists!$F$2:$F$8,$U51)</f>
        <v>Thursday</v>
      </c>
      <c r="W51" s="85" t="n">
        <f aca="false">($G51+$H51)-($E51+$F51)</f>
        <v>7.14084490740741</v>
      </c>
      <c r="X51" s="46" t="str">
        <f aca="false">LOOKUP($M51,Lists!$G$2:$G$5,Lists!$H$2:$H$5)</f>
        <v>₹1,500 - 2,000</v>
      </c>
      <c r="Y51" s="46" t="str">
        <f aca="false">LOOKUP($W51,Lists!$I$2:$I$7,Lists!$J$2:$J$7)</f>
        <v>6 - 8 days</v>
      </c>
    </row>
    <row r="52" customFormat="false" ht="15" hidden="false" customHeight="false" outlineLevel="0" collapsed="false">
      <c r="A52" s="7" t="n">
        <v>51</v>
      </c>
      <c r="B52" s="7" t="s">
        <v>212</v>
      </c>
      <c r="C52" s="7" t="n">
        <v>10</v>
      </c>
      <c r="D52" s="7" t="n">
        <v>1</v>
      </c>
      <c r="E52" s="77" t="n">
        <v>45000</v>
      </c>
      <c r="F52" s="78" t="n">
        <v>0.391539351851852</v>
      </c>
      <c r="G52" s="77" t="n">
        <v>45004</v>
      </c>
      <c r="H52" s="78" t="n">
        <v>0.699074074074074</v>
      </c>
      <c r="I52" s="7" t="s">
        <v>126</v>
      </c>
      <c r="J52" s="7" t="s">
        <v>31</v>
      </c>
      <c r="K52" s="79" t="str">
        <f aca="false">INDEX(Products!$B$2:$B$71,MATCH($C52,Products!$A$2:$A$71,0))</f>
        <v>Accusantium Gift</v>
      </c>
      <c r="L52" s="79" t="str">
        <f aca="false">INDEX(Products!$C$2:$C$71,MATCH($C52,Products!$A$2:$A$71,0))</f>
        <v>Cake</v>
      </c>
      <c r="M52" s="80" t="n">
        <f aca="false">INDEX(Products!$D$2:$D$71,MATCH($C52,Products!$A$2:$A$71,0))</f>
        <v>259</v>
      </c>
      <c r="N52" s="80" t="n">
        <f aca="false">$D52*$M52</f>
        <v>259</v>
      </c>
      <c r="O52" s="79" t="str">
        <f aca="false">INDEX(Customers!$C$2:$C$101,MATCH($B52,Customers!$A$2:$A$101,0))</f>
        <v>Dibrugarh</v>
      </c>
      <c r="P52" s="79" t="str">
        <f aca="false">INDEX(Customers!$F$2:$F$101,MATCH($B52,Customers!$A$2:$A$101,0))</f>
        <v>Female</v>
      </c>
      <c r="Q52" s="79" t="str">
        <f aca="false">INDEX(Customers!$B$2:$B$101,MATCH($B52,Customers!$A$2:$A$101,0))</f>
        <v>Biju Bajwa</v>
      </c>
      <c r="R52" s="79" t="n">
        <f aca="false">MONTH($E52)</f>
        <v>3</v>
      </c>
      <c r="S52" s="79" t="str">
        <f aca="false">INDEX(Lists!$B$2:$B$13,$R52)</f>
        <v>March</v>
      </c>
      <c r="T52" s="79" t="n">
        <f aca="false">HOUR($F52)</f>
        <v>9</v>
      </c>
      <c r="U52" s="79" t="n">
        <f aca="false">WEEKDAY($E52,2)</f>
        <v>3</v>
      </c>
      <c r="V52" s="79" t="str">
        <f aca="false">INDEX(Lists!$F$2:$F$8,$U52)</f>
        <v>Wednesday</v>
      </c>
      <c r="W52" s="81" t="n">
        <f aca="false">($G52+$H52)-($E52+$F52)</f>
        <v>4.30753472222222</v>
      </c>
      <c r="X52" s="79" t="str">
        <f aca="false">LOOKUP($M52,Lists!$G$2:$G$5,Lists!$H$2:$H$5)</f>
        <v>₹0 - 499</v>
      </c>
      <c r="Y52" s="79" t="str">
        <f aca="false">LOOKUP($W52,Lists!$I$2:$I$7,Lists!$J$2:$J$7)</f>
        <v>4 - 6 days</v>
      </c>
    </row>
    <row r="53" customFormat="false" ht="15" hidden="false" customHeight="false" outlineLevel="0" collapsed="false">
      <c r="A53" s="2" t="n">
        <v>52</v>
      </c>
      <c r="B53" s="2" t="s">
        <v>183</v>
      </c>
      <c r="C53" s="2" t="n">
        <v>9</v>
      </c>
      <c r="D53" s="2" t="n">
        <v>1</v>
      </c>
      <c r="E53" s="82" t="n">
        <v>45167</v>
      </c>
      <c r="F53" s="83" t="n">
        <v>0.830115740740741</v>
      </c>
      <c r="G53" s="82" t="n">
        <v>45176</v>
      </c>
      <c r="H53" s="83" t="n">
        <v>0.181967592592593</v>
      </c>
      <c r="I53" s="2" t="s">
        <v>412</v>
      </c>
      <c r="J53" s="2" t="s">
        <v>40</v>
      </c>
      <c r="K53" s="46" t="str">
        <f aca="false">INDEX(Products!$B$2:$B$71,MATCH($C53,Products!$A$2:$A$71,0))</f>
        <v>Aperiam Box</v>
      </c>
      <c r="L53" s="46" t="str">
        <f aca="false">INDEX(Products!$C$2:$C$71,MATCH($C53,Products!$A$2:$A$71,0))</f>
        <v>Colors</v>
      </c>
      <c r="M53" s="84" t="n">
        <f aca="false">INDEX(Products!$D$2:$D$71,MATCH($C53,Products!$A$2:$A$71,0))</f>
        <v>1605</v>
      </c>
      <c r="N53" s="84" t="n">
        <f aca="false">$D53*$M53</f>
        <v>1605</v>
      </c>
      <c r="O53" s="46" t="str">
        <f aca="false">INDEX(Customers!$C$2:$C$101,MATCH($B53,Customers!$A$2:$A$101,0))</f>
        <v>Bidhannagar</v>
      </c>
      <c r="P53" s="46" t="str">
        <f aca="false">INDEX(Customers!$F$2:$F$101,MATCH($B53,Customers!$A$2:$A$101,0))</f>
        <v>Male</v>
      </c>
      <c r="Q53" s="46" t="str">
        <f aca="false">INDEX(Customers!$B$2:$B$101,MATCH($B53,Customers!$A$2:$A$101,0))</f>
        <v>Abram Sandhu</v>
      </c>
      <c r="R53" s="46" t="n">
        <f aca="false">MONTH($E53)</f>
        <v>8</v>
      </c>
      <c r="S53" s="46" t="str">
        <f aca="false">INDEX(Lists!$B$2:$B$13,$R53)</f>
        <v>August</v>
      </c>
      <c r="T53" s="46" t="n">
        <f aca="false">HOUR($F53)</f>
        <v>19</v>
      </c>
      <c r="U53" s="46" t="n">
        <f aca="false">WEEKDAY($E53,2)</f>
        <v>2</v>
      </c>
      <c r="V53" s="46" t="str">
        <f aca="false">INDEX(Lists!$F$2:$F$8,$U53)</f>
        <v>Tuesday</v>
      </c>
      <c r="W53" s="85" t="n">
        <f aca="false">($G53+$H53)-($E53+$F53)</f>
        <v>8.35185185185185</v>
      </c>
      <c r="X53" s="46" t="str">
        <f aca="false">LOOKUP($M53,Lists!$G$2:$G$5,Lists!$H$2:$H$5)</f>
        <v>₹1,500 - 2,000</v>
      </c>
      <c r="Y53" s="46" t="str">
        <f aca="false">LOOKUP($W53,Lists!$I$2:$I$7,Lists!$J$2:$J$7)</f>
        <v>8 - 10 days</v>
      </c>
    </row>
    <row r="54" customFormat="false" ht="15" hidden="false" customHeight="false" outlineLevel="0" collapsed="false">
      <c r="A54" s="7" t="n">
        <v>53</v>
      </c>
      <c r="B54" s="7" t="s">
        <v>239</v>
      </c>
      <c r="C54" s="7" t="n">
        <v>9</v>
      </c>
      <c r="D54" s="7" t="n">
        <v>5</v>
      </c>
      <c r="E54" s="77" t="n">
        <v>45158</v>
      </c>
      <c r="F54" s="78" t="n">
        <v>0.351215277777778</v>
      </c>
      <c r="G54" s="77" t="n">
        <v>45165</v>
      </c>
      <c r="H54" s="78" t="n">
        <v>0.249664351851852</v>
      </c>
      <c r="I54" s="7" t="s">
        <v>467</v>
      </c>
      <c r="J54" s="7" t="s">
        <v>40</v>
      </c>
      <c r="K54" s="79" t="str">
        <f aca="false">INDEX(Products!$B$2:$B$71,MATCH($C54,Products!$A$2:$A$71,0))</f>
        <v>Aperiam Box</v>
      </c>
      <c r="L54" s="79" t="str">
        <f aca="false">INDEX(Products!$C$2:$C$71,MATCH($C54,Products!$A$2:$A$71,0))</f>
        <v>Colors</v>
      </c>
      <c r="M54" s="80" t="n">
        <f aca="false">INDEX(Products!$D$2:$D$71,MATCH($C54,Products!$A$2:$A$71,0))</f>
        <v>1605</v>
      </c>
      <c r="N54" s="80" t="n">
        <f aca="false">$D54*$M54</f>
        <v>8025</v>
      </c>
      <c r="O54" s="79" t="str">
        <f aca="false">INDEX(Customers!$C$2:$C$101,MATCH($B54,Customers!$A$2:$A$101,0))</f>
        <v>Maheshtala</v>
      </c>
      <c r="P54" s="79" t="str">
        <f aca="false">INDEX(Customers!$F$2:$F$101,MATCH($B54,Customers!$A$2:$A$101,0))</f>
        <v>Female</v>
      </c>
      <c r="Q54" s="79" t="str">
        <f aca="false">INDEX(Customers!$B$2:$B$101,MATCH($B54,Customers!$A$2:$A$101,0))</f>
        <v>Divit Mahajan</v>
      </c>
      <c r="R54" s="79" t="n">
        <f aca="false">MONTH($E54)</f>
        <v>8</v>
      </c>
      <c r="S54" s="79" t="str">
        <f aca="false">INDEX(Lists!$B$2:$B$13,$R54)</f>
        <v>August</v>
      </c>
      <c r="T54" s="79" t="n">
        <f aca="false">HOUR($F54)</f>
        <v>8</v>
      </c>
      <c r="U54" s="79" t="n">
        <f aca="false">WEEKDAY($E54,2)</f>
        <v>7</v>
      </c>
      <c r="V54" s="79" t="str">
        <f aca="false">INDEX(Lists!$F$2:$F$8,$U54)</f>
        <v>Sunday</v>
      </c>
      <c r="W54" s="81" t="n">
        <f aca="false">($G54+$H54)-($E54+$F54)</f>
        <v>6.89844907407407</v>
      </c>
      <c r="X54" s="79" t="str">
        <f aca="false">LOOKUP($M54,Lists!$G$2:$G$5,Lists!$H$2:$H$5)</f>
        <v>₹1,500 - 2,000</v>
      </c>
      <c r="Y54" s="79" t="str">
        <f aca="false">LOOKUP($W54,Lists!$I$2:$I$7,Lists!$J$2:$J$7)</f>
        <v>6 - 8 days</v>
      </c>
    </row>
    <row r="55" customFormat="false" ht="15" hidden="false" customHeight="false" outlineLevel="0" collapsed="false">
      <c r="A55" s="2" t="n">
        <v>54</v>
      </c>
      <c r="B55" s="2" t="s">
        <v>281</v>
      </c>
      <c r="C55" s="2" t="n">
        <v>30</v>
      </c>
      <c r="D55" s="2" t="n">
        <v>1</v>
      </c>
      <c r="E55" s="82" t="n">
        <v>45029</v>
      </c>
      <c r="F55" s="83" t="n">
        <v>0.413206018518519</v>
      </c>
      <c r="G55" s="82" t="n">
        <v>45039</v>
      </c>
      <c r="H55" s="83" t="n">
        <v>0.604849537037037</v>
      </c>
      <c r="I55" s="2" t="s">
        <v>545</v>
      </c>
      <c r="J55" s="2" t="s">
        <v>168</v>
      </c>
      <c r="K55" s="46" t="str">
        <f aca="false">INDEX(Products!$B$2:$B$71,MATCH($C55,Products!$A$2:$A$71,0))</f>
        <v>Recusandae Pack</v>
      </c>
      <c r="L55" s="46" t="str">
        <f aca="false">INDEX(Products!$C$2:$C$71,MATCH($C55,Products!$A$2:$A$71,0))</f>
        <v>Colors</v>
      </c>
      <c r="M55" s="84" t="n">
        <f aca="false">INDEX(Products!$D$2:$D$71,MATCH($C55,Products!$A$2:$A$71,0))</f>
        <v>751</v>
      </c>
      <c r="N55" s="84" t="n">
        <f aca="false">$D55*$M55</f>
        <v>751</v>
      </c>
      <c r="O55" s="46" t="str">
        <f aca="false">INDEX(Customers!$C$2:$C$101,MATCH($B55,Customers!$A$2:$A$101,0))</f>
        <v>Kalyan-Dombivli</v>
      </c>
      <c r="P55" s="46" t="str">
        <f aca="false">INDEX(Customers!$F$2:$F$101,MATCH($B55,Customers!$A$2:$A$101,0))</f>
        <v>Male</v>
      </c>
      <c r="Q55" s="46" t="str">
        <f aca="false">INDEX(Customers!$B$2:$B$101,MATCH($B55,Customers!$A$2:$A$101,0))</f>
        <v>Nirvi Wagle</v>
      </c>
      <c r="R55" s="46" t="n">
        <f aca="false">MONTH($E55)</f>
        <v>4</v>
      </c>
      <c r="S55" s="46" t="str">
        <f aca="false">INDEX(Lists!$B$2:$B$13,$R55)</f>
        <v>April</v>
      </c>
      <c r="T55" s="46" t="n">
        <f aca="false">HOUR($F55)</f>
        <v>9</v>
      </c>
      <c r="U55" s="46" t="n">
        <f aca="false">WEEKDAY($E55,2)</f>
        <v>4</v>
      </c>
      <c r="V55" s="46" t="str">
        <f aca="false">INDEX(Lists!$F$2:$F$8,$U55)</f>
        <v>Thursday</v>
      </c>
      <c r="W55" s="85" t="n">
        <f aca="false">($G55+$H55)-($E55+$F55)</f>
        <v>10.1916435185185</v>
      </c>
      <c r="X55" s="46" t="str">
        <f aca="false">LOOKUP($M55,Lists!$G$2:$G$5,Lists!$H$2:$H$5)</f>
        <v>₹500 - 999</v>
      </c>
      <c r="Y55" s="46" t="str">
        <f aca="false">LOOKUP($W55,Lists!$I$2:$I$7,Lists!$J$2:$J$7)</f>
        <v>Over 10 days</v>
      </c>
    </row>
    <row r="56" customFormat="false" ht="15" hidden="false" customHeight="false" outlineLevel="0" collapsed="false">
      <c r="A56" s="7" t="n">
        <v>55</v>
      </c>
      <c r="B56" s="7" t="s">
        <v>224</v>
      </c>
      <c r="C56" s="7" t="n">
        <v>5</v>
      </c>
      <c r="D56" s="7" t="n">
        <v>1</v>
      </c>
      <c r="E56" s="77" t="n">
        <v>44965</v>
      </c>
      <c r="F56" s="78" t="n">
        <v>0.334108796296296</v>
      </c>
      <c r="G56" s="77" t="n">
        <v>44970</v>
      </c>
      <c r="H56" s="78" t="n">
        <v>0.32150462962963</v>
      </c>
      <c r="I56" s="7" t="s">
        <v>466</v>
      </c>
      <c r="J56" s="7" t="s">
        <v>165</v>
      </c>
      <c r="K56" s="79" t="str">
        <f aca="false">INDEX(Products!$B$2:$B$71,MATCH($C56,Products!$A$2:$A$71,0))</f>
        <v>Natus Gift</v>
      </c>
      <c r="L56" s="79" t="str">
        <f aca="false">INDEX(Products!$C$2:$C$71,MATCH($C56,Products!$A$2:$A$71,0))</f>
        <v>Colors</v>
      </c>
      <c r="M56" s="80" t="n">
        <f aca="false">INDEX(Products!$D$2:$D$71,MATCH($C56,Products!$A$2:$A$71,0))</f>
        <v>1444</v>
      </c>
      <c r="N56" s="80" t="n">
        <f aca="false">$D56*$M56</f>
        <v>1444</v>
      </c>
      <c r="O56" s="79" t="str">
        <f aca="false">INDEX(Customers!$C$2:$C$101,MATCH($B56,Customers!$A$2:$A$101,0))</f>
        <v>Pallavaram</v>
      </c>
      <c r="P56" s="79" t="str">
        <f aca="false">INDEX(Customers!$F$2:$F$101,MATCH($B56,Customers!$A$2:$A$101,0))</f>
        <v>Female</v>
      </c>
      <c r="Q56" s="79" t="str">
        <f aca="false">INDEX(Customers!$B$2:$B$101,MATCH($B56,Customers!$A$2:$A$101,0))</f>
        <v>Hazel Mangat</v>
      </c>
      <c r="R56" s="79" t="n">
        <f aca="false">MONTH($E56)</f>
        <v>2</v>
      </c>
      <c r="S56" s="79" t="str">
        <f aca="false">INDEX(Lists!$B$2:$B$13,$R56)</f>
        <v>February</v>
      </c>
      <c r="T56" s="79" t="n">
        <f aca="false">HOUR($F56)</f>
        <v>8</v>
      </c>
      <c r="U56" s="79" t="n">
        <f aca="false">WEEKDAY($E56,2)</f>
        <v>3</v>
      </c>
      <c r="V56" s="79" t="str">
        <f aca="false">INDEX(Lists!$F$2:$F$8,$U56)</f>
        <v>Wednesday</v>
      </c>
      <c r="W56" s="81" t="n">
        <f aca="false">($G56+$H56)-($E56+$F56)</f>
        <v>4.98739583333333</v>
      </c>
      <c r="X56" s="79" t="str">
        <f aca="false">LOOKUP($M56,Lists!$G$2:$G$5,Lists!$H$2:$H$5)</f>
        <v>₹1,000 - 1,499</v>
      </c>
      <c r="Y56" s="79" t="str">
        <f aca="false">LOOKUP($W56,Lists!$I$2:$I$7,Lists!$J$2:$J$7)</f>
        <v>4 - 6 days</v>
      </c>
    </row>
    <row r="57" customFormat="false" ht="15" hidden="false" customHeight="false" outlineLevel="0" collapsed="false">
      <c r="A57" s="2" t="n">
        <v>56</v>
      </c>
      <c r="B57" s="2" t="s">
        <v>379</v>
      </c>
      <c r="C57" s="2" t="n">
        <v>58</v>
      </c>
      <c r="D57" s="2" t="n">
        <v>5</v>
      </c>
      <c r="E57" s="82" t="n">
        <v>44965</v>
      </c>
      <c r="F57" s="83" t="n">
        <v>0.508194444444444</v>
      </c>
      <c r="G57" s="82" t="n">
        <v>44970</v>
      </c>
      <c r="H57" s="83" t="n">
        <v>0.786099537037037</v>
      </c>
      <c r="I57" s="2" t="s">
        <v>318</v>
      </c>
      <c r="J57" s="2" t="s">
        <v>179</v>
      </c>
      <c r="K57" s="46" t="str">
        <f aca="false">INDEX(Products!$B$2:$B$71,MATCH($C57,Products!$A$2:$A$71,0))</f>
        <v>Sed Pack</v>
      </c>
      <c r="L57" s="46" t="str">
        <f aca="false">INDEX(Products!$C$2:$C$71,MATCH($C57,Products!$A$2:$A$71,0))</f>
        <v>Cake</v>
      </c>
      <c r="M57" s="84" t="n">
        <f aca="false">INDEX(Products!$D$2:$D$71,MATCH($C57,Products!$A$2:$A$71,0))</f>
        <v>1492</v>
      </c>
      <c r="N57" s="84" t="n">
        <f aca="false">$D57*$M57</f>
        <v>7460</v>
      </c>
      <c r="O57" s="46" t="str">
        <f aca="false">INDEX(Customers!$C$2:$C$101,MATCH($B57,Customers!$A$2:$A$101,0))</f>
        <v>Warangal</v>
      </c>
      <c r="P57" s="46" t="str">
        <f aca="false">INDEX(Customers!$F$2:$F$101,MATCH($B57,Customers!$A$2:$A$101,0))</f>
        <v>Female</v>
      </c>
      <c r="Q57" s="46" t="str">
        <f aca="false">INDEX(Customers!$B$2:$B$101,MATCH($B57,Customers!$A$2:$A$101,0))</f>
        <v>Mahika Cherian</v>
      </c>
      <c r="R57" s="46" t="n">
        <f aca="false">MONTH($E57)</f>
        <v>2</v>
      </c>
      <c r="S57" s="46" t="str">
        <f aca="false">INDEX(Lists!$B$2:$B$13,$R57)</f>
        <v>February</v>
      </c>
      <c r="T57" s="46" t="n">
        <f aca="false">HOUR($F57)</f>
        <v>12</v>
      </c>
      <c r="U57" s="46" t="n">
        <f aca="false">WEEKDAY($E57,2)</f>
        <v>3</v>
      </c>
      <c r="V57" s="46" t="str">
        <f aca="false">INDEX(Lists!$F$2:$F$8,$U57)</f>
        <v>Wednesday</v>
      </c>
      <c r="W57" s="85" t="n">
        <f aca="false">($G57+$H57)-($E57+$F57)</f>
        <v>5.27790509259259</v>
      </c>
      <c r="X57" s="46" t="str">
        <f aca="false">LOOKUP($M57,Lists!$G$2:$G$5,Lists!$H$2:$H$5)</f>
        <v>₹1,000 - 1,499</v>
      </c>
      <c r="Y57" s="46" t="str">
        <f aca="false">LOOKUP($W57,Lists!$I$2:$I$7,Lists!$J$2:$J$7)</f>
        <v>4 - 6 days</v>
      </c>
    </row>
    <row r="58" customFormat="false" ht="15" hidden="false" customHeight="false" outlineLevel="0" collapsed="false">
      <c r="A58" s="7" t="n">
        <v>57</v>
      </c>
      <c r="B58" s="7" t="s">
        <v>366</v>
      </c>
      <c r="C58" s="7" t="n">
        <v>35</v>
      </c>
      <c r="D58" s="7" t="n">
        <v>5</v>
      </c>
      <c r="E58" s="77" t="n">
        <v>44983</v>
      </c>
      <c r="F58" s="78" t="n">
        <v>0.333506944444445</v>
      </c>
      <c r="G58" s="77" t="n">
        <v>44991</v>
      </c>
      <c r="H58" s="78" t="n">
        <v>0.51912037037037</v>
      </c>
      <c r="I58" s="7" t="s">
        <v>132</v>
      </c>
      <c r="J58" s="7" t="s">
        <v>33</v>
      </c>
      <c r="K58" s="79" t="str">
        <f aca="false">INDEX(Products!$B$2:$B$71,MATCH($C58,Products!$A$2:$A$71,0))</f>
        <v>Nam Gift</v>
      </c>
      <c r="L58" s="79" t="str">
        <f aca="false">INDEX(Products!$C$2:$C$71,MATCH($C58,Products!$A$2:$A$71,0))</f>
        <v>Colors</v>
      </c>
      <c r="M58" s="80" t="n">
        <f aca="false">INDEX(Products!$D$2:$D$71,MATCH($C58,Products!$A$2:$A$71,0))</f>
        <v>1865</v>
      </c>
      <c r="N58" s="80" t="n">
        <f aca="false">$D58*$M58</f>
        <v>9325</v>
      </c>
      <c r="O58" s="79" t="str">
        <f aca="false">INDEX(Customers!$C$2:$C$101,MATCH($B58,Customers!$A$2:$A$101,0))</f>
        <v>Anantapuram</v>
      </c>
      <c r="P58" s="79" t="str">
        <f aca="false">INDEX(Customers!$F$2:$F$101,MATCH($B58,Customers!$A$2:$A$101,0))</f>
        <v>Female</v>
      </c>
      <c r="Q58" s="79" t="str">
        <f aca="false">INDEX(Customers!$B$2:$B$101,MATCH($B58,Customers!$A$2:$A$101,0))</f>
        <v>Drishya De</v>
      </c>
      <c r="R58" s="79" t="n">
        <f aca="false">MONTH($E58)</f>
        <v>2</v>
      </c>
      <c r="S58" s="79" t="str">
        <f aca="false">INDEX(Lists!$B$2:$B$13,$R58)</f>
        <v>February</v>
      </c>
      <c r="T58" s="79" t="n">
        <f aca="false">HOUR($F58)</f>
        <v>8</v>
      </c>
      <c r="U58" s="79" t="n">
        <f aca="false">WEEKDAY($E58,2)</f>
        <v>7</v>
      </c>
      <c r="V58" s="79" t="str">
        <f aca="false">INDEX(Lists!$F$2:$F$8,$U58)</f>
        <v>Sunday</v>
      </c>
      <c r="W58" s="81" t="n">
        <f aca="false">($G58+$H58)-($E58+$F58)</f>
        <v>8.18561342592593</v>
      </c>
      <c r="X58" s="79" t="str">
        <f aca="false">LOOKUP($M58,Lists!$G$2:$G$5,Lists!$H$2:$H$5)</f>
        <v>₹1,500 - 2,000</v>
      </c>
      <c r="Y58" s="79" t="str">
        <f aca="false">LOOKUP($W58,Lists!$I$2:$I$7,Lists!$J$2:$J$7)</f>
        <v>8 - 10 days</v>
      </c>
    </row>
    <row r="59" customFormat="false" ht="15" hidden="false" customHeight="false" outlineLevel="0" collapsed="false">
      <c r="A59" s="2" t="n">
        <v>58</v>
      </c>
      <c r="B59" s="2" t="s">
        <v>331</v>
      </c>
      <c r="C59" s="2" t="n">
        <v>36</v>
      </c>
      <c r="D59" s="2" t="n">
        <v>1</v>
      </c>
      <c r="E59" s="82" t="n">
        <v>44932</v>
      </c>
      <c r="F59" s="83" t="n">
        <v>0.119097222222222</v>
      </c>
      <c r="G59" s="82" t="n">
        <v>44941</v>
      </c>
      <c r="H59" s="83" t="n">
        <v>0.351597222222222</v>
      </c>
      <c r="I59" s="2" t="s">
        <v>169</v>
      </c>
      <c r="J59" s="2" t="s">
        <v>31</v>
      </c>
      <c r="K59" s="46" t="str">
        <f aca="false">INDEX(Products!$B$2:$B$71,MATCH($C59,Products!$A$2:$A$71,0))</f>
        <v>Cum Gift</v>
      </c>
      <c r="L59" s="46" t="str">
        <f aca="false">INDEX(Products!$C$2:$C$71,MATCH($C59,Products!$A$2:$A$71,0))</f>
        <v>Plants</v>
      </c>
      <c r="M59" s="84" t="n">
        <f aca="false">INDEX(Products!$D$2:$D$71,MATCH($C59,Products!$A$2:$A$71,0))</f>
        <v>203</v>
      </c>
      <c r="N59" s="84" t="n">
        <f aca="false">$D59*$M59</f>
        <v>203</v>
      </c>
      <c r="O59" s="46" t="str">
        <f aca="false">INDEX(Customers!$C$2:$C$101,MATCH($B59,Customers!$A$2:$A$101,0))</f>
        <v>Panchkula</v>
      </c>
      <c r="P59" s="46" t="str">
        <f aca="false">INDEX(Customers!$F$2:$F$101,MATCH($B59,Customers!$A$2:$A$101,0))</f>
        <v>Female</v>
      </c>
      <c r="Q59" s="46" t="str">
        <f aca="false">INDEX(Customers!$B$2:$B$101,MATCH($B59,Customers!$A$2:$A$101,0))</f>
        <v>Gokul Ahluwalia</v>
      </c>
      <c r="R59" s="46" t="n">
        <f aca="false">MONTH($E59)</f>
        <v>1</v>
      </c>
      <c r="S59" s="46" t="str">
        <f aca="false">INDEX(Lists!$B$2:$B$13,$R59)</f>
        <v>January</v>
      </c>
      <c r="T59" s="46" t="n">
        <f aca="false">HOUR($F59)</f>
        <v>2</v>
      </c>
      <c r="U59" s="46" t="n">
        <f aca="false">WEEKDAY($E59,2)</f>
        <v>5</v>
      </c>
      <c r="V59" s="46" t="str">
        <f aca="false">INDEX(Lists!$F$2:$F$8,$U59)</f>
        <v>Friday</v>
      </c>
      <c r="W59" s="85" t="n">
        <f aca="false">($G59+$H59)-($E59+$F59)</f>
        <v>9.2325</v>
      </c>
      <c r="X59" s="46" t="str">
        <f aca="false">LOOKUP($M59,Lists!$G$2:$G$5,Lists!$H$2:$H$5)</f>
        <v>₹0 - 499</v>
      </c>
      <c r="Y59" s="46" t="str">
        <f aca="false">LOOKUP($W59,Lists!$I$2:$I$7,Lists!$J$2:$J$7)</f>
        <v>8 - 10 days</v>
      </c>
    </row>
    <row r="60" customFormat="false" ht="15" hidden="false" customHeight="false" outlineLevel="0" collapsed="false">
      <c r="A60" s="7" t="n">
        <v>59</v>
      </c>
      <c r="B60" s="7" t="s">
        <v>227</v>
      </c>
      <c r="C60" s="7" t="n">
        <v>51</v>
      </c>
      <c r="D60" s="7" t="n">
        <v>5</v>
      </c>
      <c r="E60" s="77" t="n">
        <v>45103</v>
      </c>
      <c r="F60" s="78" t="n">
        <v>0.1640625</v>
      </c>
      <c r="G60" s="77" t="n">
        <v>45105</v>
      </c>
      <c r="H60" s="78" t="n">
        <v>0.840324074074074</v>
      </c>
      <c r="I60" s="7" t="s">
        <v>587</v>
      </c>
      <c r="J60" s="7" t="s">
        <v>165</v>
      </c>
      <c r="K60" s="79" t="str">
        <f aca="false">INDEX(Products!$B$2:$B$71,MATCH($C60,Products!$A$2:$A$71,0))</f>
        <v>Fugit Set</v>
      </c>
      <c r="L60" s="79" t="str">
        <f aca="false">INDEX(Products!$C$2:$C$71,MATCH($C60,Products!$A$2:$A$71,0))</f>
        <v>Soft Toys</v>
      </c>
      <c r="M60" s="80" t="n">
        <f aca="false">INDEX(Products!$D$2:$D$71,MATCH($C60,Products!$A$2:$A$71,0))</f>
        <v>1084</v>
      </c>
      <c r="N60" s="80" t="n">
        <f aca="false">$D60*$M60</f>
        <v>5420</v>
      </c>
      <c r="O60" s="79" t="str">
        <f aca="false">INDEX(Customers!$C$2:$C$101,MATCH($B60,Customers!$A$2:$A$101,0))</f>
        <v>Karaikudi</v>
      </c>
      <c r="P60" s="79" t="str">
        <f aca="false">INDEX(Customers!$F$2:$F$101,MATCH($B60,Customers!$A$2:$A$101,0))</f>
        <v>Male</v>
      </c>
      <c r="Q60" s="79" t="str">
        <f aca="false">INDEX(Customers!$B$2:$B$101,MATCH($B60,Customers!$A$2:$A$101,0))</f>
        <v>Rati Dhingra</v>
      </c>
      <c r="R60" s="79" t="n">
        <f aca="false">MONTH($E60)</f>
        <v>6</v>
      </c>
      <c r="S60" s="79" t="str">
        <f aca="false">INDEX(Lists!$B$2:$B$13,$R60)</f>
        <v>June</v>
      </c>
      <c r="T60" s="79" t="n">
        <f aca="false">HOUR($F60)</f>
        <v>3</v>
      </c>
      <c r="U60" s="79" t="n">
        <f aca="false">WEEKDAY($E60,2)</f>
        <v>1</v>
      </c>
      <c r="V60" s="79" t="str">
        <f aca="false">INDEX(Lists!$F$2:$F$8,$U60)</f>
        <v>Monday</v>
      </c>
      <c r="W60" s="81" t="n">
        <f aca="false">($G60+$H60)-($E60+$F60)</f>
        <v>2.67626157407407</v>
      </c>
      <c r="X60" s="79" t="str">
        <f aca="false">LOOKUP($M60,Lists!$G$2:$G$5,Lists!$H$2:$H$5)</f>
        <v>₹1,000 - 1,499</v>
      </c>
      <c r="Y60" s="79" t="str">
        <f aca="false">LOOKUP($W60,Lists!$I$2:$I$7,Lists!$J$2:$J$7)</f>
        <v>2 - 4 days</v>
      </c>
    </row>
    <row r="61" customFormat="false" ht="15" hidden="false" customHeight="false" outlineLevel="0" collapsed="false">
      <c r="A61" s="2" t="n">
        <v>60</v>
      </c>
      <c r="B61" s="2" t="s">
        <v>183</v>
      </c>
      <c r="C61" s="2" t="n">
        <v>5</v>
      </c>
      <c r="D61" s="2" t="n">
        <v>2</v>
      </c>
      <c r="E61" s="82" t="n">
        <v>45273</v>
      </c>
      <c r="F61" s="83" t="n">
        <v>0.282465277777778</v>
      </c>
      <c r="G61" s="82" t="n">
        <v>45275</v>
      </c>
      <c r="H61" s="83" t="n">
        <v>0.544398148148148</v>
      </c>
      <c r="I61" s="2" t="s">
        <v>321</v>
      </c>
      <c r="J61" s="2" t="s">
        <v>165</v>
      </c>
      <c r="K61" s="46" t="str">
        <f aca="false">INDEX(Products!$B$2:$B$71,MATCH($C61,Products!$A$2:$A$71,0))</f>
        <v>Natus Gift</v>
      </c>
      <c r="L61" s="46" t="str">
        <f aca="false">INDEX(Products!$C$2:$C$71,MATCH($C61,Products!$A$2:$A$71,0))</f>
        <v>Colors</v>
      </c>
      <c r="M61" s="84" t="n">
        <f aca="false">INDEX(Products!$D$2:$D$71,MATCH($C61,Products!$A$2:$A$71,0))</f>
        <v>1444</v>
      </c>
      <c r="N61" s="84" t="n">
        <f aca="false">$D61*$M61</f>
        <v>2888</v>
      </c>
      <c r="O61" s="46" t="str">
        <f aca="false">INDEX(Customers!$C$2:$C$101,MATCH($B61,Customers!$A$2:$A$101,0))</f>
        <v>Bidhannagar</v>
      </c>
      <c r="P61" s="46" t="str">
        <f aca="false">INDEX(Customers!$F$2:$F$101,MATCH($B61,Customers!$A$2:$A$101,0))</f>
        <v>Male</v>
      </c>
      <c r="Q61" s="46" t="str">
        <f aca="false">INDEX(Customers!$B$2:$B$101,MATCH($B61,Customers!$A$2:$A$101,0))</f>
        <v>Abram Sandhu</v>
      </c>
      <c r="R61" s="46" t="n">
        <f aca="false">MONTH($E61)</f>
        <v>12</v>
      </c>
      <c r="S61" s="46" t="str">
        <f aca="false">INDEX(Lists!$B$2:$B$13,$R61)</f>
        <v>December</v>
      </c>
      <c r="T61" s="46" t="n">
        <f aca="false">HOUR($F61)</f>
        <v>6</v>
      </c>
      <c r="U61" s="46" t="n">
        <f aca="false">WEEKDAY($E61,2)</f>
        <v>3</v>
      </c>
      <c r="V61" s="46" t="str">
        <f aca="false">INDEX(Lists!$F$2:$F$8,$U61)</f>
        <v>Wednesday</v>
      </c>
      <c r="W61" s="85" t="n">
        <f aca="false">($G61+$H61)-($E61+$F61)</f>
        <v>2.26193287037037</v>
      </c>
      <c r="X61" s="46" t="str">
        <f aca="false">LOOKUP($M61,Lists!$G$2:$G$5,Lists!$H$2:$H$5)</f>
        <v>₹1,000 - 1,499</v>
      </c>
      <c r="Y61" s="46" t="str">
        <f aca="false">LOOKUP($W61,Lists!$I$2:$I$7,Lists!$J$2:$J$7)</f>
        <v>2 - 4 days</v>
      </c>
    </row>
    <row r="62" customFormat="false" ht="15" hidden="false" customHeight="false" outlineLevel="0" collapsed="false">
      <c r="A62" s="7" t="n">
        <v>61</v>
      </c>
      <c r="B62" s="7" t="s">
        <v>278</v>
      </c>
      <c r="C62" s="7" t="n">
        <v>44</v>
      </c>
      <c r="D62" s="7" t="n">
        <v>2</v>
      </c>
      <c r="E62" s="77" t="n">
        <v>45238</v>
      </c>
      <c r="F62" s="78" t="n">
        <v>0.935011574074074</v>
      </c>
      <c r="G62" s="77" t="n">
        <v>45240</v>
      </c>
      <c r="H62" s="78" t="n">
        <v>0.339247685185185</v>
      </c>
      <c r="I62" s="7" t="s">
        <v>520</v>
      </c>
      <c r="J62" s="7" t="s">
        <v>32</v>
      </c>
      <c r="K62" s="79" t="str">
        <f aca="false">INDEX(Products!$B$2:$B$71,MATCH($C62,Products!$A$2:$A$71,0))</f>
        <v>Dolorum Set</v>
      </c>
      <c r="L62" s="79" t="str">
        <f aca="false">INDEX(Products!$C$2:$C$71,MATCH($C62,Products!$A$2:$A$71,0))</f>
        <v>Plants</v>
      </c>
      <c r="M62" s="80" t="n">
        <f aca="false">INDEX(Products!$D$2:$D$71,MATCH($C62,Products!$A$2:$A$71,0))</f>
        <v>794</v>
      </c>
      <c r="N62" s="80" t="n">
        <f aca="false">$D62*$M62</f>
        <v>1588</v>
      </c>
      <c r="O62" s="79" t="str">
        <f aca="false">INDEX(Customers!$C$2:$C$101,MATCH($B62,Customers!$A$2:$A$101,0))</f>
        <v>Guntakal</v>
      </c>
      <c r="P62" s="79" t="str">
        <f aca="false">INDEX(Customers!$F$2:$F$101,MATCH($B62,Customers!$A$2:$A$101,0))</f>
        <v>Male</v>
      </c>
      <c r="Q62" s="79" t="str">
        <f aca="false">INDEX(Customers!$B$2:$B$101,MATCH($B62,Customers!$A$2:$A$101,0))</f>
        <v>Charvi Kanda</v>
      </c>
      <c r="R62" s="79" t="n">
        <f aca="false">MONTH($E62)</f>
        <v>11</v>
      </c>
      <c r="S62" s="79" t="str">
        <f aca="false">INDEX(Lists!$B$2:$B$13,$R62)</f>
        <v>November</v>
      </c>
      <c r="T62" s="79" t="n">
        <f aca="false">HOUR($F62)</f>
        <v>22</v>
      </c>
      <c r="U62" s="79" t="n">
        <f aca="false">WEEKDAY($E62,2)</f>
        <v>3</v>
      </c>
      <c r="V62" s="79" t="str">
        <f aca="false">INDEX(Lists!$F$2:$F$8,$U62)</f>
        <v>Wednesday</v>
      </c>
      <c r="W62" s="81" t="n">
        <f aca="false">($G62+$H62)-($E62+$F62)</f>
        <v>1.40423611111111</v>
      </c>
      <c r="X62" s="79" t="str">
        <f aca="false">LOOKUP($M62,Lists!$G$2:$G$5,Lists!$H$2:$H$5)</f>
        <v>₹500 - 999</v>
      </c>
      <c r="Y62" s="79" t="str">
        <f aca="false">LOOKUP($W62,Lists!$I$2:$I$7,Lists!$J$2:$J$7)</f>
        <v>0 - 2 days</v>
      </c>
    </row>
    <row r="63" customFormat="false" ht="15" hidden="false" customHeight="false" outlineLevel="0" collapsed="false">
      <c r="A63" s="2" t="n">
        <v>62</v>
      </c>
      <c r="B63" s="2" t="s">
        <v>322</v>
      </c>
      <c r="C63" s="2" t="n">
        <v>6</v>
      </c>
      <c r="D63" s="2" t="n">
        <v>4</v>
      </c>
      <c r="E63" s="82" t="n">
        <v>44987</v>
      </c>
      <c r="F63" s="83" t="n">
        <v>0.646423611111111</v>
      </c>
      <c r="G63" s="82" t="n">
        <v>44991</v>
      </c>
      <c r="H63" s="83" t="n">
        <v>0.994212962962963</v>
      </c>
      <c r="I63" s="2" t="s">
        <v>442</v>
      </c>
      <c r="J63" s="2" t="s">
        <v>33</v>
      </c>
      <c r="K63" s="46" t="str">
        <f aca="false">INDEX(Products!$B$2:$B$71,MATCH($C63,Products!$A$2:$A$71,0))</f>
        <v>Quos Box</v>
      </c>
      <c r="L63" s="46" t="str">
        <f aca="false">INDEX(Products!$C$2:$C$71,MATCH($C63,Products!$A$2:$A$71,0))</f>
        <v>Cake</v>
      </c>
      <c r="M63" s="84" t="n">
        <f aca="false">INDEX(Products!$D$2:$D$71,MATCH($C63,Products!$A$2:$A$71,0))</f>
        <v>1112</v>
      </c>
      <c r="N63" s="84" t="n">
        <f aca="false">$D63*$M63</f>
        <v>4448</v>
      </c>
      <c r="O63" s="46" t="str">
        <f aca="false">INDEX(Customers!$C$2:$C$101,MATCH($B63,Customers!$A$2:$A$101,0))</f>
        <v>Sultan Pur Majra</v>
      </c>
      <c r="P63" s="46" t="str">
        <f aca="false">INDEX(Customers!$F$2:$F$101,MATCH($B63,Customers!$A$2:$A$101,0))</f>
        <v>Female</v>
      </c>
      <c r="Q63" s="46" t="str">
        <f aca="false">INDEX(Customers!$B$2:$B$101,MATCH($B63,Customers!$A$2:$A$101,0))</f>
        <v>Vanya Apte</v>
      </c>
      <c r="R63" s="46" t="n">
        <f aca="false">MONTH($E63)</f>
        <v>3</v>
      </c>
      <c r="S63" s="46" t="str">
        <f aca="false">INDEX(Lists!$B$2:$B$13,$R63)</f>
        <v>March</v>
      </c>
      <c r="T63" s="46" t="n">
        <f aca="false">HOUR($F63)</f>
        <v>15</v>
      </c>
      <c r="U63" s="46" t="n">
        <f aca="false">WEEKDAY($E63,2)</f>
        <v>4</v>
      </c>
      <c r="V63" s="46" t="str">
        <f aca="false">INDEX(Lists!$F$2:$F$8,$U63)</f>
        <v>Thursday</v>
      </c>
      <c r="W63" s="85" t="n">
        <f aca="false">($G63+$H63)-($E63+$F63)</f>
        <v>4.34778935185185</v>
      </c>
      <c r="X63" s="46" t="str">
        <f aca="false">LOOKUP($M63,Lists!$G$2:$G$5,Lists!$H$2:$H$5)</f>
        <v>₹1,000 - 1,499</v>
      </c>
      <c r="Y63" s="46" t="str">
        <f aca="false">LOOKUP($W63,Lists!$I$2:$I$7,Lists!$J$2:$J$7)</f>
        <v>4 - 6 days</v>
      </c>
    </row>
    <row r="64" customFormat="false" ht="15" hidden="false" customHeight="false" outlineLevel="0" collapsed="false">
      <c r="A64" s="7" t="n">
        <v>63</v>
      </c>
      <c r="B64" s="7" t="s">
        <v>272</v>
      </c>
      <c r="C64" s="7" t="n">
        <v>42</v>
      </c>
      <c r="D64" s="7" t="n">
        <v>3</v>
      </c>
      <c r="E64" s="77" t="n">
        <v>45102</v>
      </c>
      <c r="F64" s="78" t="n">
        <v>0.265717592592593</v>
      </c>
      <c r="G64" s="77" t="n">
        <v>45103</v>
      </c>
      <c r="H64" s="78" t="n">
        <v>0.652824074074074</v>
      </c>
      <c r="I64" s="7" t="s">
        <v>496</v>
      </c>
      <c r="J64" s="7" t="s">
        <v>165</v>
      </c>
      <c r="K64" s="79" t="str">
        <f aca="false">INDEX(Products!$B$2:$B$71,MATCH($C64,Products!$A$2:$A$71,0))</f>
        <v>Expedita Gift</v>
      </c>
      <c r="L64" s="79" t="str">
        <f aca="false">INDEX(Products!$C$2:$C$71,MATCH($C64,Products!$A$2:$A$71,0))</f>
        <v>Sweets</v>
      </c>
      <c r="M64" s="80" t="n">
        <f aca="false">INDEX(Products!$D$2:$D$71,MATCH($C64,Products!$A$2:$A$71,0))</f>
        <v>1744</v>
      </c>
      <c r="N64" s="80" t="n">
        <f aca="false">$D64*$M64</f>
        <v>5232</v>
      </c>
      <c r="O64" s="79" t="str">
        <f aca="false">INDEX(Customers!$C$2:$C$101,MATCH($B64,Customers!$A$2:$A$101,0))</f>
        <v>Haridwar</v>
      </c>
      <c r="P64" s="79" t="str">
        <f aca="false">INDEX(Customers!$F$2:$F$101,MATCH($B64,Customers!$A$2:$A$101,0))</f>
        <v>Male</v>
      </c>
      <c r="Q64" s="79" t="str">
        <f aca="false">INDEX(Customers!$B$2:$B$101,MATCH($B64,Customers!$A$2:$A$101,0))</f>
        <v>Pihu Choudhury</v>
      </c>
      <c r="R64" s="79" t="n">
        <f aca="false">MONTH($E64)</f>
        <v>6</v>
      </c>
      <c r="S64" s="79" t="str">
        <f aca="false">INDEX(Lists!$B$2:$B$13,$R64)</f>
        <v>June</v>
      </c>
      <c r="T64" s="79" t="n">
        <f aca="false">HOUR($F64)</f>
        <v>6</v>
      </c>
      <c r="U64" s="79" t="n">
        <f aca="false">WEEKDAY($E64,2)</f>
        <v>7</v>
      </c>
      <c r="V64" s="79" t="str">
        <f aca="false">INDEX(Lists!$F$2:$F$8,$U64)</f>
        <v>Sunday</v>
      </c>
      <c r="W64" s="81" t="n">
        <f aca="false">($G64+$H64)-($E64+$F64)</f>
        <v>1.38710648148148</v>
      </c>
      <c r="X64" s="79" t="str">
        <f aca="false">LOOKUP($M64,Lists!$G$2:$G$5,Lists!$H$2:$H$5)</f>
        <v>₹1,500 - 2,000</v>
      </c>
      <c r="Y64" s="79" t="str">
        <f aca="false">LOOKUP($W64,Lists!$I$2:$I$7,Lists!$J$2:$J$7)</f>
        <v>0 - 2 days</v>
      </c>
    </row>
    <row r="65" customFormat="false" ht="15" hidden="false" customHeight="false" outlineLevel="0" collapsed="false">
      <c r="A65" s="2" t="n">
        <v>64</v>
      </c>
      <c r="B65" s="2" t="s">
        <v>164</v>
      </c>
      <c r="C65" s="2" t="n">
        <v>25</v>
      </c>
      <c r="D65" s="2" t="n">
        <v>1</v>
      </c>
      <c r="E65" s="82" t="n">
        <v>45089</v>
      </c>
      <c r="F65" s="83" t="n">
        <v>0.117118055555556</v>
      </c>
      <c r="G65" s="82" t="n">
        <v>45092</v>
      </c>
      <c r="H65" s="83" t="n">
        <v>0.920613425925926</v>
      </c>
      <c r="I65" s="2" t="s">
        <v>312</v>
      </c>
      <c r="J65" s="2" t="s">
        <v>168</v>
      </c>
      <c r="K65" s="46" t="str">
        <f aca="false">INDEX(Products!$B$2:$B$71,MATCH($C65,Products!$A$2:$A$71,0))</f>
        <v>Qui Gift</v>
      </c>
      <c r="L65" s="46" t="str">
        <f aca="false">INDEX(Products!$C$2:$C$71,MATCH($C65,Products!$A$2:$A$71,0))</f>
        <v>Plants</v>
      </c>
      <c r="M65" s="84" t="n">
        <f aca="false">INDEX(Products!$D$2:$D$71,MATCH($C65,Products!$A$2:$A$71,0))</f>
        <v>1202</v>
      </c>
      <c r="N65" s="84" t="n">
        <f aca="false">$D65*$M65</f>
        <v>1202</v>
      </c>
      <c r="O65" s="46" t="str">
        <f aca="false">INDEX(Customers!$C$2:$C$101,MATCH($B65,Customers!$A$2:$A$101,0))</f>
        <v>Kolkata</v>
      </c>
      <c r="P65" s="46" t="str">
        <f aca="false">INDEX(Customers!$F$2:$F$101,MATCH($B65,Customers!$A$2:$A$101,0))</f>
        <v>Female</v>
      </c>
      <c r="Q65" s="46" t="str">
        <f aca="false">INDEX(Customers!$B$2:$B$101,MATCH($B65,Customers!$A$2:$A$101,0))</f>
        <v>Romil Bajwa</v>
      </c>
      <c r="R65" s="46" t="n">
        <f aca="false">MONTH($E65)</f>
        <v>6</v>
      </c>
      <c r="S65" s="46" t="str">
        <f aca="false">INDEX(Lists!$B$2:$B$13,$R65)</f>
        <v>June</v>
      </c>
      <c r="T65" s="46" t="n">
        <f aca="false">HOUR($F65)</f>
        <v>2</v>
      </c>
      <c r="U65" s="46" t="n">
        <f aca="false">WEEKDAY($E65,2)</f>
        <v>1</v>
      </c>
      <c r="V65" s="46" t="str">
        <f aca="false">INDEX(Lists!$F$2:$F$8,$U65)</f>
        <v>Monday</v>
      </c>
      <c r="W65" s="85" t="n">
        <f aca="false">($G65+$H65)-($E65+$F65)</f>
        <v>3.80349537037037</v>
      </c>
      <c r="X65" s="46" t="str">
        <f aca="false">LOOKUP($M65,Lists!$G$2:$G$5,Lists!$H$2:$H$5)</f>
        <v>₹1,000 - 1,499</v>
      </c>
      <c r="Y65" s="46" t="str">
        <f aca="false">LOOKUP($W65,Lists!$I$2:$I$7,Lists!$J$2:$J$7)</f>
        <v>2 - 4 days</v>
      </c>
    </row>
    <row r="66" customFormat="false" ht="15" hidden="false" customHeight="false" outlineLevel="0" collapsed="false">
      <c r="A66" s="7" t="n">
        <v>65</v>
      </c>
      <c r="B66" s="7" t="s">
        <v>204</v>
      </c>
      <c r="C66" s="7" t="n">
        <v>54</v>
      </c>
      <c r="D66" s="7" t="n">
        <v>2</v>
      </c>
      <c r="E66" s="77" t="n">
        <v>45170</v>
      </c>
      <c r="F66" s="78" t="n">
        <v>0.54337962962963</v>
      </c>
      <c r="G66" s="77" t="n">
        <v>45180</v>
      </c>
      <c r="H66" s="78" t="n">
        <v>0.273518518518519</v>
      </c>
      <c r="I66" s="7" t="s">
        <v>220</v>
      </c>
      <c r="J66" s="7" t="s">
        <v>168</v>
      </c>
      <c r="K66" s="79" t="str">
        <f aca="false">INDEX(Products!$B$2:$B$71,MATCH($C66,Products!$A$2:$A$71,0))</f>
        <v>Occaecati Gift</v>
      </c>
      <c r="L66" s="79" t="str">
        <f aca="false">INDEX(Products!$C$2:$C$71,MATCH($C66,Products!$A$2:$A$71,0))</f>
        <v>Cake</v>
      </c>
      <c r="M66" s="80" t="n">
        <f aca="false">INDEX(Products!$D$2:$D$71,MATCH($C66,Products!$A$2:$A$71,0))</f>
        <v>1236</v>
      </c>
      <c r="N66" s="80" t="n">
        <f aca="false">$D66*$M66</f>
        <v>2472</v>
      </c>
      <c r="O66" s="79" t="str">
        <f aca="false">INDEX(Customers!$C$2:$C$101,MATCH($B66,Customers!$A$2:$A$101,0))</f>
        <v>Indore</v>
      </c>
      <c r="P66" s="79" t="str">
        <f aca="false">INDEX(Customers!$F$2:$F$101,MATCH($B66,Customers!$A$2:$A$101,0))</f>
        <v>Female</v>
      </c>
      <c r="Q66" s="79" t="str">
        <f aca="false">INDEX(Customers!$B$2:$B$101,MATCH($B66,Customers!$A$2:$A$101,0))</f>
        <v>Suhana Kurian</v>
      </c>
      <c r="R66" s="79" t="n">
        <f aca="false">MONTH($E66)</f>
        <v>9</v>
      </c>
      <c r="S66" s="79" t="str">
        <f aca="false">INDEX(Lists!$B$2:$B$13,$R66)</f>
        <v>September</v>
      </c>
      <c r="T66" s="79" t="n">
        <f aca="false">HOUR($F66)</f>
        <v>13</v>
      </c>
      <c r="U66" s="79" t="n">
        <f aca="false">WEEKDAY($E66,2)</f>
        <v>5</v>
      </c>
      <c r="V66" s="79" t="str">
        <f aca="false">INDEX(Lists!$F$2:$F$8,$U66)</f>
        <v>Friday</v>
      </c>
      <c r="W66" s="81" t="n">
        <f aca="false">($G66+$H66)-($E66+$F66)</f>
        <v>9.73013888888889</v>
      </c>
      <c r="X66" s="79" t="str">
        <f aca="false">LOOKUP($M66,Lists!$G$2:$G$5,Lists!$H$2:$H$5)</f>
        <v>₹1,000 - 1,499</v>
      </c>
      <c r="Y66" s="79" t="str">
        <f aca="false">LOOKUP($W66,Lists!$I$2:$I$7,Lists!$J$2:$J$7)</f>
        <v>8 - 10 days</v>
      </c>
    </row>
    <row r="67" customFormat="false" ht="15" hidden="false" customHeight="false" outlineLevel="0" collapsed="false">
      <c r="A67" s="2" t="n">
        <v>66</v>
      </c>
      <c r="B67" s="2" t="s">
        <v>170</v>
      </c>
      <c r="C67" s="2" t="n">
        <v>35</v>
      </c>
      <c r="D67" s="2" t="n">
        <v>5</v>
      </c>
      <c r="E67" s="82" t="n">
        <v>44983</v>
      </c>
      <c r="F67" s="83" t="n">
        <v>0.875509259259259</v>
      </c>
      <c r="G67" s="82" t="n">
        <v>44984</v>
      </c>
      <c r="H67" s="83" t="n">
        <v>0.268032407407407</v>
      </c>
      <c r="I67" s="2" t="s">
        <v>496</v>
      </c>
      <c r="J67" s="2" t="s">
        <v>33</v>
      </c>
      <c r="K67" s="46" t="str">
        <f aca="false">INDEX(Products!$B$2:$B$71,MATCH($C67,Products!$A$2:$A$71,0))</f>
        <v>Nam Gift</v>
      </c>
      <c r="L67" s="46" t="str">
        <f aca="false">INDEX(Products!$C$2:$C$71,MATCH($C67,Products!$A$2:$A$71,0))</f>
        <v>Colors</v>
      </c>
      <c r="M67" s="84" t="n">
        <f aca="false">INDEX(Products!$D$2:$D$71,MATCH($C67,Products!$A$2:$A$71,0))</f>
        <v>1865</v>
      </c>
      <c r="N67" s="84" t="n">
        <f aca="false">$D67*$M67</f>
        <v>9325</v>
      </c>
      <c r="O67" s="46" t="str">
        <f aca="false">INDEX(Customers!$C$2:$C$101,MATCH($B67,Customers!$A$2:$A$101,0))</f>
        <v>Gangtok</v>
      </c>
      <c r="P67" s="46" t="str">
        <f aca="false">INDEX(Customers!$F$2:$F$101,MATCH($B67,Customers!$A$2:$A$101,0))</f>
        <v>Male</v>
      </c>
      <c r="Q67" s="46" t="str">
        <f aca="false">INDEX(Customers!$B$2:$B$101,MATCH($B67,Customers!$A$2:$A$101,0))</f>
        <v>Advika Dhar</v>
      </c>
      <c r="R67" s="46" t="n">
        <f aca="false">MONTH($E67)</f>
        <v>2</v>
      </c>
      <c r="S67" s="46" t="str">
        <f aca="false">INDEX(Lists!$B$2:$B$13,$R67)</f>
        <v>February</v>
      </c>
      <c r="T67" s="46" t="n">
        <f aca="false">HOUR($F67)</f>
        <v>21</v>
      </c>
      <c r="U67" s="46" t="n">
        <f aca="false">WEEKDAY($E67,2)</f>
        <v>7</v>
      </c>
      <c r="V67" s="46" t="str">
        <f aca="false">INDEX(Lists!$F$2:$F$8,$U67)</f>
        <v>Sunday</v>
      </c>
      <c r="W67" s="85" t="n">
        <f aca="false">($G67+$H67)-($E67+$F67)</f>
        <v>0.392523148148148</v>
      </c>
      <c r="X67" s="46" t="str">
        <f aca="false">LOOKUP($M67,Lists!$G$2:$G$5,Lists!$H$2:$H$5)</f>
        <v>₹1,500 - 2,000</v>
      </c>
      <c r="Y67" s="46" t="str">
        <f aca="false">LOOKUP($W67,Lists!$I$2:$I$7,Lists!$J$2:$J$7)</f>
        <v>0 - 2 days</v>
      </c>
    </row>
    <row r="68" customFormat="false" ht="15" hidden="false" customHeight="false" outlineLevel="0" collapsed="false">
      <c r="A68" s="7" t="n">
        <v>67</v>
      </c>
      <c r="B68" s="7" t="s">
        <v>245</v>
      </c>
      <c r="C68" s="7" t="n">
        <v>10</v>
      </c>
      <c r="D68" s="7" t="n">
        <v>2</v>
      </c>
      <c r="E68" s="77" t="n">
        <v>45113</v>
      </c>
      <c r="F68" s="78" t="n">
        <v>0.728020833333333</v>
      </c>
      <c r="G68" s="77" t="n">
        <v>45121</v>
      </c>
      <c r="H68" s="78" t="n">
        <v>0.882650462962963</v>
      </c>
      <c r="I68" s="7" t="s">
        <v>589</v>
      </c>
      <c r="J68" s="7" t="s">
        <v>31</v>
      </c>
      <c r="K68" s="79" t="str">
        <f aca="false">INDEX(Products!$B$2:$B$71,MATCH($C68,Products!$A$2:$A$71,0))</f>
        <v>Accusantium Gift</v>
      </c>
      <c r="L68" s="79" t="str">
        <f aca="false">INDEX(Products!$C$2:$C$71,MATCH($C68,Products!$A$2:$A$71,0))</f>
        <v>Cake</v>
      </c>
      <c r="M68" s="80" t="n">
        <f aca="false">INDEX(Products!$D$2:$D$71,MATCH($C68,Products!$A$2:$A$71,0))</f>
        <v>259</v>
      </c>
      <c r="N68" s="80" t="n">
        <f aca="false">$D68*$M68</f>
        <v>518</v>
      </c>
      <c r="O68" s="79" t="str">
        <f aca="false">INDEX(Customers!$C$2:$C$101,MATCH($B68,Customers!$A$2:$A$101,0))</f>
        <v>Jorhat</v>
      </c>
      <c r="P68" s="79" t="str">
        <f aca="false">INDEX(Customers!$F$2:$F$101,MATCH($B68,Customers!$A$2:$A$101,0))</f>
        <v>Male</v>
      </c>
      <c r="Q68" s="79" t="str">
        <f aca="false">INDEX(Customers!$B$2:$B$101,MATCH($B68,Customers!$A$2:$A$101,0))</f>
        <v>Bhamini Ravi</v>
      </c>
      <c r="R68" s="79" t="n">
        <f aca="false">MONTH($E68)</f>
        <v>7</v>
      </c>
      <c r="S68" s="79" t="str">
        <f aca="false">INDEX(Lists!$B$2:$B$13,$R68)</f>
        <v>July</v>
      </c>
      <c r="T68" s="79" t="n">
        <f aca="false">HOUR($F68)</f>
        <v>17</v>
      </c>
      <c r="U68" s="79" t="n">
        <f aca="false">WEEKDAY($E68,2)</f>
        <v>4</v>
      </c>
      <c r="V68" s="79" t="str">
        <f aca="false">INDEX(Lists!$F$2:$F$8,$U68)</f>
        <v>Thursday</v>
      </c>
      <c r="W68" s="81" t="n">
        <f aca="false">($G68+$H68)-($E68+$F68)</f>
        <v>8.15462962962963</v>
      </c>
      <c r="X68" s="79" t="str">
        <f aca="false">LOOKUP($M68,Lists!$G$2:$G$5,Lists!$H$2:$H$5)</f>
        <v>₹0 - 499</v>
      </c>
      <c r="Y68" s="79" t="str">
        <f aca="false">LOOKUP($W68,Lists!$I$2:$I$7,Lists!$J$2:$J$7)</f>
        <v>8 - 10 days</v>
      </c>
    </row>
    <row r="69" customFormat="false" ht="15" hidden="false" customHeight="false" outlineLevel="0" collapsed="false">
      <c r="A69" s="2" t="n">
        <v>68</v>
      </c>
      <c r="B69" s="2" t="s">
        <v>254</v>
      </c>
      <c r="C69" s="2" t="n">
        <v>34</v>
      </c>
      <c r="D69" s="2" t="n">
        <v>4</v>
      </c>
      <c r="E69" s="82" t="n">
        <v>45163</v>
      </c>
      <c r="F69" s="83" t="n">
        <v>0.947199074074074</v>
      </c>
      <c r="G69" s="82" t="n">
        <v>45169</v>
      </c>
      <c r="H69" s="83" t="n">
        <v>0.896689814814815</v>
      </c>
      <c r="I69" s="2" t="s">
        <v>132</v>
      </c>
      <c r="J69" s="2" t="s">
        <v>40</v>
      </c>
      <c r="K69" s="46" t="str">
        <f aca="false">INDEX(Products!$B$2:$B$71,MATCH($C69,Products!$A$2:$A$71,0))</f>
        <v>Placeat Pack</v>
      </c>
      <c r="L69" s="46" t="str">
        <f aca="false">INDEX(Products!$C$2:$C$71,MATCH($C69,Products!$A$2:$A$71,0))</f>
        <v>Soft Toys</v>
      </c>
      <c r="M69" s="84" t="n">
        <f aca="false">INDEX(Products!$D$2:$D$71,MATCH($C69,Products!$A$2:$A$71,0))</f>
        <v>1335</v>
      </c>
      <c r="N69" s="84" t="n">
        <f aca="false">$D69*$M69</f>
        <v>5340</v>
      </c>
      <c r="O69" s="46" t="str">
        <f aca="false">INDEX(Customers!$C$2:$C$101,MATCH($B69,Customers!$A$2:$A$101,0))</f>
        <v>Imphal</v>
      </c>
      <c r="P69" s="46" t="str">
        <f aca="false">INDEX(Customers!$F$2:$F$101,MATCH($B69,Customers!$A$2:$A$101,0))</f>
        <v>Female</v>
      </c>
      <c r="Q69" s="46" t="str">
        <f aca="false">INDEX(Customers!$B$2:$B$101,MATCH($B69,Customers!$A$2:$A$101,0))</f>
        <v>Chirag Srinivas</v>
      </c>
      <c r="R69" s="46" t="n">
        <f aca="false">MONTH($E69)</f>
        <v>8</v>
      </c>
      <c r="S69" s="46" t="str">
        <f aca="false">INDEX(Lists!$B$2:$B$13,$R69)</f>
        <v>August</v>
      </c>
      <c r="T69" s="46" t="n">
        <f aca="false">HOUR($F69)</f>
        <v>22</v>
      </c>
      <c r="U69" s="46" t="n">
        <f aca="false">WEEKDAY($E69,2)</f>
        <v>5</v>
      </c>
      <c r="V69" s="46" t="str">
        <f aca="false">INDEX(Lists!$F$2:$F$8,$U69)</f>
        <v>Friday</v>
      </c>
      <c r="W69" s="85" t="n">
        <f aca="false">($G69+$H69)-($E69+$F69)</f>
        <v>5.94949074074074</v>
      </c>
      <c r="X69" s="46" t="str">
        <f aca="false">LOOKUP($M69,Lists!$G$2:$G$5,Lists!$H$2:$H$5)</f>
        <v>₹1,000 - 1,499</v>
      </c>
      <c r="Y69" s="46" t="str">
        <f aca="false">LOOKUP($W69,Lists!$I$2:$I$7,Lists!$J$2:$J$7)</f>
        <v>4 - 6 days</v>
      </c>
    </row>
    <row r="70" customFormat="false" ht="15" hidden="false" customHeight="false" outlineLevel="0" collapsed="false">
      <c r="A70" s="7" t="n">
        <v>69</v>
      </c>
      <c r="B70" s="7" t="s">
        <v>369</v>
      </c>
      <c r="C70" s="7" t="n">
        <v>12</v>
      </c>
      <c r="D70" s="7" t="n">
        <v>4</v>
      </c>
      <c r="E70" s="77" t="n">
        <v>45171</v>
      </c>
      <c r="F70" s="78" t="n">
        <v>0.806724537037037</v>
      </c>
      <c r="G70" s="77" t="n">
        <v>45177</v>
      </c>
      <c r="H70" s="78" t="n">
        <v>0.395856481481482</v>
      </c>
      <c r="I70" s="7" t="s">
        <v>418</v>
      </c>
      <c r="J70" s="7" t="s">
        <v>168</v>
      </c>
      <c r="K70" s="79" t="str">
        <f aca="false">INDEX(Products!$B$2:$B$71,MATCH($C70,Products!$A$2:$A$71,0))</f>
        <v>Non Set</v>
      </c>
      <c r="L70" s="79" t="str">
        <f aca="false">INDEX(Products!$C$2:$C$71,MATCH($C70,Products!$A$2:$A$71,0))</f>
        <v>Plants</v>
      </c>
      <c r="M70" s="80" t="n">
        <f aca="false">INDEX(Products!$D$2:$D$71,MATCH($C70,Products!$A$2:$A$71,0))</f>
        <v>672</v>
      </c>
      <c r="N70" s="80" t="n">
        <f aca="false">$D70*$M70</f>
        <v>2688</v>
      </c>
      <c r="O70" s="79" t="str">
        <f aca="false">INDEX(Customers!$C$2:$C$101,MATCH($B70,Customers!$A$2:$A$101,0))</f>
        <v>New Delhi</v>
      </c>
      <c r="P70" s="79" t="str">
        <f aca="false">INDEX(Customers!$F$2:$F$101,MATCH($B70,Customers!$A$2:$A$101,0))</f>
        <v>Female</v>
      </c>
      <c r="Q70" s="79" t="str">
        <f aca="false">INDEX(Customers!$B$2:$B$101,MATCH($B70,Customers!$A$2:$A$101,0))</f>
        <v>Adira Rajan</v>
      </c>
      <c r="R70" s="79" t="n">
        <f aca="false">MONTH($E70)</f>
        <v>9</v>
      </c>
      <c r="S70" s="79" t="str">
        <f aca="false">INDEX(Lists!$B$2:$B$13,$R70)</f>
        <v>September</v>
      </c>
      <c r="T70" s="79" t="n">
        <f aca="false">HOUR($F70)</f>
        <v>19</v>
      </c>
      <c r="U70" s="79" t="n">
        <f aca="false">WEEKDAY($E70,2)</f>
        <v>6</v>
      </c>
      <c r="V70" s="79" t="str">
        <f aca="false">INDEX(Lists!$F$2:$F$8,$U70)</f>
        <v>Saturday</v>
      </c>
      <c r="W70" s="81" t="n">
        <f aca="false">($G70+$H70)-($E70+$F70)</f>
        <v>5.58913194444444</v>
      </c>
      <c r="X70" s="79" t="str">
        <f aca="false">LOOKUP($M70,Lists!$G$2:$G$5,Lists!$H$2:$H$5)</f>
        <v>₹500 - 999</v>
      </c>
      <c r="Y70" s="79" t="str">
        <f aca="false">LOOKUP($W70,Lists!$I$2:$I$7,Lists!$J$2:$J$7)</f>
        <v>4 - 6 days</v>
      </c>
    </row>
    <row r="71" customFormat="false" ht="15" hidden="false" customHeight="false" outlineLevel="0" collapsed="false">
      <c r="A71" s="2" t="n">
        <v>70</v>
      </c>
      <c r="B71" s="2" t="s">
        <v>215</v>
      </c>
      <c r="C71" s="2" t="n">
        <v>17</v>
      </c>
      <c r="D71" s="2" t="n">
        <v>1</v>
      </c>
      <c r="E71" s="82" t="n">
        <v>45197</v>
      </c>
      <c r="F71" s="83" t="n">
        <v>0.181354166666667</v>
      </c>
      <c r="G71" s="82" t="n">
        <v>45202</v>
      </c>
      <c r="H71" s="83" t="n">
        <v>0.489270833333333</v>
      </c>
      <c r="I71" s="2" t="s">
        <v>606</v>
      </c>
      <c r="J71" s="2" t="s">
        <v>168</v>
      </c>
      <c r="K71" s="46" t="str">
        <f aca="false">INDEX(Products!$B$2:$B$71,MATCH($C71,Products!$A$2:$A$71,0))</f>
        <v>Delectus Gift</v>
      </c>
      <c r="L71" s="46" t="str">
        <f aca="false">INDEX(Products!$C$2:$C$71,MATCH($C71,Products!$A$2:$A$71,0))</f>
        <v>Soft Toys</v>
      </c>
      <c r="M71" s="84" t="n">
        <f aca="false">INDEX(Products!$D$2:$D$71,MATCH($C71,Products!$A$2:$A$71,0))</f>
        <v>1899</v>
      </c>
      <c r="N71" s="84" t="n">
        <f aca="false">$D71*$M71</f>
        <v>1899</v>
      </c>
      <c r="O71" s="46" t="str">
        <f aca="false">INDEX(Customers!$C$2:$C$101,MATCH($B71,Customers!$A$2:$A$101,0))</f>
        <v>Davanagere</v>
      </c>
      <c r="P71" s="46" t="str">
        <f aca="false">INDEX(Customers!$F$2:$F$101,MATCH($B71,Customers!$A$2:$A$101,0))</f>
        <v>Male</v>
      </c>
      <c r="Q71" s="46" t="str">
        <f aca="false">INDEX(Customers!$B$2:$B$101,MATCH($B71,Customers!$A$2:$A$101,0))</f>
        <v>Aradhya Kumar</v>
      </c>
      <c r="R71" s="46" t="n">
        <f aca="false">MONTH($E71)</f>
        <v>9</v>
      </c>
      <c r="S71" s="46" t="str">
        <f aca="false">INDEX(Lists!$B$2:$B$13,$R71)</f>
        <v>September</v>
      </c>
      <c r="T71" s="46" t="n">
        <f aca="false">HOUR($F71)</f>
        <v>4</v>
      </c>
      <c r="U71" s="46" t="n">
        <f aca="false">WEEKDAY($E71,2)</f>
        <v>4</v>
      </c>
      <c r="V71" s="46" t="str">
        <f aca="false">INDEX(Lists!$F$2:$F$8,$U71)</f>
        <v>Thursday</v>
      </c>
      <c r="W71" s="85" t="n">
        <f aca="false">($G71+$H71)-($E71+$F71)</f>
        <v>5.30791666666667</v>
      </c>
      <c r="X71" s="46" t="str">
        <f aca="false">LOOKUP($M71,Lists!$G$2:$G$5,Lists!$H$2:$H$5)</f>
        <v>₹1,500 - 2,000</v>
      </c>
      <c r="Y71" s="46" t="str">
        <f aca="false">LOOKUP($W71,Lists!$I$2:$I$7,Lists!$J$2:$J$7)</f>
        <v>4 - 6 days</v>
      </c>
    </row>
    <row r="72" customFormat="false" ht="15" hidden="false" customHeight="false" outlineLevel="0" collapsed="false">
      <c r="A72" s="7" t="n">
        <v>71</v>
      </c>
      <c r="B72" s="7" t="s">
        <v>159</v>
      </c>
      <c r="C72" s="7" t="n">
        <v>9</v>
      </c>
      <c r="D72" s="7" t="n">
        <v>5</v>
      </c>
      <c r="E72" s="77" t="n">
        <v>45158</v>
      </c>
      <c r="F72" s="78" t="n">
        <v>0.688958333333333</v>
      </c>
      <c r="G72" s="77" t="n">
        <v>45166</v>
      </c>
      <c r="H72" s="78" t="n">
        <v>0.563564814814815</v>
      </c>
      <c r="I72" s="7" t="s">
        <v>451</v>
      </c>
      <c r="J72" s="7" t="s">
        <v>40</v>
      </c>
      <c r="K72" s="79" t="str">
        <f aca="false">INDEX(Products!$B$2:$B$71,MATCH($C72,Products!$A$2:$A$71,0))</f>
        <v>Aperiam Box</v>
      </c>
      <c r="L72" s="79" t="str">
        <f aca="false">INDEX(Products!$C$2:$C$71,MATCH($C72,Products!$A$2:$A$71,0))</f>
        <v>Colors</v>
      </c>
      <c r="M72" s="80" t="n">
        <f aca="false">INDEX(Products!$D$2:$D$71,MATCH($C72,Products!$A$2:$A$71,0))</f>
        <v>1605</v>
      </c>
      <c r="N72" s="80" t="n">
        <f aca="false">$D72*$M72</f>
        <v>8025</v>
      </c>
      <c r="O72" s="79" t="str">
        <f aca="false">INDEX(Customers!$C$2:$C$101,MATCH($B72,Customers!$A$2:$A$101,0))</f>
        <v>Mangalore</v>
      </c>
      <c r="P72" s="79" t="str">
        <f aca="false">INDEX(Customers!$F$2:$F$101,MATCH($B72,Customers!$A$2:$A$101,0))</f>
        <v>Female</v>
      </c>
      <c r="Q72" s="79" t="str">
        <f aca="false">INDEX(Customers!$B$2:$B$101,MATCH($B72,Customers!$A$2:$A$101,0))</f>
        <v>Manikya Goswami</v>
      </c>
      <c r="R72" s="79" t="n">
        <f aca="false">MONTH($E72)</f>
        <v>8</v>
      </c>
      <c r="S72" s="79" t="str">
        <f aca="false">INDEX(Lists!$B$2:$B$13,$R72)</f>
        <v>August</v>
      </c>
      <c r="T72" s="79" t="n">
        <f aca="false">HOUR($F72)</f>
        <v>16</v>
      </c>
      <c r="U72" s="79" t="n">
        <f aca="false">WEEKDAY($E72,2)</f>
        <v>7</v>
      </c>
      <c r="V72" s="79" t="str">
        <f aca="false">INDEX(Lists!$F$2:$F$8,$U72)</f>
        <v>Sunday</v>
      </c>
      <c r="W72" s="81" t="n">
        <f aca="false">($G72+$H72)-($E72+$F72)</f>
        <v>7.87460648148148</v>
      </c>
      <c r="X72" s="79" t="str">
        <f aca="false">LOOKUP($M72,Lists!$G$2:$G$5,Lists!$H$2:$H$5)</f>
        <v>₹1,500 - 2,000</v>
      </c>
      <c r="Y72" s="79" t="str">
        <f aca="false">LOOKUP($W72,Lists!$I$2:$I$7,Lists!$J$2:$J$7)</f>
        <v>6 - 8 days</v>
      </c>
    </row>
    <row r="73" customFormat="false" ht="15" hidden="false" customHeight="false" outlineLevel="0" collapsed="false">
      <c r="A73" s="2" t="n">
        <v>72</v>
      </c>
      <c r="B73" s="2" t="s">
        <v>278</v>
      </c>
      <c r="C73" s="2" t="n">
        <v>26</v>
      </c>
      <c r="D73" s="2" t="n">
        <v>3</v>
      </c>
      <c r="E73" s="82" t="n">
        <v>44988</v>
      </c>
      <c r="F73" s="83" t="n">
        <v>0.659328703703704</v>
      </c>
      <c r="G73" s="82" t="n">
        <v>44997</v>
      </c>
      <c r="H73" s="83" t="n">
        <v>0.732060185185185</v>
      </c>
      <c r="I73" s="2" t="s">
        <v>195</v>
      </c>
      <c r="J73" s="2" t="s">
        <v>33</v>
      </c>
      <c r="K73" s="46" t="str">
        <f aca="false">INDEX(Products!$B$2:$B$71,MATCH($C73,Products!$A$2:$A$71,0))</f>
        <v>Aliquam Box</v>
      </c>
      <c r="L73" s="46" t="str">
        <f aca="false">INDEX(Products!$C$2:$C$71,MATCH($C73,Products!$A$2:$A$71,0))</f>
        <v>Colors</v>
      </c>
      <c r="M73" s="84" t="n">
        <f aca="false">INDEX(Products!$D$2:$D$71,MATCH($C73,Products!$A$2:$A$71,0))</f>
        <v>289</v>
      </c>
      <c r="N73" s="84" t="n">
        <f aca="false">$D73*$M73</f>
        <v>867</v>
      </c>
      <c r="O73" s="46" t="str">
        <f aca="false">INDEX(Customers!$C$2:$C$101,MATCH($B73,Customers!$A$2:$A$101,0))</f>
        <v>Guntakal</v>
      </c>
      <c r="P73" s="46" t="str">
        <f aca="false">INDEX(Customers!$F$2:$F$101,MATCH($B73,Customers!$A$2:$A$101,0))</f>
        <v>Male</v>
      </c>
      <c r="Q73" s="46" t="str">
        <f aca="false">INDEX(Customers!$B$2:$B$101,MATCH($B73,Customers!$A$2:$A$101,0))</f>
        <v>Charvi Kanda</v>
      </c>
      <c r="R73" s="46" t="n">
        <f aca="false">MONTH($E73)</f>
        <v>3</v>
      </c>
      <c r="S73" s="46" t="str">
        <f aca="false">INDEX(Lists!$B$2:$B$13,$R73)</f>
        <v>March</v>
      </c>
      <c r="T73" s="46" t="n">
        <f aca="false">HOUR($F73)</f>
        <v>15</v>
      </c>
      <c r="U73" s="46" t="n">
        <f aca="false">WEEKDAY($E73,2)</f>
        <v>5</v>
      </c>
      <c r="V73" s="46" t="str">
        <f aca="false">INDEX(Lists!$F$2:$F$8,$U73)</f>
        <v>Friday</v>
      </c>
      <c r="W73" s="85" t="n">
        <f aca="false">($G73+$H73)-($E73+$F73)</f>
        <v>9.07273148148148</v>
      </c>
      <c r="X73" s="46" t="str">
        <f aca="false">LOOKUP($M73,Lists!$G$2:$G$5,Lists!$H$2:$H$5)</f>
        <v>₹0 - 499</v>
      </c>
      <c r="Y73" s="46" t="str">
        <f aca="false">LOOKUP($W73,Lists!$I$2:$I$7,Lists!$J$2:$J$7)</f>
        <v>8 - 10 days</v>
      </c>
    </row>
    <row r="74" customFormat="false" ht="15" hidden="false" customHeight="false" outlineLevel="0" collapsed="false">
      <c r="A74" s="7" t="n">
        <v>73</v>
      </c>
      <c r="B74" s="7" t="s">
        <v>275</v>
      </c>
      <c r="C74" s="7" t="n">
        <v>26</v>
      </c>
      <c r="D74" s="7" t="n">
        <v>1</v>
      </c>
      <c r="E74" s="77" t="n">
        <v>44988</v>
      </c>
      <c r="F74" s="78" t="n">
        <v>0.536527777777778</v>
      </c>
      <c r="G74" s="77" t="n">
        <v>44996</v>
      </c>
      <c r="H74" s="78" t="n">
        <v>0.0615277777777778</v>
      </c>
      <c r="I74" s="7" t="s">
        <v>371</v>
      </c>
      <c r="J74" s="7" t="s">
        <v>33</v>
      </c>
      <c r="K74" s="79" t="str">
        <f aca="false">INDEX(Products!$B$2:$B$71,MATCH($C74,Products!$A$2:$A$71,0))</f>
        <v>Aliquam Box</v>
      </c>
      <c r="L74" s="79" t="str">
        <f aca="false">INDEX(Products!$C$2:$C$71,MATCH($C74,Products!$A$2:$A$71,0))</f>
        <v>Colors</v>
      </c>
      <c r="M74" s="80" t="n">
        <f aca="false">INDEX(Products!$D$2:$D$71,MATCH($C74,Products!$A$2:$A$71,0))</f>
        <v>289</v>
      </c>
      <c r="N74" s="80" t="n">
        <f aca="false">$D74*$M74</f>
        <v>289</v>
      </c>
      <c r="O74" s="79" t="str">
        <f aca="false">INDEX(Customers!$C$2:$C$101,MATCH($B74,Customers!$A$2:$A$101,0))</f>
        <v>Delhi</v>
      </c>
      <c r="P74" s="79" t="str">
        <f aca="false">INDEX(Customers!$F$2:$F$101,MATCH($B74,Customers!$A$2:$A$101,0))</f>
        <v>Female</v>
      </c>
      <c r="Q74" s="79" t="str">
        <f aca="false">INDEX(Customers!$B$2:$B$101,MATCH($B74,Customers!$A$2:$A$101,0))</f>
        <v>Zain Hegde</v>
      </c>
      <c r="R74" s="79" t="n">
        <f aca="false">MONTH($E74)</f>
        <v>3</v>
      </c>
      <c r="S74" s="79" t="str">
        <f aca="false">INDEX(Lists!$B$2:$B$13,$R74)</f>
        <v>March</v>
      </c>
      <c r="T74" s="79" t="n">
        <f aca="false">HOUR($F74)</f>
        <v>12</v>
      </c>
      <c r="U74" s="79" t="n">
        <f aca="false">WEEKDAY($E74,2)</f>
        <v>5</v>
      </c>
      <c r="V74" s="79" t="str">
        <f aca="false">INDEX(Lists!$F$2:$F$8,$U74)</f>
        <v>Friday</v>
      </c>
      <c r="W74" s="81" t="n">
        <f aca="false">($G74+$H74)-($E74+$F74)</f>
        <v>7.525</v>
      </c>
      <c r="X74" s="79" t="str">
        <f aca="false">LOOKUP($M74,Lists!$G$2:$G$5,Lists!$H$2:$H$5)</f>
        <v>₹0 - 499</v>
      </c>
      <c r="Y74" s="79" t="str">
        <f aca="false">LOOKUP($W74,Lists!$I$2:$I$7,Lists!$J$2:$J$7)</f>
        <v>6 - 8 days</v>
      </c>
    </row>
    <row r="75" customFormat="false" ht="15" hidden="false" customHeight="false" outlineLevel="0" collapsed="false">
      <c r="A75" s="2" t="n">
        <v>74</v>
      </c>
      <c r="B75" s="2" t="s">
        <v>185</v>
      </c>
      <c r="C75" s="2" t="n">
        <v>31</v>
      </c>
      <c r="D75" s="2" t="n">
        <v>3</v>
      </c>
      <c r="E75" s="82" t="n">
        <v>44927</v>
      </c>
      <c r="F75" s="83" t="n">
        <v>0.871782407407407</v>
      </c>
      <c r="G75" s="82" t="n">
        <v>44933</v>
      </c>
      <c r="H75" s="83" t="n">
        <v>0.376423611111111</v>
      </c>
      <c r="I75" s="2" t="s">
        <v>565</v>
      </c>
      <c r="J75" s="2" t="s">
        <v>165</v>
      </c>
      <c r="K75" s="46" t="str">
        <f aca="false">INDEX(Products!$B$2:$B$71,MATCH($C75,Products!$A$2:$A$71,0))</f>
        <v>Nihil Box</v>
      </c>
      <c r="L75" s="46" t="str">
        <f aca="false">INDEX(Products!$C$2:$C$71,MATCH($C75,Products!$A$2:$A$71,0))</f>
        <v>Colors</v>
      </c>
      <c r="M75" s="84" t="n">
        <f aca="false">INDEX(Products!$D$2:$D$71,MATCH($C75,Products!$A$2:$A$71,0))</f>
        <v>1804</v>
      </c>
      <c r="N75" s="84" t="n">
        <f aca="false">$D75*$M75</f>
        <v>5412</v>
      </c>
      <c r="O75" s="46" t="str">
        <f aca="false">INDEX(Customers!$C$2:$C$101,MATCH($B75,Customers!$A$2:$A$101,0))</f>
        <v>Kavali</v>
      </c>
      <c r="P75" s="46" t="str">
        <f aca="false">INDEX(Customers!$F$2:$F$101,MATCH($B75,Customers!$A$2:$A$101,0))</f>
        <v>Female</v>
      </c>
      <c r="Q75" s="46" t="str">
        <f aca="false">INDEX(Customers!$B$2:$B$101,MATCH($B75,Customers!$A$2:$A$101,0))</f>
        <v>Jhanvi Chowdhury</v>
      </c>
      <c r="R75" s="46" t="n">
        <f aca="false">MONTH($E75)</f>
        <v>1</v>
      </c>
      <c r="S75" s="46" t="str">
        <f aca="false">INDEX(Lists!$B$2:$B$13,$R75)</f>
        <v>January</v>
      </c>
      <c r="T75" s="46" t="n">
        <f aca="false">HOUR($F75)</f>
        <v>20</v>
      </c>
      <c r="U75" s="46" t="n">
        <f aca="false">WEEKDAY($E75,2)</f>
        <v>7</v>
      </c>
      <c r="V75" s="46" t="str">
        <f aca="false">INDEX(Lists!$F$2:$F$8,$U75)</f>
        <v>Sunday</v>
      </c>
      <c r="W75" s="85" t="n">
        <f aca="false">($G75+$H75)-($E75+$F75)</f>
        <v>5.5046412037037</v>
      </c>
      <c r="X75" s="46" t="str">
        <f aca="false">LOOKUP($M75,Lists!$G$2:$G$5,Lists!$H$2:$H$5)</f>
        <v>₹1,500 - 2,000</v>
      </c>
      <c r="Y75" s="46" t="str">
        <f aca="false">LOOKUP($W75,Lists!$I$2:$I$7,Lists!$J$2:$J$7)</f>
        <v>4 - 6 days</v>
      </c>
    </row>
    <row r="76" customFormat="false" ht="15" hidden="false" customHeight="false" outlineLevel="0" collapsed="false">
      <c r="A76" s="7" t="n">
        <v>75</v>
      </c>
      <c r="B76" s="7" t="s">
        <v>148</v>
      </c>
      <c r="C76" s="7" t="n">
        <v>65</v>
      </c>
      <c r="D76" s="7" t="n">
        <v>2</v>
      </c>
      <c r="E76" s="77" t="n">
        <v>45022</v>
      </c>
      <c r="F76" s="78" t="n">
        <v>0.465555555555556</v>
      </c>
      <c r="G76" s="77" t="n">
        <v>45025</v>
      </c>
      <c r="H76" s="78" t="n">
        <v>0.958726851851852</v>
      </c>
      <c r="I76" s="7" t="s">
        <v>195</v>
      </c>
      <c r="J76" s="7" t="s">
        <v>165</v>
      </c>
      <c r="K76" s="79" t="str">
        <f aca="false">INDEX(Products!$B$2:$B$71,MATCH($C76,Products!$A$2:$A$71,0))</f>
        <v>Error Gift</v>
      </c>
      <c r="L76" s="79" t="str">
        <f aca="false">INDEX(Products!$C$2:$C$71,MATCH($C76,Products!$A$2:$A$71,0))</f>
        <v>Raksha Bandhan</v>
      </c>
      <c r="M76" s="80" t="n">
        <f aca="false">INDEX(Products!$D$2:$D$71,MATCH($C76,Products!$A$2:$A$71,0))</f>
        <v>1895</v>
      </c>
      <c r="N76" s="80" t="n">
        <f aca="false">$D76*$M76</f>
        <v>3790</v>
      </c>
      <c r="O76" s="79" t="str">
        <f aca="false">INDEX(Customers!$C$2:$C$101,MATCH($B76,Customers!$A$2:$A$101,0))</f>
        <v>Madurai</v>
      </c>
      <c r="P76" s="79" t="str">
        <f aca="false">INDEX(Customers!$F$2:$F$101,MATCH($B76,Customers!$A$2:$A$101,0))</f>
        <v>Female</v>
      </c>
      <c r="Q76" s="79" t="str">
        <f aca="false">INDEX(Customers!$B$2:$B$101,MATCH($B76,Customers!$A$2:$A$101,0))</f>
        <v>Ritvik Borah</v>
      </c>
      <c r="R76" s="79" t="n">
        <f aca="false">MONTH($E76)</f>
        <v>4</v>
      </c>
      <c r="S76" s="79" t="str">
        <f aca="false">INDEX(Lists!$B$2:$B$13,$R76)</f>
        <v>April</v>
      </c>
      <c r="T76" s="79" t="n">
        <f aca="false">HOUR($F76)</f>
        <v>11</v>
      </c>
      <c r="U76" s="79" t="n">
        <f aca="false">WEEKDAY($E76,2)</f>
        <v>4</v>
      </c>
      <c r="V76" s="79" t="str">
        <f aca="false">INDEX(Lists!$F$2:$F$8,$U76)</f>
        <v>Thursday</v>
      </c>
      <c r="W76" s="81" t="n">
        <f aca="false">($G76+$H76)-($E76+$F76)</f>
        <v>3.4931712962963</v>
      </c>
      <c r="X76" s="79" t="str">
        <f aca="false">LOOKUP($M76,Lists!$G$2:$G$5,Lists!$H$2:$H$5)</f>
        <v>₹1,500 - 2,000</v>
      </c>
      <c r="Y76" s="79" t="str">
        <f aca="false">LOOKUP($W76,Lists!$I$2:$I$7,Lists!$J$2:$J$7)</f>
        <v>2 - 4 days</v>
      </c>
    </row>
    <row r="77" customFormat="false" ht="15" hidden="false" customHeight="false" outlineLevel="0" collapsed="false">
      <c r="A77" s="2" t="n">
        <v>76</v>
      </c>
      <c r="B77" s="2" t="s">
        <v>266</v>
      </c>
      <c r="C77" s="2" t="n">
        <v>4</v>
      </c>
      <c r="D77" s="2" t="n">
        <v>1</v>
      </c>
      <c r="E77" s="82" t="n">
        <v>45239</v>
      </c>
      <c r="F77" s="83" t="n">
        <v>0.217488425925926</v>
      </c>
      <c r="G77" s="82" t="n">
        <v>45242</v>
      </c>
      <c r="H77" s="83" t="n">
        <v>0.0241898148148148</v>
      </c>
      <c r="I77" s="2" t="s">
        <v>175</v>
      </c>
      <c r="J77" s="2" t="s">
        <v>32</v>
      </c>
      <c r="K77" s="46" t="str">
        <f aca="false">INDEX(Products!$B$2:$B$71,MATCH($C77,Products!$A$2:$A$71,0))</f>
        <v>Accusantium Set</v>
      </c>
      <c r="L77" s="46" t="str">
        <f aca="false">INDEX(Products!$C$2:$C$71,MATCH($C77,Products!$A$2:$A$71,0))</f>
        <v>Sweets</v>
      </c>
      <c r="M77" s="84" t="n">
        <f aca="false">INDEX(Products!$D$2:$D$71,MATCH($C77,Products!$A$2:$A$71,0))</f>
        <v>1199</v>
      </c>
      <c r="N77" s="84" t="n">
        <f aca="false">$D77*$M77</f>
        <v>1199</v>
      </c>
      <c r="O77" s="46" t="str">
        <f aca="false">INDEX(Customers!$C$2:$C$101,MATCH($B77,Customers!$A$2:$A$101,0))</f>
        <v>Bidhannagar</v>
      </c>
      <c r="P77" s="46" t="str">
        <f aca="false">INDEX(Customers!$F$2:$F$101,MATCH($B77,Customers!$A$2:$A$101,0))</f>
        <v>Female</v>
      </c>
      <c r="Q77" s="46" t="str">
        <f aca="false">INDEX(Customers!$B$2:$B$101,MATCH($B77,Customers!$A$2:$A$101,0))</f>
        <v>Umang Ahuja</v>
      </c>
      <c r="R77" s="46" t="n">
        <f aca="false">MONTH($E77)</f>
        <v>11</v>
      </c>
      <c r="S77" s="46" t="str">
        <f aca="false">INDEX(Lists!$B$2:$B$13,$R77)</f>
        <v>November</v>
      </c>
      <c r="T77" s="46" t="n">
        <f aca="false">HOUR($F77)</f>
        <v>5</v>
      </c>
      <c r="U77" s="46" t="n">
        <f aca="false">WEEKDAY($E77,2)</f>
        <v>4</v>
      </c>
      <c r="V77" s="46" t="str">
        <f aca="false">INDEX(Lists!$F$2:$F$8,$U77)</f>
        <v>Thursday</v>
      </c>
      <c r="W77" s="85" t="n">
        <f aca="false">($G77+$H77)-($E77+$F77)</f>
        <v>2.80670138888889</v>
      </c>
      <c r="X77" s="46" t="str">
        <f aca="false">LOOKUP($M77,Lists!$G$2:$G$5,Lists!$H$2:$H$5)</f>
        <v>₹1,000 - 1,499</v>
      </c>
      <c r="Y77" s="46" t="str">
        <f aca="false">LOOKUP($W77,Lists!$I$2:$I$7,Lists!$J$2:$J$7)</f>
        <v>2 - 4 days</v>
      </c>
    </row>
    <row r="78" customFormat="false" ht="15" hidden="false" customHeight="false" outlineLevel="0" collapsed="false">
      <c r="A78" s="7" t="n">
        <v>77</v>
      </c>
      <c r="B78" s="7" t="s">
        <v>194</v>
      </c>
      <c r="C78" s="7" t="n">
        <v>42</v>
      </c>
      <c r="D78" s="7" t="n">
        <v>3</v>
      </c>
      <c r="E78" s="77" t="n">
        <v>45143</v>
      </c>
      <c r="F78" s="78" t="n">
        <v>0.0466550925925926</v>
      </c>
      <c r="G78" s="77" t="n">
        <v>45151</v>
      </c>
      <c r="H78" s="78" t="n">
        <v>0.681157407407407</v>
      </c>
      <c r="I78" s="7" t="s">
        <v>448</v>
      </c>
      <c r="J78" s="7" t="s">
        <v>165</v>
      </c>
      <c r="K78" s="79" t="str">
        <f aca="false">INDEX(Products!$B$2:$B$71,MATCH($C78,Products!$A$2:$A$71,0))</f>
        <v>Expedita Gift</v>
      </c>
      <c r="L78" s="79" t="str">
        <f aca="false">INDEX(Products!$C$2:$C$71,MATCH($C78,Products!$A$2:$A$71,0))</f>
        <v>Sweets</v>
      </c>
      <c r="M78" s="80" t="n">
        <f aca="false">INDEX(Products!$D$2:$D$71,MATCH($C78,Products!$A$2:$A$71,0))</f>
        <v>1744</v>
      </c>
      <c r="N78" s="80" t="n">
        <f aca="false">$D78*$M78</f>
        <v>5232</v>
      </c>
      <c r="O78" s="79" t="str">
        <f aca="false">INDEX(Customers!$C$2:$C$101,MATCH($B78,Customers!$A$2:$A$101,0))</f>
        <v>Noida</v>
      </c>
      <c r="P78" s="79" t="str">
        <f aca="false">INDEX(Customers!$F$2:$F$101,MATCH($B78,Customers!$A$2:$A$101,0))</f>
        <v>Female</v>
      </c>
      <c r="Q78" s="79" t="str">
        <f aca="false">INDEX(Customers!$B$2:$B$101,MATCH($B78,Customers!$A$2:$A$101,0))</f>
        <v>Hridaan Rajagopalan</v>
      </c>
      <c r="R78" s="79" t="n">
        <f aca="false">MONTH($E78)</f>
        <v>8</v>
      </c>
      <c r="S78" s="79" t="str">
        <f aca="false">INDEX(Lists!$B$2:$B$13,$R78)</f>
        <v>August</v>
      </c>
      <c r="T78" s="79" t="n">
        <f aca="false">HOUR($F78)</f>
        <v>1</v>
      </c>
      <c r="U78" s="79" t="n">
        <f aca="false">WEEKDAY($E78,2)</f>
        <v>6</v>
      </c>
      <c r="V78" s="79" t="str">
        <f aca="false">INDEX(Lists!$F$2:$F$8,$U78)</f>
        <v>Saturday</v>
      </c>
      <c r="W78" s="81" t="n">
        <f aca="false">($G78+$H78)-($E78+$F78)</f>
        <v>8.63450231481482</v>
      </c>
      <c r="X78" s="79" t="str">
        <f aca="false">LOOKUP($M78,Lists!$G$2:$G$5,Lists!$H$2:$H$5)</f>
        <v>₹1,500 - 2,000</v>
      </c>
      <c r="Y78" s="79" t="str">
        <f aca="false">LOOKUP($W78,Lists!$I$2:$I$7,Lists!$J$2:$J$7)</f>
        <v>8 - 10 days</v>
      </c>
    </row>
    <row r="79" customFormat="false" ht="15" hidden="false" customHeight="false" outlineLevel="0" collapsed="false">
      <c r="A79" s="2" t="n">
        <v>78</v>
      </c>
      <c r="B79" s="2" t="s">
        <v>288</v>
      </c>
      <c r="C79" s="2" t="n">
        <v>11</v>
      </c>
      <c r="D79" s="2" t="n">
        <v>2</v>
      </c>
      <c r="E79" s="82" t="n">
        <v>44961</v>
      </c>
      <c r="F79" s="83" t="n">
        <v>0.541770833333333</v>
      </c>
      <c r="G79" s="82" t="n">
        <v>44965</v>
      </c>
      <c r="H79" s="83" t="n">
        <v>0.855034722222222</v>
      </c>
      <c r="I79" s="2" t="s">
        <v>518</v>
      </c>
      <c r="J79" s="2" t="s">
        <v>179</v>
      </c>
      <c r="K79" s="46" t="str">
        <f aca="false">INDEX(Products!$B$2:$B$71,MATCH($C79,Products!$A$2:$A$71,0))</f>
        <v>Maxime Set</v>
      </c>
      <c r="L79" s="46" t="str">
        <f aca="false">INDEX(Products!$C$2:$C$71,MATCH($C79,Products!$A$2:$A$71,0))</f>
        <v>Mugs</v>
      </c>
      <c r="M79" s="84" t="n">
        <f aca="false">INDEX(Products!$D$2:$D$71,MATCH($C79,Products!$A$2:$A$71,0))</f>
        <v>1096</v>
      </c>
      <c r="N79" s="84" t="n">
        <f aca="false">$D79*$M79</f>
        <v>2192</v>
      </c>
      <c r="O79" s="46" t="str">
        <f aca="false">INDEX(Customers!$C$2:$C$101,MATCH($B79,Customers!$A$2:$A$101,0))</f>
        <v>Nagpur</v>
      </c>
      <c r="P79" s="46" t="str">
        <f aca="false">INDEX(Customers!$F$2:$F$101,MATCH($B79,Customers!$A$2:$A$101,0))</f>
        <v>Male</v>
      </c>
      <c r="Q79" s="46" t="str">
        <f aca="false">INDEX(Customers!$B$2:$B$101,MATCH($B79,Customers!$A$2:$A$101,0))</f>
        <v>Inaaya  Sarraf</v>
      </c>
      <c r="R79" s="46" t="n">
        <f aca="false">MONTH($E79)</f>
        <v>2</v>
      </c>
      <c r="S79" s="46" t="str">
        <f aca="false">INDEX(Lists!$B$2:$B$13,$R79)</f>
        <v>February</v>
      </c>
      <c r="T79" s="46" t="n">
        <f aca="false">HOUR($F79)</f>
        <v>13</v>
      </c>
      <c r="U79" s="46" t="n">
        <f aca="false">WEEKDAY($E79,2)</f>
        <v>6</v>
      </c>
      <c r="V79" s="46" t="str">
        <f aca="false">INDEX(Lists!$F$2:$F$8,$U79)</f>
        <v>Saturday</v>
      </c>
      <c r="W79" s="85" t="n">
        <f aca="false">($G79+$H79)-($E79+$F79)</f>
        <v>4.31326388888889</v>
      </c>
      <c r="X79" s="46" t="str">
        <f aca="false">LOOKUP($M79,Lists!$G$2:$G$5,Lists!$H$2:$H$5)</f>
        <v>₹1,000 - 1,499</v>
      </c>
      <c r="Y79" s="46" t="str">
        <f aca="false">LOOKUP($W79,Lists!$I$2:$I$7,Lists!$J$2:$J$7)</f>
        <v>4 - 6 days</v>
      </c>
    </row>
    <row r="80" customFormat="false" ht="15" hidden="false" customHeight="false" outlineLevel="0" collapsed="false">
      <c r="A80" s="7" t="n">
        <v>79</v>
      </c>
      <c r="B80" s="7" t="s">
        <v>151</v>
      </c>
      <c r="C80" s="7" t="n">
        <v>40</v>
      </c>
      <c r="D80" s="7" t="n">
        <v>2</v>
      </c>
      <c r="E80" s="77" t="n">
        <v>45078</v>
      </c>
      <c r="F80" s="78" t="n">
        <v>0.728819444444445</v>
      </c>
      <c r="G80" s="77" t="n">
        <v>45088</v>
      </c>
      <c r="H80" s="78" t="n">
        <v>0.315891203703704</v>
      </c>
      <c r="I80" s="7" t="s">
        <v>603</v>
      </c>
      <c r="J80" s="7" t="s">
        <v>168</v>
      </c>
      <c r="K80" s="79" t="str">
        <f aca="false">INDEX(Products!$B$2:$B$71,MATCH($C80,Products!$A$2:$A$71,0))</f>
        <v>Provident Pack</v>
      </c>
      <c r="L80" s="79" t="str">
        <f aca="false">INDEX(Products!$C$2:$C$71,MATCH($C80,Products!$A$2:$A$71,0))</f>
        <v>Sweets</v>
      </c>
      <c r="M80" s="80" t="n">
        <f aca="false">INDEX(Products!$D$2:$D$71,MATCH($C80,Products!$A$2:$A$71,0))</f>
        <v>1923</v>
      </c>
      <c r="N80" s="80" t="n">
        <f aca="false">$D80*$M80</f>
        <v>3846</v>
      </c>
      <c r="O80" s="79" t="str">
        <f aca="false">INDEX(Customers!$C$2:$C$101,MATCH($B80,Customers!$A$2:$A$101,0))</f>
        <v>Kanpur</v>
      </c>
      <c r="P80" s="79" t="str">
        <f aca="false">INDEX(Customers!$F$2:$F$101,MATCH($B80,Customers!$A$2:$A$101,0))</f>
        <v>Male</v>
      </c>
      <c r="Q80" s="79" t="str">
        <f aca="false">INDEX(Customers!$B$2:$B$101,MATCH($B80,Customers!$A$2:$A$101,0))</f>
        <v>Darshit Dave</v>
      </c>
      <c r="R80" s="79" t="n">
        <f aca="false">MONTH($E80)</f>
        <v>6</v>
      </c>
      <c r="S80" s="79" t="str">
        <f aca="false">INDEX(Lists!$B$2:$B$13,$R80)</f>
        <v>June</v>
      </c>
      <c r="T80" s="79" t="n">
        <f aca="false">HOUR($F80)</f>
        <v>17</v>
      </c>
      <c r="U80" s="79" t="n">
        <f aca="false">WEEKDAY($E80,2)</f>
        <v>4</v>
      </c>
      <c r="V80" s="79" t="str">
        <f aca="false">INDEX(Lists!$F$2:$F$8,$U80)</f>
        <v>Thursday</v>
      </c>
      <c r="W80" s="81" t="n">
        <f aca="false">($G80+$H80)-($E80+$F80)</f>
        <v>9.58707175925926</v>
      </c>
      <c r="X80" s="79" t="str">
        <f aca="false">LOOKUP($M80,Lists!$G$2:$G$5,Lists!$H$2:$H$5)</f>
        <v>₹1,500 - 2,000</v>
      </c>
      <c r="Y80" s="79" t="str">
        <f aca="false">LOOKUP($W80,Lists!$I$2:$I$7,Lists!$J$2:$J$7)</f>
        <v>8 - 10 days</v>
      </c>
    </row>
    <row r="81" customFormat="false" ht="15" hidden="false" customHeight="false" outlineLevel="0" collapsed="false">
      <c r="A81" s="2" t="n">
        <v>80</v>
      </c>
      <c r="B81" s="2" t="s">
        <v>145</v>
      </c>
      <c r="C81" s="2" t="n">
        <v>39</v>
      </c>
      <c r="D81" s="2" t="n">
        <v>4</v>
      </c>
      <c r="E81" s="82" t="n">
        <v>44928</v>
      </c>
      <c r="F81" s="83" t="n">
        <v>0.463217592592593</v>
      </c>
      <c r="G81" s="82" t="n">
        <v>44937</v>
      </c>
      <c r="H81" s="83" t="n">
        <v>0.0873842592592593</v>
      </c>
      <c r="I81" s="2" t="s">
        <v>553</v>
      </c>
      <c r="J81" s="2" t="s">
        <v>165</v>
      </c>
      <c r="K81" s="46" t="str">
        <f aca="false">INDEX(Products!$B$2:$B$71,MATCH($C81,Products!$A$2:$A$71,0))</f>
        <v>Voluptate Set</v>
      </c>
      <c r="L81" s="46" t="str">
        <f aca="false">INDEX(Products!$C$2:$C$71,MATCH($C81,Products!$A$2:$A$71,0))</f>
        <v>Mugs</v>
      </c>
      <c r="M81" s="84" t="n">
        <f aca="false">INDEX(Products!$D$2:$D$71,MATCH($C81,Products!$A$2:$A$71,0))</f>
        <v>387</v>
      </c>
      <c r="N81" s="84" t="n">
        <f aca="false">$D81*$M81</f>
        <v>1548</v>
      </c>
      <c r="O81" s="46" t="str">
        <f aca="false">INDEX(Customers!$C$2:$C$101,MATCH($B81,Customers!$A$2:$A$101,0))</f>
        <v>Chinsurah</v>
      </c>
      <c r="P81" s="46" t="str">
        <f aca="false">INDEX(Customers!$F$2:$F$101,MATCH($B81,Customers!$A$2:$A$101,0))</f>
        <v>Female</v>
      </c>
      <c r="Q81" s="46" t="str">
        <f aca="false">INDEX(Customers!$B$2:$B$101,MATCH($B81,Customers!$A$2:$A$101,0))</f>
        <v>Veer Ray</v>
      </c>
      <c r="R81" s="46" t="n">
        <f aca="false">MONTH($E81)</f>
        <v>1</v>
      </c>
      <c r="S81" s="46" t="str">
        <f aca="false">INDEX(Lists!$B$2:$B$13,$R81)</f>
        <v>January</v>
      </c>
      <c r="T81" s="46" t="n">
        <f aca="false">HOUR($F81)</f>
        <v>11</v>
      </c>
      <c r="U81" s="46" t="n">
        <f aca="false">WEEKDAY($E81,2)</f>
        <v>1</v>
      </c>
      <c r="V81" s="46" t="str">
        <f aca="false">INDEX(Lists!$F$2:$F$8,$U81)</f>
        <v>Monday</v>
      </c>
      <c r="W81" s="85" t="n">
        <f aca="false">($G81+$H81)-($E81+$F81)</f>
        <v>8.62416666666667</v>
      </c>
      <c r="X81" s="46" t="str">
        <f aca="false">LOOKUP($M81,Lists!$G$2:$G$5,Lists!$H$2:$H$5)</f>
        <v>₹0 - 499</v>
      </c>
      <c r="Y81" s="46" t="str">
        <f aca="false">LOOKUP($W81,Lists!$I$2:$I$7,Lists!$J$2:$J$7)</f>
        <v>8 - 10 days</v>
      </c>
    </row>
    <row r="82" customFormat="false" ht="15" hidden="false" customHeight="false" outlineLevel="0" collapsed="false">
      <c r="A82" s="7" t="n">
        <v>81</v>
      </c>
      <c r="B82" s="7" t="s">
        <v>263</v>
      </c>
      <c r="C82" s="7" t="n">
        <v>1</v>
      </c>
      <c r="D82" s="7" t="n">
        <v>5</v>
      </c>
      <c r="E82" s="77" t="n">
        <v>44979</v>
      </c>
      <c r="F82" s="78" t="n">
        <v>0.770381944444444</v>
      </c>
      <c r="G82" s="77" t="n">
        <v>44988</v>
      </c>
      <c r="H82" s="78" t="n">
        <v>0.298287037037037</v>
      </c>
      <c r="I82" s="7" t="s">
        <v>446</v>
      </c>
      <c r="J82" s="7" t="s">
        <v>165</v>
      </c>
      <c r="K82" s="79" t="str">
        <f aca="false">INDEX(Products!$B$2:$B$71,MATCH($C82,Products!$A$2:$A$71,0))</f>
        <v>Magnam Set</v>
      </c>
      <c r="L82" s="79" t="str">
        <f aca="false">INDEX(Products!$C$2:$C$71,MATCH($C82,Products!$A$2:$A$71,0))</f>
        <v>Soft Toys</v>
      </c>
      <c r="M82" s="80" t="n">
        <f aca="false">INDEX(Products!$D$2:$D$71,MATCH($C82,Products!$A$2:$A$71,0))</f>
        <v>1935</v>
      </c>
      <c r="N82" s="80" t="n">
        <f aca="false">$D82*$M82</f>
        <v>9675</v>
      </c>
      <c r="O82" s="79" t="str">
        <f aca="false">INDEX(Customers!$C$2:$C$101,MATCH($B82,Customers!$A$2:$A$101,0))</f>
        <v>Bharatpur</v>
      </c>
      <c r="P82" s="79" t="str">
        <f aca="false">INDEX(Customers!$F$2:$F$101,MATCH($B82,Customers!$A$2:$A$101,0))</f>
        <v>Female</v>
      </c>
      <c r="Q82" s="79" t="str">
        <f aca="false">INDEX(Customers!$B$2:$B$101,MATCH($B82,Customers!$A$2:$A$101,0))</f>
        <v>Kismat Kapadia</v>
      </c>
      <c r="R82" s="79" t="n">
        <f aca="false">MONTH($E82)</f>
        <v>2</v>
      </c>
      <c r="S82" s="79" t="str">
        <f aca="false">INDEX(Lists!$B$2:$B$13,$R82)</f>
        <v>February</v>
      </c>
      <c r="T82" s="79" t="n">
        <f aca="false">HOUR($F82)</f>
        <v>18</v>
      </c>
      <c r="U82" s="79" t="n">
        <f aca="false">WEEKDAY($E82,2)</f>
        <v>3</v>
      </c>
      <c r="V82" s="79" t="str">
        <f aca="false">INDEX(Lists!$F$2:$F$8,$U82)</f>
        <v>Wednesday</v>
      </c>
      <c r="W82" s="81" t="n">
        <f aca="false">($G82+$H82)-($E82+$F82)</f>
        <v>8.52790509259259</v>
      </c>
      <c r="X82" s="79" t="str">
        <f aca="false">LOOKUP($M82,Lists!$G$2:$G$5,Lists!$H$2:$H$5)</f>
        <v>₹1,500 - 2,000</v>
      </c>
      <c r="Y82" s="79" t="str">
        <f aca="false">LOOKUP($W82,Lists!$I$2:$I$7,Lists!$J$2:$J$7)</f>
        <v>8 - 10 days</v>
      </c>
    </row>
    <row r="83" customFormat="false" ht="15" hidden="false" customHeight="false" outlineLevel="0" collapsed="false">
      <c r="A83" s="2" t="n">
        <v>82</v>
      </c>
      <c r="B83" s="2" t="s">
        <v>218</v>
      </c>
      <c r="C83" s="2" t="n">
        <v>70</v>
      </c>
      <c r="D83" s="2" t="n">
        <v>3</v>
      </c>
      <c r="E83" s="82" t="n">
        <v>45142</v>
      </c>
      <c r="F83" s="83" t="n">
        <v>0.918113425925926</v>
      </c>
      <c r="G83" s="82" t="n">
        <v>45143</v>
      </c>
      <c r="H83" s="83" t="n">
        <v>0.589039351851852</v>
      </c>
      <c r="I83" s="2" t="s">
        <v>402</v>
      </c>
      <c r="J83" s="2" t="s">
        <v>31</v>
      </c>
      <c r="K83" s="46" t="str">
        <f aca="false">INDEX(Products!$B$2:$B$71,MATCH($C83,Products!$A$2:$A$71,0))</f>
        <v>Error Gift</v>
      </c>
      <c r="L83" s="46" t="str">
        <f aca="false">INDEX(Products!$C$2:$C$71,MATCH($C83,Products!$A$2:$A$71,0))</f>
        <v>Sweets</v>
      </c>
      <c r="M83" s="84" t="n">
        <f aca="false">INDEX(Products!$D$2:$D$71,MATCH($C83,Products!$A$2:$A$71,0))</f>
        <v>866</v>
      </c>
      <c r="N83" s="84" t="n">
        <f aca="false">$D83*$M83</f>
        <v>2598</v>
      </c>
      <c r="O83" s="46" t="str">
        <f aca="false">INDEX(Customers!$C$2:$C$101,MATCH($B83,Customers!$A$2:$A$101,0))</f>
        <v>Aizawl</v>
      </c>
      <c r="P83" s="46" t="str">
        <f aca="false">INDEX(Customers!$F$2:$F$101,MATCH($B83,Customers!$A$2:$A$101,0))</f>
        <v>Female</v>
      </c>
      <c r="Q83" s="46" t="str">
        <f aca="false">INDEX(Customers!$B$2:$B$101,MATCH($B83,Customers!$A$2:$A$101,0))</f>
        <v>Yakshit Shah</v>
      </c>
      <c r="R83" s="46" t="n">
        <f aca="false">MONTH($E83)</f>
        <v>8</v>
      </c>
      <c r="S83" s="46" t="str">
        <f aca="false">INDEX(Lists!$B$2:$B$13,$R83)</f>
        <v>August</v>
      </c>
      <c r="T83" s="46" t="n">
        <f aca="false">HOUR($F83)</f>
        <v>22</v>
      </c>
      <c r="U83" s="46" t="n">
        <f aca="false">WEEKDAY($E83,2)</f>
        <v>5</v>
      </c>
      <c r="V83" s="46" t="str">
        <f aca="false">INDEX(Lists!$F$2:$F$8,$U83)</f>
        <v>Friday</v>
      </c>
      <c r="W83" s="85" t="n">
        <f aca="false">($G83+$H83)-($E83+$F83)</f>
        <v>0.670925925925926</v>
      </c>
      <c r="X83" s="46" t="str">
        <f aca="false">LOOKUP($M83,Lists!$G$2:$G$5,Lists!$H$2:$H$5)</f>
        <v>₹500 - 999</v>
      </c>
      <c r="Y83" s="46" t="str">
        <f aca="false">LOOKUP($W83,Lists!$I$2:$I$7,Lists!$J$2:$J$7)</f>
        <v>0 - 2 days</v>
      </c>
    </row>
    <row r="84" customFormat="false" ht="15" hidden="false" customHeight="false" outlineLevel="0" collapsed="false">
      <c r="A84" s="7" t="n">
        <v>83</v>
      </c>
      <c r="B84" s="7" t="s">
        <v>212</v>
      </c>
      <c r="C84" s="7" t="n">
        <v>27</v>
      </c>
      <c r="D84" s="7" t="n">
        <v>4</v>
      </c>
      <c r="E84" s="77" t="n">
        <v>45161</v>
      </c>
      <c r="F84" s="78" t="n">
        <v>0.800011574074074</v>
      </c>
      <c r="G84" s="77" t="n">
        <v>45171</v>
      </c>
      <c r="H84" s="78" t="n">
        <v>0.613888888888889</v>
      </c>
      <c r="I84" s="7" t="s">
        <v>184</v>
      </c>
      <c r="J84" s="7" t="s">
        <v>40</v>
      </c>
      <c r="K84" s="79" t="str">
        <f aca="false">INDEX(Products!$B$2:$B$71,MATCH($C84,Products!$A$2:$A$71,0))</f>
        <v>Architecto Gift</v>
      </c>
      <c r="L84" s="79" t="str">
        <f aca="false">INDEX(Products!$C$2:$C$71,MATCH($C84,Products!$A$2:$A$71,0))</f>
        <v>Cake</v>
      </c>
      <c r="M84" s="80" t="n">
        <f aca="false">INDEX(Products!$D$2:$D$71,MATCH($C84,Products!$A$2:$A$71,0))</f>
        <v>548</v>
      </c>
      <c r="N84" s="80" t="n">
        <f aca="false">$D84*$M84</f>
        <v>2192</v>
      </c>
      <c r="O84" s="79" t="str">
        <f aca="false">INDEX(Customers!$C$2:$C$101,MATCH($B84,Customers!$A$2:$A$101,0))</f>
        <v>Dibrugarh</v>
      </c>
      <c r="P84" s="79" t="str">
        <f aca="false">INDEX(Customers!$F$2:$F$101,MATCH($B84,Customers!$A$2:$A$101,0))</f>
        <v>Female</v>
      </c>
      <c r="Q84" s="79" t="str">
        <f aca="false">INDEX(Customers!$B$2:$B$101,MATCH($B84,Customers!$A$2:$A$101,0))</f>
        <v>Biju Bajwa</v>
      </c>
      <c r="R84" s="79" t="n">
        <f aca="false">MONTH($E84)</f>
        <v>8</v>
      </c>
      <c r="S84" s="79" t="str">
        <f aca="false">INDEX(Lists!$B$2:$B$13,$R84)</f>
        <v>August</v>
      </c>
      <c r="T84" s="79" t="n">
        <f aca="false">HOUR($F84)</f>
        <v>19</v>
      </c>
      <c r="U84" s="79" t="n">
        <f aca="false">WEEKDAY($E84,2)</f>
        <v>3</v>
      </c>
      <c r="V84" s="79" t="str">
        <f aca="false">INDEX(Lists!$F$2:$F$8,$U84)</f>
        <v>Wednesday</v>
      </c>
      <c r="W84" s="81" t="n">
        <f aca="false">($G84+$H84)-($E84+$F84)</f>
        <v>9.81387731481481</v>
      </c>
      <c r="X84" s="79" t="str">
        <f aca="false">LOOKUP($M84,Lists!$G$2:$G$5,Lists!$H$2:$H$5)</f>
        <v>₹500 - 999</v>
      </c>
      <c r="Y84" s="79" t="str">
        <f aca="false">LOOKUP($W84,Lists!$I$2:$I$7,Lists!$J$2:$J$7)</f>
        <v>8 - 10 days</v>
      </c>
    </row>
    <row r="85" customFormat="false" ht="15" hidden="false" customHeight="false" outlineLevel="0" collapsed="false">
      <c r="A85" s="2" t="n">
        <v>84</v>
      </c>
      <c r="B85" s="2" t="s">
        <v>202</v>
      </c>
      <c r="C85" s="2" t="n">
        <v>47</v>
      </c>
      <c r="D85" s="2" t="n">
        <v>1</v>
      </c>
      <c r="E85" s="82" t="n">
        <v>44989</v>
      </c>
      <c r="F85" s="83" t="n">
        <v>0.147106481481482</v>
      </c>
      <c r="G85" s="82" t="n">
        <v>44991</v>
      </c>
      <c r="H85" s="83" t="n">
        <v>0.293287037037037</v>
      </c>
      <c r="I85" s="2" t="s">
        <v>593</v>
      </c>
      <c r="J85" s="2" t="s">
        <v>33</v>
      </c>
      <c r="K85" s="46" t="str">
        <f aca="false">INDEX(Products!$B$2:$B$71,MATCH($C85,Products!$A$2:$A$71,0))</f>
        <v>Harum Pack</v>
      </c>
      <c r="L85" s="46" t="str">
        <f aca="false">INDEX(Products!$C$2:$C$71,MATCH($C85,Products!$A$2:$A$71,0))</f>
        <v>Colors</v>
      </c>
      <c r="M85" s="84" t="n">
        <f aca="false">INDEX(Products!$D$2:$D$71,MATCH($C85,Products!$A$2:$A$71,0))</f>
        <v>1638</v>
      </c>
      <c r="N85" s="84" t="n">
        <f aca="false">$D85*$M85</f>
        <v>1638</v>
      </c>
      <c r="O85" s="46" t="str">
        <f aca="false">INDEX(Customers!$C$2:$C$101,MATCH($B85,Customers!$A$2:$A$101,0))</f>
        <v>Surat</v>
      </c>
      <c r="P85" s="46" t="str">
        <f aca="false">INDEX(Customers!$F$2:$F$101,MATCH($B85,Customers!$A$2:$A$101,0))</f>
        <v>Male</v>
      </c>
      <c r="Q85" s="46" t="str">
        <f aca="false">INDEX(Customers!$B$2:$B$101,MATCH($B85,Customers!$A$2:$A$101,0))</f>
        <v>Mannat Anand</v>
      </c>
      <c r="R85" s="46" t="n">
        <f aca="false">MONTH($E85)</f>
        <v>3</v>
      </c>
      <c r="S85" s="46" t="str">
        <f aca="false">INDEX(Lists!$B$2:$B$13,$R85)</f>
        <v>March</v>
      </c>
      <c r="T85" s="46" t="n">
        <f aca="false">HOUR($F85)</f>
        <v>3</v>
      </c>
      <c r="U85" s="46" t="n">
        <f aca="false">WEEKDAY($E85,2)</f>
        <v>6</v>
      </c>
      <c r="V85" s="46" t="str">
        <f aca="false">INDEX(Lists!$F$2:$F$8,$U85)</f>
        <v>Saturday</v>
      </c>
      <c r="W85" s="85" t="n">
        <f aca="false">($G85+$H85)-($E85+$F85)</f>
        <v>2.14618055555556</v>
      </c>
      <c r="X85" s="46" t="str">
        <f aca="false">LOOKUP($M85,Lists!$G$2:$G$5,Lists!$H$2:$H$5)</f>
        <v>₹1,500 - 2,000</v>
      </c>
      <c r="Y85" s="46" t="str">
        <f aca="false">LOOKUP($W85,Lists!$I$2:$I$7,Lists!$J$2:$J$7)</f>
        <v>2 - 4 days</v>
      </c>
    </row>
    <row r="86" customFormat="false" ht="15" hidden="false" customHeight="false" outlineLevel="0" collapsed="false">
      <c r="A86" s="7" t="n">
        <v>85</v>
      </c>
      <c r="B86" s="7" t="s">
        <v>227</v>
      </c>
      <c r="C86" s="7" t="n">
        <v>26</v>
      </c>
      <c r="D86" s="7" t="n">
        <v>2</v>
      </c>
      <c r="E86" s="77" t="n">
        <v>44989</v>
      </c>
      <c r="F86" s="78" t="n">
        <v>0.899537037037037</v>
      </c>
      <c r="G86" s="77" t="n">
        <v>44999</v>
      </c>
      <c r="H86" s="78" t="n">
        <v>0.616921296296296</v>
      </c>
      <c r="I86" s="7" t="s">
        <v>129</v>
      </c>
      <c r="J86" s="7" t="s">
        <v>33</v>
      </c>
      <c r="K86" s="79" t="str">
        <f aca="false">INDEX(Products!$B$2:$B$71,MATCH($C86,Products!$A$2:$A$71,0))</f>
        <v>Aliquam Box</v>
      </c>
      <c r="L86" s="79" t="str">
        <f aca="false">INDEX(Products!$C$2:$C$71,MATCH($C86,Products!$A$2:$A$71,0))</f>
        <v>Colors</v>
      </c>
      <c r="M86" s="80" t="n">
        <f aca="false">INDEX(Products!$D$2:$D$71,MATCH($C86,Products!$A$2:$A$71,0))</f>
        <v>289</v>
      </c>
      <c r="N86" s="80" t="n">
        <f aca="false">$D86*$M86</f>
        <v>578</v>
      </c>
      <c r="O86" s="79" t="str">
        <f aca="false">INDEX(Customers!$C$2:$C$101,MATCH($B86,Customers!$A$2:$A$101,0))</f>
        <v>Karaikudi</v>
      </c>
      <c r="P86" s="79" t="str">
        <f aca="false">INDEX(Customers!$F$2:$F$101,MATCH($B86,Customers!$A$2:$A$101,0))</f>
        <v>Male</v>
      </c>
      <c r="Q86" s="79" t="str">
        <f aca="false">INDEX(Customers!$B$2:$B$101,MATCH($B86,Customers!$A$2:$A$101,0))</f>
        <v>Rati Dhingra</v>
      </c>
      <c r="R86" s="79" t="n">
        <f aca="false">MONTH($E86)</f>
        <v>3</v>
      </c>
      <c r="S86" s="79" t="str">
        <f aca="false">INDEX(Lists!$B$2:$B$13,$R86)</f>
        <v>March</v>
      </c>
      <c r="T86" s="79" t="n">
        <f aca="false">HOUR($F86)</f>
        <v>21</v>
      </c>
      <c r="U86" s="79" t="n">
        <f aca="false">WEEKDAY($E86,2)</f>
        <v>6</v>
      </c>
      <c r="V86" s="79" t="str">
        <f aca="false">INDEX(Lists!$F$2:$F$8,$U86)</f>
        <v>Saturday</v>
      </c>
      <c r="W86" s="81" t="n">
        <f aca="false">($G86+$H86)-($E86+$F86)</f>
        <v>9.71738425925926</v>
      </c>
      <c r="X86" s="79" t="str">
        <f aca="false">LOOKUP($M86,Lists!$G$2:$G$5,Lists!$H$2:$H$5)</f>
        <v>₹0 - 499</v>
      </c>
      <c r="Y86" s="79" t="str">
        <f aca="false">LOOKUP($W86,Lists!$I$2:$I$7,Lists!$J$2:$J$7)</f>
        <v>8 - 10 days</v>
      </c>
    </row>
    <row r="87" customFormat="false" ht="15" hidden="false" customHeight="false" outlineLevel="0" collapsed="false">
      <c r="A87" s="2" t="n">
        <v>86</v>
      </c>
      <c r="B87" s="2" t="s">
        <v>242</v>
      </c>
      <c r="C87" s="2" t="n">
        <v>39</v>
      </c>
      <c r="D87" s="2" t="n">
        <v>4</v>
      </c>
      <c r="E87" s="82" t="n">
        <v>45182</v>
      </c>
      <c r="F87" s="83" t="n">
        <v>0.477650462962963</v>
      </c>
      <c r="G87" s="82" t="n">
        <v>45191</v>
      </c>
      <c r="H87" s="83" t="n">
        <v>0.589930555555556</v>
      </c>
      <c r="I87" s="2" t="s">
        <v>570</v>
      </c>
      <c r="J87" s="2" t="s">
        <v>165</v>
      </c>
      <c r="K87" s="46" t="str">
        <f aca="false">INDEX(Products!$B$2:$B$71,MATCH($C87,Products!$A$2:$A$71,0))</f>
        <v>Voluptate Set</v>
      </c>
      <c r="L87" s="46" t="str">
        <f aca="false">INDEX(Products!$C$2:$C$71,MATCH($C87,Products!$A$2:$A$71,0))</f>
        <v>Mugs</v>
      </c>
      <c r="M87" s="84" t="n">
        <f aca="false">INDEX(Products!$D$2:$D$71,MATCH($C87,Products!$A$2:$A$71,0))</f>
        <v>387</v>
      </c>
      <c r="N87" s="84" t="n">
        <f aca="false">$D87*$M87</f>
        <v>1548</v>
      </c>
      <c r="O87" s="46" t="str">
        <f aca="false">INDEX(Customers!$C$2:$C$101,MATCH($B87,Customers!$A$2:$A$101,0))</f>
        <v>Guna</v>
      </c>
      <c r="P87" s="46" t="str">
        <f aca="false">INDEX(Customers!$F$2:$F$101,MATCH($B87,Customers!$A$2:$A$101,0))</f>
        <v>Male</v>
      </c>
      <c r="Q87" s="46" t="str">
        <f aca="false">INDEX(Customers!$B$2:$B$101,MATCH($B87,Customers!$A$2:$A$101,0))</f>
        <v>Tara Kannan</v>
      </c>
      <c r="R87" s="46" t="n">
        <f aca="false">MONTH($E87)</f>
        <v>9</v>
      </c>
      <c r="S87" s="46" t="str">
        <f aca="false">INDEX(Lists!$B$2:$B$13,$R87)</f>
        <v>September</v>
      </c>
      <c r="T87" s="46" t="n">
        <f aca="false">HOUR($F87)</f>
        <v>11</v>
      </c>
      <c r="U87" s="46" t="n">
        <f aca="false">WEEKDAY($E87,2)</f>
        <v>3</v>
      </c>
      <c r="V87" s="46" t="str">
        <f aca="false">INDEX(Lists!$F$2:$F$8,$U87)</f>
        <v>Wednesday</v>
      </c>
      <c r="W87" s="85" t="n">
        <f aca="false">($G87+$H87)-($E87+$F87)</f>
        <v>9.11228009259259</v>
      </c>
      <c r="X87" s="46" t="str">
        <f aca="false">LOOKUP($M87,Lists!$G$2:$G$5,Lists!$H$2:$H$5)</f>
        <v>₹0 - 499</v>
      </c>
      <c r="Y87" s="46" t="str">
        <f aca="false">LOOKUP($W87,Lists!$I$2:$I$7,Lists!$J$2:$J$7)</f>
        <v>8 - 10 days</v>
      </c>
    </row>
    <row r="88" customFormat="false" ht="15" hidden="false" customHeight="false" outlineLevel="0" collapsed="false">
      <c r="A88" s="7" t="n">
        <v>87</v>
      </c>
      <c r="B88" s="7" t="s">
        <v>269</v>
      </c>
      <c r="C88" s="7" t="n">
        <v>2</v>
      </c>
      <c r="D88" s="7" t="n">
        <v>5</v>
      </c>
      <c r="E88" s="77" t="n">
        <v>44961</v>
      </c>
      <c r="F88" s="78" t="n">
        <v>0.553715277777778</v>
      </c>
      <c r="G88" s="77" t="n">
        <v>44968</v>
      </c>
      <c r="H88" s="78" t="n">
        <v>0.962916666666667</v>
      </c>
      <c r="I88" s="7" t="s">
        <v>480</v>
      </c>
      <c r="J88" s="7" t="s">
        <v>179</v>
      </c>
      <c r="K88" s="79" t="str">
        <f aca="false">INDEX(Products!$B$2:$B$71,MATCH($C88,Products!$A$2:$A$71,0))</f>
        <v>Voluptas Box</v>
      </c>
      <c r="L88" s="79" t="str">
        <f aca="false">INDEX(Products!$C$2:$C$71,MATCH($C88,Products!$A$2:$A$71,0))</f>
        <v>Plants</v>
      </c>
      <c r="M88" s="80" t="n">
        <f aca="false">INDEX(Products!$D$2:$D$71,MATCH($C88,Products!$A$2:$A$71,0))</f>
        <v>441</v>
      </c>
      <c r="N88" s="80" t="n">
        <f aca="false">$D88*$M88</f>
        <v>2205</v>
      </c>
      <c r="O88" s="79" t="str">
        <f aca="false">INDEX(Customers!$C$2:$C$101,MATCH($B88,Customers!$A$2:$A$101,0))</f>
        <v>Imphal</v>
      </c>
      <c r="P88" s="79" t="str">
        <f aca="false">INDEX(Customers!$F$2:$F$101,MATCH($B88,Customers!$A$2:$A$101,0))</f>
        <v>Male</v>
      </c>
      <c r="Q88" s="79" t="str">
        <f aca="false">INDEX(Customers!$B$2:$B$101,MATCH($B88,Customers!$A$2:$A$101,0))</f>
        <v>Umang Luthra</v>
      </c>
      <c r="R88" s="79" t="n">
        <f aca="false">MONTH($E88)</f>
        <v>2</v>
      </c>
      <c r="S88" s="79" t="str">
        <f aca="false">INDEX(Lists!$B$2:$B$13,$R88)</f>
        <v>February</v>
      </c>
      <c r="T88" s="79" t="n">
        <f aca="false">HOUR($F88)</f>
        <v>13</v>
      </c>
      <c r="U88" s="79" t="n">
        <f aca="false">WEEKDAY($E88,2)</f>
        <v>6</v>
      </c>
      <c r="V88" s="79" t="str">
        <f aca="false">INDEX(Lists!$F$2:$F$8,$U88)</f>
        <v>Saturday</v>
      </c>
      <c r="W88" s="81" t="n">
        <f aca="false">($G88+$H88)-($E88+$F88)</f>
        <v>7.40920138888889</v>
      </c>
      <c r="X88" s="79" t="str">
        <f aca="false">LOOKUP($M88,Lists!$G$2:$G$5,Lists!$H$2:$H$5)</f>
        <v>₹0 - 499</v>
      </c>
      <c r="Y88" s="79" t="str">
        <f aca="false">LOOKUP($W88,Lists!$I$2:$I$7,Lists!$J$2:$J$7)</f>
        <v>6 - 8 days</v>
      </c>
    </row>
    <row r="89" customFormat="false" ht="15" hidden="false" customHeight="false" outlineLevel="0" collapsed="false">
      <c r="A89" s="2" t="n">
        <v>88</v>
      </c>
      <c r="B89" s="2" t="s">
        <v>145</v>
      </c>
      <c r="C89" s="2" t="n">
        <v>15</v>
      </c>
      <c r="D89" s="2" t="n">
        <v>4</v>
      </c>
      <c r="E89" s="82" t="n">
        <v>45282</v>
      </c>
      <c r="F89" s="83" t="n">
        <v>0.418414351851852</v>
      </c>
      <c r="G89" s="82" t="n">
        <v>45292</v>
      </c>
      <c r="H89" s="83" t="n">
        <v>0.51244212962963</v>
      </c>
      <c r="I89" s="2" t="s">
        <v>189</v>
      </c>
      <c r="J89" s="2" t="s">
        <v>168</v>
      </c>
      <c r="K89" s="46" t="str">
        <f aca="false">INDEX(Products!$B$2:$B$71,MATCH($C89,Products!$A$2:$A$71,0))</f>
        <v>Repudiandae Box</v>
      </c>
      <c r="L89" s="46" t="str">
        <f aca="false">INDEX(Products!$C$2:$C$71,MATCH($C89,Products!$A$2:$A$71,0))</f>
        <v>Raksha Bandhan</v>
      </c>
      <c r="M89" s="84" t="n">
        <f aca="false">INDEX(Products!$D$2:$D$71,MATCH($C89,Products!$A$2:$A$71,0))</f>
        <v>1488</v>
      </c>
      <c r="N89" s="84" t="n">
        <f aca="false">$D89*$M89</f>
        <v>5952</v>
      </c>
      <c r="O89" s="46" t="str">
        <f aca="false">INDEX(Customers!$C$2:$C$101,MATCH($B89,Customers!$A$2:$A$101,0))</f>
        <v>Chinsurah</v>
      </c>
      <c r="P89" s="46" t="str">
        <f aca="false">INDEX(Customers!$F$2:$F$101,MATCH($B89,Customers!$A$2:$A$101,0))</f>
        <v>Female</v>
      </c>
      <c r="Q89" s="46" t="str">
        <f aca="false">INDEX(Customers!$B$2:$B$101,MATCH($B89,Customers!$A$2:$A$101,0))</f>
        <v>Veer Ray</v>
      </c>
      <c r="R89" s="46" t="n">
        <f aca="false">MONTH($E89)</f>
        <v>12</v>
      </c>
      <c r="S89" s="46" t="str">
        <f aca="false">INDEX(Lists!$B$2:$B$13,$R89)</f>
        <v>December</v>
      </c>
      <c r="T89" s="46" t="n">
        <f aca="false">HOUR($F89)</f>
        <v>10</v>
      </c>
      <c r="U89" s="46" t="n">
        <f aca="false">WEEKDAY($E89,2)</f>
        <v>5</v>
      </c>
      <c r="V89" s="46" t="str">
        <f aca="false">INDEX(Lists!$F$2:$F$8,$U89)</f>
        <v>Friday</v>
      </c>
      <c r="W89" s="85" t="n">
        <f aca="false">($G89+$H89)-($E89+$F89)</f>
        <v>10.0940277777778</v>
      </c>
      <c r="X89" s="46" t="str">
        <f aca="false">LOOKUP($M89,Lists!$G$2:$G$5,Lists!$H$2:$H$5)</f>
        <v>₹1,000 - 1,499</v>
      </c>
      <c r="Y89" s="46" t="str">
        <f aca="false">LOOKUP($W89,Lists!$I$2:$I$7,Lists!$J$2:$J$7)</f>
        <v>Over 10 days</v>
      </c>
    </row>
    <row r="90" customFormat="false" ht="15" hidden="false" customHeight="false" outlineLevel="0" collapsed="false">
      <c r="A90" s="7" t="n">
        <v>89</v>
      </c>
      <c r="B90" s="7" t="s">
        <v>283</v>
      </c>
      <c r="C90" s="7" t="n">
        <v>3</v>
      </c>
      <c r="D90" s="7" t="n">
        <v>5</v>
      </c>
      <c r="E90" s="77" t="n">
        <v>44969</v>
      </c>
      <c r="F90" s="78" t="n">
        <v>0.956157407407407</v>
      </c>
      <c r="G90" s="77" t="n">
        <v>44970</v>
      </c>
      <c r="H90" s="78" t="n">
        <v>0.612280092592593</v>
      </c>
      <c r="I90" s="7" t="s">
        <v>187</v>
      </c>
      <c r="J90" s="7" t="s">
        <v>179</v>
      </c>
      <c r="K90" s="79" t="str">
        <f aca="false">INDEX(Products!$B$2:$B$71,MATCH($C90,Products!$A$2:$A$71,0))</f>
        <v>Eius Gift</v>
      </c>
      <c r="L90" s="79" t="str">
        <f aca="false">INDEX(Products!$C$2:$C$71,MATCH($C90,Products!$A$2:$A$71,0))</f>
        <v>Colors</v>
      </c>
      <c r="M90" s="80" t="n">
        <f aca="false">INDEX(Products!$D$2:$D$71,MATCH($C90,Products!$A$2:$A$71,0))</f>
        <v>1534</v>
      </c>
      <c r="N90" s="80" t="n">
        <f aca="false">$D90*$M90</f>
        <v>7670</v>
      </c>
      <c r="O90" s="79" t="str">
        <f aca="false">INDEX(Customers!$C$2:$C$101,MATCH($B90,Customers!$A$2:$A$101,0))</f>
        <v>Satara</v>
      </c>
      <c r="P90" s="79" t="str">
        <f aca="false">INDEX(Customers!$F$2:$F$101,MATCH($B90,Customers!$A$2:$A$101,0))</f>
        <v>Male</v>
      </c>
      <c r="Q90" s="79" t="str">
        <f aca="false">INDEX(Customers!$B$2:$B$101,MATCH($B90,Customers!$A$2:$A$101,0))</f>
        <v>Riya Wagle</v>
      </c>
      <c r="R90" s="79" t="n">
        <f aca="false">MONTH($E90)</f>
        <v>2</v>
      </c>
      <c r="S90" s="79" t="str">
        <f aca="false">INDEX(Lists!$B$2:$B$13,$R90)</f>
        <v>February</v>
      </c>
      <c r="T90" s="79" t="n">
        <f aca="false">HOUR($F90)</f>
        <v>22</v>
      </c>
      <c r="U90" s="79" t="n">
        <f aca="false">WEEKDAY($E90,2)</f>
        <v>7</v>
      </c>
      <c r="V90" s="79" t="str">
        <f aca="false">INDEX(Lists!$F$2:$F$8,$U90)</f>
        <v>Sunday</v>
      </c>
      <c r="W90" s="81" t="n">
        <f aca="false">($G90+$H90)-($E90+$F90)</f>
        <v>0.656122685185185</v>
      </c>
      <c r="X90" s="79" t="str">
        <f aca="false">LOOKUP($M90,Lists!$G$2:$G$5,Lists!$H$2:$H$5)</f>
        <v>₹1,500 - 2,000</v>
      </c>
      <c r="Y90" s="79" t="str">
        <f aca="false">LOOKUP($W90,Lists!$I$2:$I$7,Lists!$J$2:$J$7)</f>
        <v>0 - 2 days</v>
      </c>
    </row>
    <row r="91" customFormat="false" ht="15" hidden="false" customHeight="false" outlineLevel="0" collapsed="false">
      <c r="A91" s="2" t="n">
        <v>90</v>
      </c>
      <c r="B91" s="2" t="s">
        <v>360</v>
      </c>
      <c r="C91" s="2" t="n">
        <v>41</v>
      </c>
      <c r="D91" s="2" t="n">
        <v>3</v>
      </c>
      <c r="E91" s="82" t="n">
        <v>45239</v>
      </c>
      <c r="F91" s="83" t="n">
        <v>0.871018518518519</v>
      </c>
      <c r="G91" s="82" t="n">
        <v>45248</v>
      </c>
      <c r="H91" s="83" t="n">
        <v>0.742071759259259</v>
      </c>
      <c r="I91" s="2" t="s">
        <v>562</v>
      </c>
      <c r="J91" s="2" t="s">
        <v>32</v>
      </c>
      <c r="K91" s="46" t="str">
        <f aca="false">INDEX(Products!$B$2:$B$71,MATCH($C91,Products!$A$2:$A$71,0))</f>
        <v>Aut Box</v>
      </c>
      <c r="L91" s="46" t="str">
        <f aca="false">INDEX(Products!$C$2:$C$71,MATCH($C91,Products!$A$2:$A$71,0))</f>
        <v>Sweets</v>
      </c>
      <c r="M91" s="84" t="n">
        <f aca="false">INDEX(Products!$D$2:$D$71,MATCH($C91,Products!$A$2:$A$71,0))</f>
        <v>1977</v>
      </c>
      <c r="N91" s="84" t="n">
        <f aca="false">$D91*$M91</f>
        <v>5931</v>
      </c>
      <c r="O91" s="46" t="str">
        <f aca="false">INDEX(Customers!$C$2:$C$101,MATCH($B91,Customers!$A$2:$A$101,0))</f>
        <v>Khora </v>
      </c>
      <c r="P91" s="46" t="str">
        <f aca="false">INDEX(Customers!$F$2:$F$101,MATCH($B91,Customers!$A$2:$A$101,0))</f>
        <v>Female</v>
      </c>
      <c r="Q91" s="46" t="str">
        <f aca="false">INDEX(Customers!$B$2:$B$101,MATCH($B91,Customers!$A$2:$A$101,0))</f>
        <v>Shalv Kulkarni</v>
      </c>
      <c r="R91" s="46" t="n">
        <f aca="false">MONTH($E91)</f>
        <v>11</v>
      </c>
      <c r="S91" s="46" t="str">
        <f aca="false">INDEX(Lists!$B$2:$B$13,$R91)</f>
        <v>November</v>
      </c>
      <c r="T91" s="46" t="n">
        <f aca="false">HOUR($F91)</f>
        <v>20</v>
      </c>
      <c r="U91" s="46" t="n">
        <f aca="false">WEEKDAY($E91,2)</f>
        <v>4</v>
      </c>
      <c r="V91" s="46" t="str">
        <f aca="false">INDEX(Lists!$F$2:$F$8,$U91)</f>
        <v>Thursday</v>
      </c>
      <c r="W91" s="85" t="n">
        <f aca="false">($G91+$H91)-($E91+$F91)</f>
        <v>8.87105324074074</v>
      </c>
      <c r="X91" s="46" t="str">
        <f aca="false">LOOKUP($M91,Lists!$G$2:$G$5,Lists!$H$2:$H$5)</f>
        <v>₹1,500 - 2,000</v>
      </c>
      <c r="Y91" s="46" t="str">
        <f aca="false">LOOKUP($W91,Lists!$I$2:$I$7,Lists!$J$2:$J$7)</f>
        <v>8 - 10 days</v>
      </c>
    </row>
    <row r="92" customFormat="false" ht="15" hidden="false" customHeight="false" outlineLevel="0" collapsed="false">
      <c r="A92" s="7" t="n">
        <v>91</v>
      </c>
      <c r="B92" s="7" t="s">
        <v>285</v>
      </c>
      <c r="C92" s="7" t="n">
        <v>6</v>
      </c>
      <c r="D92" s="7" t="n">
        <v>2</v>
      </c>
      <c r="E92" s="77" t="n">
        <v>44984</v>
      </c>
      <c r="F92" s="78" t="n">
        <v>0.578425925925926</v>
      </c>
      <c r="G92" s="77" t="n">
        <v>44990</v>
      </c>
      <c r="H92" s="78" t="n">
        <v>0.557928240740741</v>
      </c>
      <c r="I92" s="7" t="s">
        <v>478</v>
      </c>
      <c r="J92" s="7" t="s">
        <v>33</v>
      </c>
      <c r="K92" s="79" t="str">
        <f aca="false">INDEX(Products!$B$2:$B$71,MATCH($C92,Products!$A$2:$A$71,0))</f>
        <v>Quos Box</v>
      </c>
      <c r="L92" s="79" t="str">
        <f aca="false">INDEX(Products!$C$2:$C$71,MATCH($C92,Products!$A$2:$A$71,0))</f>
        <v>Cake</v>
      </c>
      <c r="M92" s="80" t="n">
        <f aca="false">INDEX(Products!$D$2:$D$71,MATCH($C92,Products!$A$2:$A$71,0))</f>
        <v>1112</v>
      </c>
      <c r="N92" s="80" t="n">
        <f aca="false">$D92*$M92</f>
        <v>2224</v>
      </c>
      <c r="O92" s="79" t="str">
        <f aca="false">INDEX(Customers!$C$2:$C$101,MATCH($B92,Customers!$A$2:$A$101,0))</f>
        <v>Kavali</v>
      </c>
      <c r="P92" s="79" t="str">
        <f aca="false">INDEX(Customers!$F$2:$F$101,MATCH($B92,Customers!$A$2:$A$101,0))</f>
        <v>Female</v>
      </c>
      <c r="Q92" s="79" t="str">
        <f aca="false">INDEX(Customers!$B$2:$B$101,MATCH($B92,Customers!$A$2:$A$101,0))</f>
        <v>Akarsh Ramesh</v>
      </c>
      <c r="R92" s="79" t="n">
        <f aca="false">MONTH($E92)</f>
        <v>2</v>
      </c>
      <c r="S92" s="79" t="str">
        <f aca="false">INDEX(Lists!$B$2:$B$13,$R92)</f>
        <v>February</v>
      </c>
      <c r="T92" s="79" t="n">
        <f aca="false">HOUR($F92)</f>
        <v>13</v>
      </c>
      <c r="U92" s="79" t="n">
        <f aca="false">WEEKDAY($E92,2)</f>
        <v>1</v>
      </c>
      <c r="V92" s="79" t="str">
        <f aca="false">INDEX(Lists!$F$2:$F$8,$U92)</f>
        <v>Monday</v>
      </c>
      <c r="W92" s="81" t="n">
        <f aca="false">($G92+$H92)-($E92+$F92)</f>
        <v>5.97950231481482</v>
      </c>
      <c r="X92" s="79" t="str">
        <f aca="false">LOOKUP($M92,Lists!$G$2:$G$5,Lists!$H$2:$H$5)</f>
        <v>₹1,000 - 1,499</v>
      </c>
      <c r="Y92" s="79" t="str">
        <f aca="false">LOOKUP($W92,Lists!$I$2:$I$7,Lists!$J$2:$J$7)</f>
        <v>4 - 6 days</v>
      </c>
    </row>
    <row r="93" customFormat="false" ht="15" hidden="false" customHeight="false" outlineLevel="0" collapsed="false">
      <c r="A93" s="2" t="n">
        <v>92</v>
      </c>
      <c r="B93" s="2" t="s">
        <v>392</v>
      </c>
      <c r="C93" s="2" t="n">
        <v>18</v>
      </c>
      <c r="D93" s="2" t="n">
        <v>5</v>
      </c>
      <c r="E93" s="82" t="n">
        <v>45061</v>
      </c>
      <c r="F93" s="83" t="n">
        <v>0.00784722222222222</v>
      </c>
      <c r="G93" s="82" t="n">
        <v>45071</v>
      </c>
      <c r="H93" s="83" t="n">
        <v>0.470775462962963</v>
      </c>
      <c r="I93" s="2" t="s">
        <v>548</v>
      </c>
      <c r="J93" s="2" t="s">
        <v>31</v>
      </c>
      <c r="K93" s="46" t="str">
        <f aca="false">INDEX(Products!$B$2:$B$71,MATCH($C93,Products!$A$2:$A$71,0))</f>
        <v>Nemo Set</v>
      </c>
      <c r="L93" s="46" t="str">
        <f aca="false">INDEX(Products!$C$2:$C$71,MATCH($C93,Products!$A$2:$A$71,0))</f>
        <v>Plants</v>
      </c>
      <c r="M93" s="84" t="n">
        <f aca="false">INDEX(Products!$D$2:$D$71,MATCH($C93,Products!$A$2:$A$71,0))</f>
        <v>781</v>
      </c>
      <c r="N93" s="84" t="n">
        <f aca="false">$D93*$M93</f>
        <v>3905</v>
      </c>
      <c r="O93" s="46" t="str">
        <f aca="false">INDEX(Customers!$C$2:$C$101,MATCH($B93,Customers!$A$2:$A$101,0))</f>
        <v>Phagwara</v>
      </c>
      <c r="P93" s="46" t="str">
        <f aca="false">INDEX(Customers!$F$2:$F$101,MATCH($B93,Customers!$A$2:$A$101,0))</f>
        <v>Female</v>
      </c>
      <c r="Q93" s="46" t="str">
        <f aca="false">INDEX(Customers!$B$2:$B$101,MATCH($B93,Customers!$A$2:$A$101,0))</f>
        <v>Pranay Chaudhary</v>
      </c>
      <c r="R93" s="46" t="n">
        <f aca="false">MONTH($E93)</f>
        <v>5</v>
      </c>
      <c r="S93" s="46" t="str">
        <f aca="false">INDEX(Lists!$B$2:$B$13,$R93)</f>
        <v>May</v>
      </c>
      <c r="T93" s="46" t="n">
        <f aca="false">HOUR($F93)</f>
        <v>0</v>
      </c>
      <c r="U93" s="46" t="n">
        <f aca="false">WEEKDAY($E93,2)</f>
        <v>1</v>
      </c>
      <c r="V93" s="46" t="str">
        <f aca="false">INDEX(Lists!$F$2:$F$8,$U93)</f>
        <v>Monday</v>
      </c>
      <c r="W93" s="85" t="n">
        <f aca="false">($G93+$H93)-($E93+$F93)</f>
        <v>10.4629282407407</v>
      </c>
      <c r="X93" s="46" t="str">
        <f aca="false">LOOKUP($M93,Lists!$G$2:$G$5,Lists!$H$2:$H$5)</f>
        <v>₹500 - 999</v>
      </c>
      <c r="Y93" s="46" t="str">
        <f aca="false">LOOKUP($W93,Lists!$I$2:$I$7,Lists!$J$2:$J$7)</f>
        <v>Over 10 days</v>
      </c>
    </row>
    <row r="94" customFormat="false" ht="15" hidden="false" customHeight="false" outlineLevel="0" collapsed="false">
      <c r="A94" s="7" t="n">
        <v>93</v>
      </c>
      <c r="B94" s="7" t="s">
        <v>245</v>
      </c>
      <c r="C94" s="7" t="n">
        <v>24</v>
      </c>
      <c r="D94" s="7" t="n">
        <v>4</v>
      </c>
      <c r="E94" s="77" t="n">
        <v>45047</v>
      </c>
      <c r="F94" s="78" t="n">
        <v>0.743738425925926</v>
      </c>
      <c r="G94" s="77" t="n">
        <v>45049</v>
      </c>
      <c r="H94" s="78" t="n">
        <v>0.774953703703704</v>
      </c>
      <c r="I94" s="7" t="s">
        <v>609</v>
      </c>
      <c r="J94" s="7" t="s">
        <v>31</v>
      </c>
      <c r="K94" s="79" t="str">
        <f aca="false">INDEX(Products!$B$2:$B$71,MATCH($C94,Products!$A$2:$A$71,0))</f>
        <v>Ad Box</v>
      </c>
      <c r="L94" s="79" t="str">
        <f aca="false">INDEX(Products!$C$2:$C$71,MATCH($C94,Products!$A$2:$A$71,0))</f>
        <v>Mugs</v>
      </c>
      <c r="M94" s="80" t="n">
        <f aca="false">INDEX(Products!$D$2:$D$71,MATCH($C94,Products!$A$2:$A$71,0))</f>
        <v>535</v>
      </c>
      <c r="N94" s="80" t="n">
        <f aca="false">$D94*$M94</f>
        <v>2140</v>
      </c>
      <c r="O94" s="79" t="str">
        <f aca="false">INDEX(Customers!$C$2:$C$101,MATCH($B94,Customers!$A$2:$A$101,0))</f>
        <v>Jorhat</v>
      </c>
      <c r="P94" s="79" t="str">
        <f aca="false">INDEX(Customers!$F$2:$F$101,MATCH($B94,Customers!$A$2:$A$101,0))</f>
        <v>Male</v>
      </c>
      <c r="Q94" s="79" t="str">
        <f aca="false">INDEX(Customers!$B$2:$B$101,MATCH($B94,Customers!$A$2:$A$101,0))</f>
        <v>Bhamini Ravi</v>
      </c>
      <c r="R94" s="79" t="n">
        <f aca="false">MONTH($E94)</f>
        <v>5</v>
      </c>
      <c r="S94" s="79" t="str">
        <f aca="false">INDEX(Lists!$B$2:$B$13,$R94)</f>
        <v>May</v>
      </c>
      <c r="T94" s="79" t="n">
        <f aca="false">HOUR($F94)</f>
        <v>17</v>
      </c>
      <c r="U94" s="79" t="n">
        <f aca="false">WEEKDAY($E94,2)</f>
        <v>1</v>
      </c>
      <c r="V94" s="79" t="str">
        <f aca="false">INDEX(Lists!$F$2:$F$8,$U94)</f>
        <v>Monday</v>
      </c>
      <c r="W94" s="81" t="n">
        <f aca="false">($G94+$H94)-($E94+$F94)</f>
        <v>2.03121527777778</v>
      </c>
      <c r="X94" s="79" t="str">
        <f aca="false">LOOKUP($M94,Lists!$G$2:$G$5,Lists!$H$2:$H$5)</f>
        <v>₹500 - 999</v>
      </c>
      <c r="Y94" s="79" t="str">
        <f aca="false">LOOKUP($W94,Lists!$I$2:$I$7,Lists!$J$2:$J$7)</f>
        <v>2 - 4 days</v>
      </c>
    </row>
    <row r="95" customFormat="false" ht="15" hidden="false" customHeight="false" outlineLevel="0" collapsed="false">
      <c r="A95" s="2" t="n">
        <v>94</v>
      </c>
      <c r="B95" s="2" t="s">
        <v>390</v>
      </c>
      <c r="C95" s="2" t="n">
        <v>69</v>
      </c>
      <c r="D95" s="2" t="n">
        <v>5</v>
      </c>
      <c r="E95" s="82" t="n">
        <v>44987</v>
      </c>
      <c r="F95" s="83" t="n">
        <v>0.618842592592593</v>
      </c>
      <c r="G95" s="82" t="n">
        <v>44996</v>
      </c>
      <c r="H95" s="83" t="n">
        <v>0.343622685185185</v>
      </c>
      <c r="I95" s="2" t="s">
        <v>533</v>
      </c>
      <c r="J95" s="2" t="s">
        <v>33</v>
      </c>
      <c r="K95" s="46" t="str">
        <f aca="false">INDEX(Products!$B$2:$B$71,MATCH($C95,Products!$A$2:$A$71,0))</f>
        <v>Id Box</v>
      </c>
      <c r="L95" s="46" t="str">
        <f aca="false">INDEX(Products!$C$2:$C$71,MATCH($C95,Products!$A$2:$A$71,0))</f>
        <v>Cake</v>
      </c>
      <c r="M95" s="84" t="n">
        <f aca="false">INDEX(Products!$D$2:$D$71,MATCH($C95,Products!$A$2:$A$71,0))</f>
        <v>998</v>
      </c>
      <c r="N95" s="84" t="n">
        <f aca="false">$D95*$M95</f>
        <v>4990</v>
      </c>
      <c r="O95" s="46" t="str">
        <f aca="false">INDEX(Customers!$C$2:$C$101,MATCH($B95,Customers!$A$2:$A$101,0))</f>
        <v>Dhanbad</v>
      </c>
      <c r="P95" s="46" t="str">
        <f aca="false">INDEX(Customers!$F$2:$F$101,MATCH($B95,Customers!$A$2:$A$101,0))</f>
        <v>Female</v>
      </c>
      <c r="Q95" s="46" t="str">
        <f aca="false">INDEX(Customers!$B$2:$B$101,MATCH($B95,Customers!$A$2:$A$101,0))</f>
        <v>Ranbir Loyal</v>
      </c>
      <c r="R95" s="46" t="n">
        <f aca="false">MONTH($E95)</f>
        <v>3</v>
      </c>
      <c r="S95" s="46" t="str">
        <f aca="false">INDEX(Lists!$B$2:$B$13,$R95)</f>
        <v>March</v>
      </c>
      <c r="T95" s="46" t="n">
        <f aca="false">HOUR($F95)</f>
        <v>14</v>
      </c>
      <c r="U95" s="46" t="n">
        <f aca="false">WEEKDAY($E95,2)</f>
        <v>4</v>
      </c>
      <c r="V95" s="46" t="str">
        <f aca="false">INDEX(Lists!$F$2:$F$8,$U95)</f>
        <v>Thursday</v>
      </c>
      <c r="W95" s="85" t="n">
        <f aca="false">($G95+$H95)-($E95+$F95)</f>
        <v>8.72478009259259</v>
      </c>
      <c r="X95" s="46" t="str">
        <f aca="false">LOOKUP($M95,Lists!$G$2:$G$5,Lists!$H$2:$H$5)</f>
        <v>₹500 - 999</v>
      </c>
      <c r="Y95" s="46" t="str">
        <f aca="false">LOOKUP($W95,Lists!$I$2:$I$7,Lists!$J$2:$J$7)</f>
        <v>8 - 10 days</v>
      </c>
    </row>
    <row r="96" customFormat="false" ht="15" hidden="false" customHeight="false" outlineLevel="0" collapsed="false">
      <c r="A96" s="7" t="n">
        <v>95</v>
      </c>
      <c r="B96" s="7" t="s">
        <v>221</v>
      </c>
      <c r="C96" s="7" t="n">
        <v>70</v>
      </c>
      <c r="D96" s="7" t="n">
        <v>4</v>
      </c>
      <c r="E96" s="77" t="n">
        <v>45075</v>
      </c>
      <c r="F96" s="78" t="n">
        <v>0.329641203703704</v>
      </c>
      <c r="G96" s="77" t="n">
        <v>45080</v>
      </c>
      <c r="H96" s="78" t="n">
        <v>0.303159722222222</v>
      </c>
      <c r="I96" s="7" t="s">
        <v>506</v>
      </c>
      <c r="J96" s="7" t="s">
        <v>31</v>
      </c>
      <c r="K96" s="79" t="str">
        <f aca="false">INDEX(Products!$B$2:$B$71,MATCH($C96,Products!$A$2:$A$71,0))</f>
        <v>Error Gift</v>
      </c>
      <c r="L96" s="79" t="str">
        <f aca="false">INDEX(Products!$C$2:$C$71,MATCH($C96,Products!$A$2:$A$71,0))</f>
        <v>Sweets</v>
      </c>
      <c r="M96" s="80" t="n">
        <f aca="false">INDEX(Products!$D$2:$D$71,MATCH($C96,Products!$A$2:$A$71,0))</f>
        <v>866</v>
      </c>
      <c r="N96" s="80" t="n">
        <f aca="false">$D96*$M96</f>
        <v>3464</v>
      </c>
      <c r="O96" s="79" t="str">
        <f aca="false">INDEX(Customers!$C$2:$C$101,MATCH($B96,Customers!$A$2:$A$101,0))</f>
        <v>Kamarhati</v>
      </c>
      <c r="P96" s="79" t="str">
        <f aca="false">INDEX(Customers!$F$2:$F$101,MATCH($B96,Customers!$A$2:$A$101,0))</f>
        <v>Male</v>
      </c>
      <c r="Q96" s="79" t="str">
        <f aca="false">INDEX(Customers!$B$2:$B$101,MATCH($B96,Customers!$A$2:$A$101,0))</f>
        <v>Kaira Bahl</v>
      </c>
      <c r="R96" s="79" t="n">
        <f aca="false">MONTH($E96)</f>
        <v>5</v>
      </c>
      <c r="S96" s="79" t="str">
        <f aca="false">INDEX(Lists!$B$2:$B$13,$R96)</f>
        <v>May</v>
      </c>
      <c r="T96" s="79" t="n">
        <f aca="false">HOUR($F96)</f>
        <v>7</v>
      </c>
      <c r="U96" s="79" t="n">
        <f aca="false">WEEKDAY($E96,2)</f>
        <v>1</v>
      </c>
      <c r="V96" s="79" t="str">
        <f aca="false">INDEX(Lists!$F$2:$F$8,$U96)</f>
        <v>Monday</v>
      </c>
      <c r="W96" s="81" t="n">
        <f aca="false">($G96+$H96)-($E96+$F96)</f>
        <v>4.97351851851852</v>
      </c>
      <c r="X96" s="79" t="str">
        <f aca="false">LOOKUP($M96,Lists!$G$2:$G$5,Lists!$H$2:$H$5)</f>
        <v>₹500 - 999</v>
      </c>
      <c r="Y96" s="79" t="str">
        <f aca="false">LOOKUP($W96,Lists!$I$2:$I$7,Lists!$J$2:$J$7)</f>
        <v>4 - 6 days</v>
      </c>
    </row>
    <row r="97" customFormat="false" ht="15" hidden="false" customHeight="false" outlineLevel="0" collapsed="false">
      <c r="A97" s="2" t="n">
        <v>96</v>
      </c>
      <c r="B97" s="2" t="s">
        <v>390</v>
      </c>
      <c r="C97" s="2" t="n">
        <v>25</v>
      </c>
      <c r="D97" s="2" t="n">
        <v>3</v>
      </c>
      <c r="E97" s="82" t="n">
        <v>44999</v>
      </c>
      <c r="F97" s="83" t="n">
        <v>0.625243055555556</v>
      </c>
      <c r="G97" s="82" t="n">
        <v>45008</v>
      </c>
      <c r="H97" s="83" t="n">
        <v>0.372291666666667</v>
      </c>
      <c r="I97" s="2" t="s">
        <v>471</v>
      </c>
      <c r="J97" s="2" t="s">
        <v>168</v>
      </c>
      <c r="K97" s="46" t="str">
        <f aca="false">INDEX(Products!$B$2:$B$71,MATCH($C97,Products!$A$2:$A$71,0))</f>
        <v>Qui Gift</v>
      </c>
      <c r="L97" s="46" t="str">
        <f aca="false">INDEX(Products!$C$2:$C$71,MATCH($C97,Products!$A$2:$A$71,0))</f>
        <v>Plants</v>
      </c>
      <c r="M97" s="84" t="n">
        <f aca="false">INDEX(Products!$D$2:$D$71,MATCH($C97,Products!$A$2:$A$71,0))</f>
        <v>1202</v>
      </c>
      <c r="N97" s="84" t="n">
        <f aca="false">$D97*$M97</f>
        <v>3606</v>
      </c>
      <c r="O97" s="46" t="str">
        <f aca="false">INDEX(Customers!$C$2:$C$101,MATCH($B97,Customers!$A$2:$A$101,0))</f>
        <v>Dhanbad</v>
      </c>
      <c r="P97" s="46" t="str">
        <f aca="false">INDEX(Customers!$F$2:$F$101,MATCH($B97,Customers!$A$2:$A$101,0))</f>
        <v>Female</v>
      </c>
      <c r="Q97" s="46" t="str">
        <f aca="false">INDEX(Customers!$B$2:$B$101,MATCH($B97,Customers!$A$2:$A$101,0))</f>
        <v>Ranbir Loyal</v>
      </c>
      <c r="R97" s="46" t="n">
        <f aca="false">MONTH($E97)</f>
        <v>3</v>
      </c>
      <c r="S97" s="46" t="str">
        <f aca="false">INDEX(Lists!$B$2:$B$13,$R97)</f>
        <v>March</v>
      </c>
      <c r="T97" s="46" t="n">
        <f aca="false">HOUR($F97)</f>
        <v>15</v>
      </c>
      <c r="U97" s="46" t="n">
        <f aca="false">WEEKDAY($E97,2)</f>
        <v>2</v>
      </c>
      <c r="V97" s="46" t="str">
        <f aca="false">INDEX(Lists!$F$2:$F$8,$U97)</f>
        <v>Tuesday</v>
      </c>
      <c r="W97" s="85" t="n">
        <f aca="false">($G97+$H97)-($E97+$F97)</f>
        <v>8.74704861111111</v>
      </c>
      <c r="X97" s="46" t="str">
        <f aca="false">LOOKUP($M97,Lists!$G$2:$G$5,Lists!$H$2:$H$5)</f>
        <v>₹1,000 - 1,499</v>
      </c>
      <c r="Y97" s="46" t="str">
        <f aca="false">LOOKUP($W97,Lists!$I$2:$I$7,Lists!$J$2:$J$7)</f>
        <v>8 - 10 days</v>
      </c>
    </row>
    <row r="98" customFormat="false" ht="15" hidden="false" customHeight="false" outlineLevel="0" collapsed="false">
      <c r="A98" s="7" t="n">
        <v>97</v>
      </c>
      <c r="B98" s="7" t="s">
        <v>227</v>
      </c>
      <c r="C98" s="7" t="n">
        <v>41</v>
      </c>
      <c r="D98" s="7" t="n">
        <v>1</v>
      </c>
      <c r="E98" s="77" t="n">
        <v>45233</v>
      </c>
      <c r="F98" s="78" t="n">
        <v>0.841342592592593</v>
      </c>
      <c r="G98" s="77" t="n">
        <v>45238</v>
      </c>
      <c r="H98" s="78" t="n">
        <v>0.0662615740740741</v>
      </c>
      <c r="I98" s="7" t="s">
        <v>238</v>
      </c>
      <c r="J98" s="7" t="s">
        <v>32</v>
      </c>
      <c r="K98" s="79" t="str">
        <f aca="false">INDEX(Products!$B$2:$B$71,MATCH($C98,Products!$A$2:$A$71,0))</f>
        <v>Aut Box</v>
      </c>
      <c r="L98" s="79" t="str">
        <f aca="false">INDEX(Products!$C$2:$C$71,MATCH($C98,Products!$A$2:$A$71,0))</f>
        <v>Sweets</v>
      </c>
      <c r="M98" s="80" t="n">
        <f aca="false">INDEX(Products!$D$2:$D$71,MATCH($C98,Products!$A$2:$A$71,0))</f>
        <v>1977</v>
      </c>
      <c r="N98" s="80" t="n">
        <f aca="false">$D98*$M98</f>
        <v>1977</v>
      </c>
      <c r="O98" s="79" t="str">
        <f aca="false">INDEX(Customers!$C$2:$C$101,MATCH($B98,Customers!$A$2:$A$101,0))</f>
        <v>Karaikudi</v>
      </c>
      <c r="P98" s="79" t="str">
        <f aca="false">INDEX(Customers!$F$2:$F$101,MATCH($B98,Customers!$A$2:$A$101,0))</f>
        <v>Male</v>
      </c>
      <c r="Q98" s="79" t="str">
        <f aca="false">INDEX(Customers!$B$2:$B$101,MATCH($B98,Customers!$A$2:$A$101,0))</f>
        <v>Rati Dhingra</v>
      </c>
      <c r="R98" s="79" t="n">
        <f aca="false">MONTH($E98)</f>
        <v>11</v>
      </c>
      <c r="S98" s="79" t="str">
        <f aca="false">INDEX(Lists!$B$2:$B$13,$R98)</f>
        <v>November</v>
      </c>
      <c r="T98" s="79" t="n">
        <f aca="false">HOUR($F98)</f>
        <v>20</v>
      </c>
      <c r="U98" s="79" t="n">
        <f aca="false">WEEKDAY($E98,2)</f>
        <v>5</v>
      </c>
      <c r="V98" s="79" t="str">
        <f aca="false">INDEX(Lists!$F$2:$F$8,$U98)</f>
        <v>Friday</v>
      </c>
      <c r="W98" s="81" t="n">
        <f aca="false">($G98+$H98)-($E98+$F98)</f>
        <v>4.22491898148148</v>
      </c>
      <c r="X98" s="79" t="str">
        <f aca="false">LOOKUP($M98,Lists!$G$2:$G$5,Lists!$H$2:$H$5)</f>
        <v>₹1,500 - 2,000</v>
      </c>
      <c r="Y98" s="79" t="str">
        <f aca="false">LOOKUP($W98,Lists!$I$2:$I$7,Lists!$J$2:$J$7)</f>
        <v>4 - 6 days</v>
      </c>
    </row>
    <row r="99" customFormat="false" ht="15" hidden="false" customHeight="false" outlineLevel="0" collapsed="false">
      <c r="A99" s="2" t="n">
        <v>98</v>
      </c>
      <c r="B99" s="2" t="s">
        <v>200</v>
      </c>
      <c r="C99" s="2" t="n">
        <v>8</v>
      </c>
      <c r="D99" s="2" t="n">
        <v>1</v>
      </c>
      <c r="E99" s="82" t="n">
        <v>45229</v>
      </c>
      <c r="F99" s="83" t="n">
        <v>0.643055555555556</v>
      </c>
      <c r="G99" s="82" t="n">
        <v>45231</v>
      </c>
      <c r="H99" s="83" t="n">
        <v>0.690601851851852</v>
      </c>
      <c r="I99" s="2" t="s">
        <v>290</v>
      </c>
      <c r="J99" s="2" t="s">
        <v>168</v>
      </c>
      <c r="K99" s="46" t="str">
        <f aca="false">INDEX(Products!$B$2:$B$71,MATCH($C99,Products!$A$2:$A$71,0))</f>
        <v>Qui Box</v>
      </c>
      <c r="L99" s="46" t="str">
        <f aca="false">INDEX(Products!$C$2:$C$71,MATCH($C99,Products!$A$2:$A$71,0))</f>
        <v>Sweets</v>
      </c>
      <c r="M99" s="84" t="n">
        <f aca="false">INDEX(Products!$D$2:$D$71,MATCH($C99,Products!$A$2:$A$71,0))</f>
        <v>252</v>
      </c>
      <c r="N99" s="84" t="n">
        <f aca="false">$D99*$M99</f>
        <v>252</v>
      </c>
      <c r="O99" s="46" t="str">
        <f aca="false">INDEX(Customers!$C$2:$C$101,MATCH($B99,Customers!$A$2:$A$101,0))</f>
        <v>Sasaram</v>
      </c>
      <c r="P99" s="46" t="str">
        <f aca="false">INDEX(Customers!$F$2:$F$101,MATCH($B99,Customers!$A$2:$A$101,0))</f>
        <v>Female</v>
      </c>
      <c r="Q99" s="46" t="str">
        <f aca="false">INDEX(Customers!$B$2:$B$101,MATCH($B99,Customers!$A$2:$A$101,0))</f>
        <v>Madhup Wable</v>
      </c>
      <c r="R99" s="46" t="n">
        <f aca="false">MONTH($E99)</f>
        <v>10</v>
      </c>
      <c r="S99" s="46" t="str">
        <f aca="false">INDEX(Lists!$B$2:$B$13,$R99)</f>
        <v>October</v>
      </c>
      <c r="T99" s="46" t="n">
        <f aca="false">HOUR($F99)</f>
        <v>15</v>
      </c>
      <c r="U99" s="46" t="n">
        <f aca="false">WEEKDAY($E99,2)</f>
        <v>1</v>
      </c>
      <c r="V99" s="46" t="str">
        <f aca="false">INDEX(Lists!$F$2:$F$8,$U99)</f>
        <v>Monday</v>
      </c>
      <c r="W99" s="85" t="n">
        <f aca="false">($G99+$H99)-($E99+$F99)</f>
        <v>2.0475462962963</v>
      </c>
      <c r="X99" s="46" t="str">
        <f aca="false">LOOKUP($M99,Lists!$G$2:$G$5,Lists!$H$2:$H$5)</f>
        <v>₹0 - 499</v>
      </c>
      <c r="Y99" s="46" t="str">
        <f aca="false">LOOKUP($W99,Lists!$I$2:$I$7,Lists!$J$2:$J$7)</f>
        <v>2 - 4 days</v>
      </c>
    </row>
    <row r="100" customFormat="false" ht="15" hidden="false" customHeight="false" outlineLevel="0" collapsed="false">
      <c r="A100" s="7" t="n">
        <v>99</v>
      </c>
      <c r="B100" s="7" t="s">
        <v>254</v>
      </c>
      <c r="C100" s="7" t="n">
        <v>38</v>
      </c>
      <c r="D100" s="7" t="n">
        <v>3</v>
      </c>
      <c r="E100" s="77" t="n">
        <v>45234</v>
      </c>
      <c r="F100" s="78" t="n">
        <v>0.583865740740741</v>
      </c>
      <c r="G100" s="77" t="n">
        <v>45235</v>
      </c>
      <c r="H100" s="78" t="n">
        <v>0.65599537037037</v>
      </c>
      <c r="I100" s="7" t="s">
        <v>293</v>
      </c>
      <c r="J100" s="7" t="s">
        <v>31</v>
      </c>
      <c r="K100" s="79" t="str">
        <f aca="false">INDEX(Products!$B$2:$B$71,MATCH($C100,Products!$A$2:$A$71,0))</f>
        <v>Mollitia Set</v>
      </c>
      <c r="L100" s="79" t="str">
        <f aca="false">INDEX(Products!$C$2:$C$71,MATCH($C100,Products!$A$2:$A$71,0))</f>
        <v>Cake</v>
      </c>
      <c r="M100" s="80" t="n">
        <f aca="false">INDEX(Products!$D$2:$D$71,MATCH($C100,Products!$A$2:$A$71,0))</f>
        <v>562</v>
      </c>
      <c r="N100" s="80" t="n">
        <f aca="false">$D100*$M100</f>
        <v>1686</v>
      </c>
      <c r="O100" s="79" t="str">
        <f aca="false">INDEX(Customers!$C$2:$C$101,MATCH($B100,Customers!$A$2:$A$101,0))</f>
        <v>Imphal</v>
      </c>
      <c r="P100" s="79" t="str">
        <f aca="false">INDEX(Customers!$F$2:$F$101,MATCH($B100,Customers!$A$2:$A$101,0))</f>
        <v>Female</v>
      </c>
      <c r="Q100" s="79" t="str">
        <f aca="false">INDEX(Customers!$B$2:$B$101,MATCH($B100,Customers!$A$2:$A$101,0))</f>
        <v>Chirag Srinivas</v>
      </c>
      <c r="R100" s="79" t="n">
        <f aca="false">MONTH($E100)</f>
        <v>11</v>
      </c>
      <c r="S100" s="79" t="str">
        <f aca="false">INDEX(Lists!$B$2:$B$13,$R100)</f>
        <v>November</v>
      </c>
      <c r="T100" s="79" t="n">
        <f aca="false">HOUR($F100)</f>
        <v>14</v>
      </c>
      <c r="U100" s="79" t="n">
        <f aca="false">WEEKDAY($E100,2)</f>
        <v>6</v>
      </c>
      <c r="V100" s="79" t="str">
        <f aca="false">INDEX(Lists!$F$2:$F$8,$U100)</f>
        <v>Saturday</v>
      </c>
      <c r="W100" s="81" t="n">
        <f aca="false">($G100+$H100)-($E100+$F100)</f>
        <v>1.07212962962963</v>
      </c>
      <c r="X100" s="79" t="str">
        <f aca="false">LOOKUP($M100,Lists!$G$2:$G$5,Lists!$H$2:$H$5)</f>
        <v>₹500 - 999</v>
      </c>
      <c r="Y100" s="79" t="str">
        <f aca="false">LOOKUP($W100,Lists!$I$2:$I$7,Lists!$J$2:$J$7)</f>
        <v>0 - 2 days</v>
      </c>
    </row>
    <row r="101" customFormat="false" ht="15" hidden="false" customHeight="false" outlineLevel="0" collapsed="false">
      <c r="A101" s="2" t="n">
        <v>100</v>
      </c>
      <c r="B101" s="2" t="s">
        <v>269</v>
      </c>
      <c r="C101" s="2" t="n">
        <v>42</v>
      </c>
      <c r="D101" s="2" t="n">
        <v>5</v>
      </c>
      <c r="E101" s="82" t="n">
        <v>45055</v>
      </c>
      <c r="F101" s="83" t="n">
        <v>0.243136574074074</v>
      </c>
      <c r="G101" s="82" t="n">
        <v>45063</v>
      </c>
      <c r="H101" s="83" t="n">
        <v>0.229467592592593</v>
      </c>
      <c r="I101" s="2" t="s">
        <v>256</v>
      </c>
      <c r="J101" s="2" t="s">
        <v>165</v>
      </c>
      <c r="K101" s="46" t="str">
        <f aca="false">INDEX(Products!$B$2:$B$71,MATCH($C101,Products!$A$2:$A$71,0))</f>
        <v>Expedita Gift</v>
      </c>
      <c r="L101" s="46" t="str">
        <f aca="false">INDEX(Products!$C$2:$C$71,MATCH($C101,Products!$A$2:$A$71,0))</f>
        <v>Sweets</v>
      </c>
      <c r="M101" s="84" t="n">
        <f aca="false">INDEX(Products!$D$2:$D$71,MATCH($C101,Products!$A$2:$A$71,0))</f>
        <v>1744</v>
      </c>
      <c r="N101" s="84" t="n">
        <f aca="false">$D101*$M101</f>
        <v>8720</v>
      </c>
      <c r="O101" s="46" t="str">
        <f aca="false">INDEX(Customers!$C$2:$C$101,MATCH($B101,Customers!$A$2:$A$101,0))</f>
        <v>Imphal</v>
      </c>
      <c r="P101" s="46" t="str">
        <f aca="false">INDEX(Customers!$F$2:$F$101,MATCH($B101,Customers!$A$2:$A$101,0))</f>
        <v>Male</v>
      </c>
      <c r="Q101" s="46" t="str">
        <f aca="false">INDEX(Customers!$B$2:$B$101,MATCH($B101,Customers!$A$2:$A$101,0))</f>
        <v>Umang Luthra</v>
      </c>
      <c r="R101" s="46" t="n">
        <f aca="false">MONTH($E101)</f>
        <v>5</v>
      </c>
      <c r="S101" s="46" t="str">
        <f aca="false">INDEX(Lists!$B$2:$B$13,$R101)</f>
        <v>May</v>
      </c>
      <c r="T101" s="46" t="n">
        <f aca="false">HOUR($F101)</f>
        <v>5</v>
      </c>
      <c r="U101" s="46" t="n">
        <f aca="false">WEEKDAY($E101,2)</f>
        <v>2</v>
      </c>
      <c r="V101" s="46" t="str">
        <f aca="false">INDEX(Lists!$F$2:$F$8,$U101)</f>
        <v>Tuesday</v>
      </c>
      <c r="W101" s="85" t="n">
        <f aca="false">($G101+$H101)-($E101+$F101)</f>
        <v>7.98633101851852</v>
      </c>
      <c r="X101" s="46" t="str">
        <f aca="false">LOOKUP($M101,Lists!$G$2:$G$5,Lists!$H$2:$H$5)</f>
        <v>₹1,500 - 2,000</v>
      </c>
      <c r="Y101" s="46" t="str">
        <f aca="false">LOOKUP($W101,Lists!$I$2:$I$7,Lists!$J$2:$J$7)</f>
        <v>6 - 8 days</v>
      </c>
    </row>
    <row r="102" customFormat="false" ht="15" hidden="false" customHeight="false" outlineLevel="0" collapsed="false">
      <c r="A102" s="7" t="n">
        <v>101</v>
      </c>
      <c r="B102" s="7" t="s">
        <v>294</v>
      </c>
      <c r="C102" s="7" t="n">
        <v>70</v>
      </c>
      <c r="D102" s="7" t="n">
        <v>4</v>
      </c>
      <c r="E102" s="77" t="n">
        <v>45096</v>
      </c>
      <c r="F102" s="78" t="n">
        <v>0.164490740740741</v>
      </c>
      <c r="G102" s="77" t="n">
        <v>45098</v>
      </c>
      <c r="H102" s="78" t="n">
        <v>0.262928240740741</v>
      </c>
      <c r="I102" s="7" t="s">
        <v>211</v>
      </c>
      <c r="J102" s="7" t="s">
        <v>31</v>
      </c>
      <c r="K102" s="79" t="str">
        <f aca="false">INDEX(Products!$B$2:$B$71,MATCH($C102,Products!$A$2:$A$71,0))</f>
        <v>Error Gift</v>
      </c>
      <c r="L102" s="79" t="str">
        <f aca="false">INDEX(Products!$C$2:$C$71,MATCH($C102,Products!$A$2:$A$71,0))</f>
        <v>Sweets</v>
      </c>
      <c r="M102" s="80" t="n">
        <f aca="false">INDEX(Products!$D$2:$D$71,MATCH($C102,Products!$A$2:$A$71,0))</f>
        <v>866</v>
      </c>
      <c r="N102" s="80" t="n">
        <f aca="false">$D102*$M102</f>
        <v>3464</v>
      </c>
      <c r="O102" s="79" t="str">
        <f aca="false">INDEX(Customers!$C$2:$C$101,MATCH($B102,Customers!$A$2:$A$101,0))</f>
        <v>Srikakulam</v>
      </c>
      <c r="P102" s="79" t="str">
        <f aca="false">INDEX(Customers!$F$2:$F$101,MATCH($B102,Customers!$A$2:$A$101,0))</f>
        <v>Male</v>
      </c>
      <c r="Q102" s="79" t="str">
        <f aca="false">INDEX(Customers!$B$2:$B$101,MATCH($B102,Customers!$A$2:$A$101,0))</f>
        <v>Indrajit Kale</v>
      </c>
      <c r="R102" s="79" t="n">
        <f aca="false">MONTH($E102)</f>
        <v>6</v>
      </c>
      <c r="S102" s="79" t="str">
        <f aca="false">INDEX(Lists!$B$2:$B$13,$R102)</f>
        <v>June</v>
      </c>
      <c r="T102" s="79" t="n">
        <f aca="false">HOUR($F102)</f>
        <v>3</v>
      </c>
      <c r="U102" s="79" t="n">
        <f aca="false">WEEKDAY($E102,2)</f>
        <v>1</v>
      </c>
      <c r="V102" s="79" t="str">
        <f aca="false">INDEX(Lists!$F$2:$F$8,$U102)</f>
        <v>Monday</v>
      </c>
      <c r="W102" s="81" t="n">
        <f aca="false">($G102+$H102)-($E102+$F102)</f>
        <v>2.0984375</v>
      </c>
      <c r="X102" s="79" t="str">
        <f aca="false">LOOKUP($M102,Lists!$G$2:$G$5,Lists!$H$2:$H$5)</f>
        <v>₹500 - 999</v>
      </c>
      <c r="Y102" s="79" t="str">
        <f aca="false">LOOKUP($W102,Lists!$I$2:$I$7,Lists!$J$2:$J$7)</f>
        <v>2 - 4 days</v>
      </c>
    </row>
    <row r="103" customFormat="false" ht="15" hidden="false" customHeight="false" outlineLevel="0" collapsed="false">
      <c r="A103" s="2" t="n">
        <v>102</v>
      </c>
      <c r="B103" s="2" t="s">
        <v>341</v>
      </c>
      <c r="C103" s="2" t="n">
        <v>10</v>
      </c>
      <c r="D103" s="2" t="n">
        <v>3</v>
      </c>
      <c r="E103" s="82" t="n">
        <v>45227</v>
      </c>
      <c r="F103" s="83" t="n">
        <v>0.815439814814815</v>
      </c>
      <c r="G103" s="82" t="n">
        <v>45236</v>
      </c>
      <c r="H103" s="83" t="n">
        <v>0.296238425925926</v>
      </c>
      <c r="I103" s="2" t="s">
        <v>516</v>
      </c>
      <c r="J103" s="2" t="s">
        <v>31</v>
      </c>
      <c r="K103" s="46" t="str">
        <f aca="false">INDEX(Products!$B$2:$B$71,MATCH($C103,Products!$A$2:$A$71,0))</f>
        <v>Accusantium Gift</v>
      </c>
      <c r="L103" s="46" t="str">
        <f aca="false">INDEX(Products!$C$2:$C$71,MATCH($C103,Products!$A$2:$A$71,0))</f>
        <v>Cake</v>
      </c>
      <c r="M103" s="84" t="n">
        <f aca="false">INDEX(Products!$D$2:$D$71,MATCH($C103,Products!$A$2:$A$71,0))</f>
        <v>259</v>
      </c>
      <c r="N103" s="84" t="n">
        <f aca="false">$D103*$M103</f>
        <v>777</v>
      </c>
      <c r="O103" s="46" t="str">
        <f aca="false">INDEX(Customers!$C$2:$C$101,MATCH($B103,Customers!$A$2:$A$101,0))</f>
        <v>Ratlam</v>
      </c>
      <c r="P103" s="46" t="str">
        <f aca="false">INDEX(Customers!$F$2:$F$101,MATCH($B103,Customers!$A$2:$A$101,0))</f>
        <v>Male</v>
      </c>
      <c r="Q103" s="46" t="str">
        <f aca="false">INDEX(Customers!$B$2:$B$101,MATCH($B103,Customers!$A$2:$A$101,0))</f>
        <v>Kaira Ramachandran</v>
      </c>
      <c r="R103" s="46" t="n">
        <f aca="false">MONTH($E103)</f>
        <v>10</v>
      </c>
      <c r="S103" s="46" t="str">
        <f aca="false">INDEX(Lists!$B$2:$B$13,$R103)</f>
        <v>October</v>
      </c>
      <c r="T103" s="46" t="n">
        <f aca="false">HOUR($F103)</f>
        <v>19</v>
      </c>
      <c r="U103" s="46" t="n">
        <f aca="false">WEEKDAY($E103,2)</f>
        <v>6</v>
      </c>
      <c r="V103" s="46" t="str">
        <f aca="false">INDEX(Lists!$F$2:$F$8,$U103)</f>
        <v>Saturday</v>
      </c>
      <c r="W103" s="85" t="n">
        <f aca="false">($G103+$H103)-($E103+$F103)</f>
        <v>8.48079861111111</v>
      </c>
      <c r="X103" s="46" t="str">
        <f aca="false">LOOKUP($M103,Lists!$G$2:$G$5,Lists!$H$2:$H$5)</f>
        <v>₹0 - 499</v>
      </c>
      <c r="Y103" s="46" t="str">
        <f aca="false">LOOKUP($W103,Lists!$I$2:$I$7,Lists!$J$2:$J$7)</f>
        <v>8 - 10 days</v>
      </c>
    </row>
    <row r="104" customFormat="false" ht="15" hidden="false" customHeight="false" outlineLevel="0" collapsed="false">
      <c r="A104" s="7" t="n">
        <v>103</v>
      </c>
      <c r="B104" s="7" t="s">
        <v>385</v>
      </c>
      <c r="C104" s="7" t="n">
        <v>18</v>
      </c>
      <c r="D104" s="7" t="n">
        <v>3</v>
      </c>
      <c r="E104" s="77" t="n">
        <v>44958</v>
      </c>
      <c r="F104" s="78" t="n">
        <v>0.517349537037037</v>
      </c>
      <c r="G104" s="77" t="n">
        <v>44965</v>
      </c>
      <c r="H104" s="78" t="n">
        <v>0.952534722222222</v>
      </c>
      <c r="I104" s="7" t="s">
        <v>420</v>
      </c>
      <c r="J104" s="7" t="s">
        <v>31</v>
      </c>
      <c r="K104" s="79" t="str">
        <f aca="false">INDEX(Products!$B$2:$B$71,MATCH($C104,Products!$A$2:$A$71,0))</f>
        <v>Nemo Set</v>
      </c>
      <c r="L104" s="79" t="str">
        <f aca="false">INDEX(Products!$C$2:$C$71,MATCH($C104,Products!$A$2:$A$71,0))</f>
        <v>Plants</v>
      </c>
      <c r="M104" s="80" t="n">
        <f aca="false">INDEX(Products!$D$2:$D$71,MATCH($C104,Products!$A$2:$A$71,0))</f>
        <v>781</v>
      </c>
      <c r="N104" s="80" t="n">
        <f aca="false">$D104*$M104</f>
        <v>2343</v>
      </c>
      <c r="O104" s="79" t="str">
        <f aca="false">INDEX(Customers!$C$2:$C$101,MATCH($B104,Customers!$A$2:$A$101,0))</f>
        <v>Sri Ganganagar</v>
      </c>
      <c r="P104" s="79" t="str">
        <f aca="false">INDEX(Customers!$F$2:$F$101,MATCH($B104,Customers!$A$2:$A$101,0))</f>
        <v>Female</v>
      </c>
      <c r="Q104" s="79" t="str">
        <f aca="false">INDEX(Customers!$B$2:$B$101,MATCH($B104,Customers!$A$2:$A$101,0))</f>
        <v>Nakul Randhawa</v>
      </c>
      <c r="R104" s="79" t="n">
        <f aca="false">MONTH($E104)</f>
        <v>2</v>
      </c>
      <c r="S104" s="79" t="str">
        <f aca="false">INDEX(Lists!$B$2:$B$13,$R104)</f>
        <v>February</v>
      </c>
      <c r="T104" s="79" t="n">
        <f aca="false">HOUR($F104)</f>
        <v>12</v>
      </c>
      <c r="U104" s="79" t="n">
        <f aca="false">WEEKDAY($E104,2)</f>
        <v>3</v>
      </c>
      <c r="V104" s="79" t="str">
        <f aca="false">INDEX(Lists!$F$2:$F$8,$U104)</f>
        <v>Wednesday</v>
      </c>
      <c r="W104" s="81" t="n">
        <f aca="false">($G104+$H104)-($E104+$F104)</f>
        <v>7.43518518518519</v>
      </c>
      <c r="X104" s="79" t="str">
        <f aca="false">LOOKUP($M104,Lists!$G$2:$G$5,Lists!$H$2:$H$5)</f>
        <v>₹500 - 999</v>
      </c>
      <c r="Y104" s="79" t="str">
        <f aca="false">LOOKUP($W104,Lists!$I$2:$I$7,Lists!$J$2:$J$7)</f>
        <v>6 - 8 days</v>
      </c>
    </row>
    <row r="105" customFormat="false" ht="15" hidden="false" customHeight="false" outlineLevel="0" collapsed="false">
      <c r="A105" s="2" t="n">
        <v>104</v>
      </c>
      <c r="B105" s="2" t="s">
        <v>344</v>
      </c>
      <c r="C105" s="2" t="n">
        <v>51</v>
      </c>
      <c r="D105" s="2" t="n">
        <v>3</v>
      </c>
      <c r="E105" s="82" t="n">
        <v>45289</v>
      </c>
      <c r="F105" s="83" t="n">
        <v>0.0732523148148148</v>
      </c>
      <c r="G105" s="82" t="n">
        <v>45296</v>
      </c>
      <c r="H105" s="83" t="n">
        <v>0.0107407407407407</v>
      </c>
      <c r="I105" s="2" t="s">
        <v>135</v>
      </c>
      <c r="J105" s="2" t="s">
        <v>165</v>
      </c>
      <c r="K105" s="46" t="str">
        <f aca="false">INDEX(Products!$B$2:$B$71,MATCH($C105,Products!$A$2:$A$71,0))</f>
        <v>Fugit Set</v>
      </c>
      <c r="L105" s="46" t="str">
        <f aca="false">INDEX(Products!$C$2:$C$71,MATCH($C105,Products!$A$2:$A$71,0))</f>
        <v>Soft Toys</v>
      </c>
      <c r="M105" s="84" t="n">
        <f aca="false">INDEX(Products!$D$2:$D$71,MATCH($C105,Products!$A$2:$A$71,0))</f>
        <v>1084</v>
      </c>
      <c r="N105" s="84" t="n">
        <f aca="false">$D105*$M105</f>
        <v>3252</v>
      </c>
      <c r="O105" s="46" t="str">
        <f aca="false">INDEX(Customers!$C$2:$C$101,MATCH($B105,Customers!$A$2:$A$101,0))</f>
        <v>Ahmednagar</v>
      </c>
      <c r="P105" s="46" t="str">
        <f aca="false">INDEX(Customers!$F$2:$F$101,MATCH($B105,Customers!$A$2:$A$101,0))</f>
        <v>Female</v>
      </c>
      <c r="Q105" s="46" t="str">
        <f aca="false">INDEX(Customers!$B$2:$B$101,MATCH($B105,Customers!$A$2:$A$101,0))</f>
        <v>Anya Chaudhari</v>
      </c>
      <c r="R105" s="46" t="n">
        <f aca="false">MONTH($E105)</f>
        <v>12</v>
      </c>
      <c r="S105" s="46" t="str">
        <f aca="false">INDEX(Lists!$B$2:$B$13,$R105)</f>
        <v>December</v>
      </c>
      <c r="T105" s="46" t="n">
        <f aca="false">HOUR($F105)</f>
        <v>1</v>
      </c>
      <c r="U105" s="46" t="n">
        <f aca="false">WEEKDAY($E105,2)</f>
        <v>5</v>
      </c>
      <c r="V105" s="46" t="str">
        <f aca="false">INDEX(Lists!$F$2:$F$8,$U105)</f>
        <v>Friday</v>
      </c>
      <c r="W105" s="85" t="n">
        <f aca="false">($G105+$H105)-($E105+$F105)</f>
        <v>6.93748842592593</v>
      </c>
      <c r="X105" s="46" t="str">
        <f aca="false">LOOKUP($M105,Lists!$G$2:$G$5,Lists!$H$2:$H$5)</f>
        <v>₹1,000 - 1,499</v>
      </c>
      <c r="Y105" s="46" t="str">
        <f aca="false">LOOKUP($W105,Lists!$I$2:$I$7,Lists!$J$2:$J$7)</f>
        <v>6 - 8 days</v>
      </c>
    </row>
    <row r="106" customFormat="false" ht="15" hidden="false" customHeight="false" outlineLevel="0" collapsed="false">
      <c r="A106" s="7" t="n">
        <v>105</v>
      </c>
      <c r="B106" s="7" t="s">
        <v>291</v>
      </c>
      <c r="C106" s="7" t="n">
        <v>36</v>
      </c>
      <c r="D106" s="7" t="n">
        <v>2</v>
      </c>
      <c r="E106" s="77" t="n">
        <v>44968</v>
      </c>
      <c r="F106" s="78" t="n">
        <v>0.123333333333333</v>
      </c>
      <c r="G106" s="77" t="n">
        <v>44978</v>
      </c>
      <c r="H106" s="78" t="n">
        <v>0.0653935185185185</v>
      </c>
      <c r="I106" s="7" t="s">
        <v>397</v>
      </c>
      <c r="J106" s="7" t="s">
        <v>31</v>
      </c>
      <c r="K106" s="79" t="str">
        <f aca="false">INDEX(Products!$B$2:$B$71,MATCH($C106,Products!$A$2:$A$71,0))</f>
        <v>Cum Gift</v>
      </c>
      <c r="L106" s="79" t="str">
        <f aca="false">INDEX(Products!$C$2:$C$71,MATCH($C106,Products!$A$2:$A$71,0))</f>
        <v>Plants</v>
      </c>
      <c r="M106" s="80" t="n">
        <f aca="false">INDEX(Products!$D$2:$D$71,MATCH($C106,Products!$A$2:$A$71,0))</f>
        <v>203</v>
      </c>
      <c r="N106" s="80" t="n">
        <f aca="false">$D106*$M106</f>
        <v>406</v>
      </c>
      <c r="O106" s="79" t="str">
        <f aca="false">INDEX(Customers!$C$2:$C$101,MATCH($B106,Customers!$A$2:$A$101,0))</f>
        <v>Jamnagar</v>
      </c>
      <c r="P106" s="79" t="str">
        <f aca="false">INDEX(Customers!$F$2:$F$101,MATCH($B106,Customers!$A$2:$A$101,0))</f>
        <v>Male</v>
      </c>
      <c r="Q106" s="79" t="str">
        <f aca="false">INDEX(Customers!$B$2:$B$101,MATCH($B106,Customers!$A$2:$A$101,0))</f>
        <v>Arhaan Ahluwalia</v>
      </c>
      <c r="R106" s="79" t="n">
        <f aca="false">MONTH($E106)</f>
        <v>2</v>
      </c>
      <c r="S106" s="79" t="str">
        <f aca="false">INDEX(Lists!$B$2:$B$13,$R106)</f>
        <v>February</v>
      </c>
      <c r="T106" s="79" t="n">
        <f aca="false">HOUR($F106)</f>
        <v>2</v>
      </c>
      <c r="U106" s="79" t="n">
        <f aca="false">WEEKDAY($E106,2)</f>
        <v>6</v>
      </c>
      <c r="V106" s="79" t="str">
        <f aca="false">INDEX(Lists!$F$2:$F$8,$U106)</f>
        <v>Saturday</v>
      </c>
      <c r="W106" s="81" t="n">
        <f aca="false">($G106+$H106)-($E106+$F106)</f>
        <v>9.94206018518519</v>
      </c>
      <c r="X106" s="79" t="str">
        <f aca="false">LOOKUP($M106,Lists!$G$2:$G$5,Lists!$H$2:$H$5)</f>
        <v>₹0 - 499</v>
      </c>
      <c r="Y106" s="79" t="str">
        <f aca="false">LOOKUP($W106,Lists!$I$2:$I$7,Lists!$J$2:$J$7)</f>
        <v>8 - 10 days</v>
      </c>
    </row>
    <row r="107" customFormat="false" ht="15" hidden="false" customHeight="false" outlineLevel="0" collapsed="false">
      <c r="A107" s="2" t="n">
        <v>106</v>
      </c>
      <c r="B107" s="2" t="s">
        <v>379</v>
      </c>
      <c r="C107" s="2" t="n">
        <v>41</v>
      </c>
      <c r="D107" s="2" t="n">
        <v>2</v>
      </c>
      <c r="E107" s="82" t="n">
        <v>45236</v>
      </c>
      <c r="F107" s="83" t="n">
        <v>0.747060185185185</v>
      </c>
      <c r="G107" s="82" t="n">
        <v>45238</v>
      </c>
      <c r="H107" s="83" t="n">
        <v>0.958657407407408</v>
      </c>
      <c r="I107" s="2" t="s">
        <v>310</v>
      </c>
      <c r="J107" s="2" t="s">
        <v>32</v>
      </c>
      <c r="K107" s="46" t="str">
        <f aca="false">INDEX(Products!$B$2:$B$71,MATCH($C107,Products!$A$2:$A$71,0))</f>
        <v>Aut Box</v>
      </c>
      <c r="L107" s="46" t="str">
        <f aca="false">INDEX(Products!$C$2:$C$71,MATCH($C107,Products!$A$2:$A$71,0))</f>
        <v>Sweets</v>
      </c>
      <c r="M107" s="84" t="n">
        <f aca="false">INDEX(Products!$D$2:$D$71,MATCH($C107,Products!$A$2:$A$71,0))</f>
        <v>1977</v>
      </c>
      <c r="N107" s="84" t="n">
        <f aca="false">$D107*$M107</f>
        <v>3954</v>
      </c>
      <c r="O107" s="46" t="str">
        <f aca="false">INDEX(Customers!$C$2:$C$101,MATCH($B107,Customers!$A$2:$A$101,0))</f>
        <v>Warangal</v>
      </c>
      <c r="P107" s="46" t="str">
        <f aca="false">INDEX(Customers!$F$2:$F$101,MATCH($B107,Customers!$A$2:$A$101,0))</f>
        <v>Female</v>
      </c>
      <c r="Q107" s="46" t="str">
        <f aca="false">INDEX(Customers!$B$2:$B$101,MATCH($B107,Customers!$A$2:$A$101,0))</f>
        <v>Mahika Cherian</v>
      </c>
      <c r="R107" s="46" t="n">
        <f aca="false">MONTH($E107)</f>
        <v>11</v>
      </c>
      <c r="S107" s="46" t="str">
        <f aca="false">INDEX(Lists!$B$2:$B$13,$R107)</f>
        <v>November</v>
      </c>
      <c r="T107" s="46" t="n">
        <f aca="false">HOUR($F107)</f>
        <v>17</v>
      </c>
      <c r="U107" s="46" t="n">
        <f aca="false">WEEKDAY($E107,2)</f>
        <v>1</v>
      </c>
      <c r="V107" s="46" t="str">
        <f aca="false">INDEX(Lists!$F$2:$F$8,$U107)</f>
        <v>Monday</v>
      </c>
      <c r="W107" s="85" t="n">
        <f aca="false">($G107+$H107)-($E107+$F107)</f>
        <v>2.21159722222222</v>
      </c>
      <c r="X107" s="46" t="str">
        <f aca="false">LOOKUP($M107,Lists!$G$2:$G$5,Lists!$H$2:$H$5)</f>
        <v>₹1,500 - 2,000</v>
      </c>
      <c r="Y107" s="46" t="str">
        <f aca="false">LOOKUP($W107,Lists!$I$2:$I$7,Lists!$J$2:$J$7)</f>
        <v>2 - 4 days</v>
      </c>
    </row>
    <row r="108" customFormat="false" ht="15" hidden="false" customHeight="false" outlineLevel="0" collapsed="false">
      <c r="A108" s="7" t="n">
        <v>107</v>
      </c>
      <c r="B108" s="7" t="s">
        <v>227</v>
      </c>
      <c r="C108" s="7" t="n">
        <v>4</v>
      </c>
      <c r="D108" s="7" t="n">
        <v>3</v>
      </c>
      <c r="E108" s="77" t="n">
        <v>45236</v>
      </c>
      <c r="F108" s="78" t="n">
        <v>0.429247685185185</v>
      </c>
      <c r="G108" s="77" t="n">
        <v>45242</v>
      </c>
      <c r="H108" s="78" t="n">
        <v>0.597465277777778</v>
      </c>
      <c r="I108" s="7" t="s">
        <v>394</v>
      </c>
      <c r="J108" s="7" t="s">
        <v>32</v>
      </c>
      <c r="K108" s="79" t="str">
        <f aca="false">INDEX(Products!$B$2:$B$71,MATCH($C108,Products!$A$2:$A$71,0))</f>
        <v>Accusantium Set</v>
      </c>
      <c r="L108" s="79" t="str">
        <f aca="false">INDEX(Products!$C$2:$C$71,MATCH($C108,Products!$A$2:$A$71,0))</f>
        <v>Sweets</v>
      </c>
      <c r="M108" s="80" t="n">
        <f aca="false">INDEX(Products!$D$2:$D$71,MATCH($C108,Products!$A$2:$A$71,0))</f>
        <v>1199</v>
      </c>
      <c r="N108" s="80" t="n">
        <f aca="false">$D108*$M108</f>
        <v>3597</v>
      </c>
      <c r="O108" s="79" t="str">
        <f aca="false">INDEX(Customers!$C$2:$C$101,MATCH($B108,Customers!$A$2:$A$101,0))</f>
        <v>Karaikudi</v>
      </c>
      <c r="P108" s="79" t="str">
        <f aca="false">INDEX(Customers!$F$2:$F$101,MATCH($B108,Customers!$A$2:$A$101,0))</f>
        <v>Male</v>
      </c>
      <c r="Q108" s="79" t="str">
        <f aca="false">INDEX(Customers!$B$2:$B$101,MATCH($B108,Customers!$A$2:$A$101,0))</f>
        <v>Rati Dhingra</v>
      </c>
      <c r="R108" s="79" t="n">
        <f aca="false">MONTH($E108)</f>
        <v>11</v>
      </c>
      <c r="S108" s="79" t="str">
        <f aca="false">INDEX(Lists!$B$2:$B$13,$R108)</f>
        <v>November</v>
      </c>
      <c r="T108" s="79" t="n">
        <f aca="false">HOUR($F108)</f>
        <v>10</v>
      </c>
      <c r="U108" s="79" t="n">
        <f aca="false">WEEKDAY($E108,2)</f>
        <v>1</v>
      </c>
      <c r="V108" s="79" t="str">
        <f aca="false">INDEX(Lists!$F$2:$F$8,$U108)</f>
        <v>Monday</v>
      </c>
      <c r="W108" s="81" t="n">
        <f aca="false">($G108+$H108)-($E108+$F108)</f>
        <v>6.16821759259259</v>
      </c>
      <c r="X108" s="79" t="str">
        <f aca="false">LOOKUP($M108,Lists!$G$2:$G$5,Lists!$H$2:$H$5)</f>
        <v>₹1,000 - 1,499</v>
      </c>
      <c r="Y108" s="79" t="str">
        <f aca="false">LOOKUP($W108,Lists!$I$2:$I$7,Lists!$J$2:$J$7)</f>
        <v>6 - 8 days</v>
      </c>
    </row>
    <row r="109" customFormat="false" ht="15" hidden="false" customHeight="false" outlineLevel="0" collapsed="false">
      <c r="A109" s="2" t="n">
        <v>108</v>
      </c>
      <c r="B109" s="2" t="s">
        <v>157</v>
      </c>
      <c r="C109" s="2" t="n">
        <v>26</v>
      </c>
      <c r="D109" s="2" t="n">
        <v>4</v>
      </c>
      <c r="E109" s="82" t="n">
        <v>44984</v>
      </c>
      <c r="F109" s="83" t="n">
        <v>0.377384259259259</v>
      </c>
      <c r="G109" s="82" t="n">
        <v>44990</v>
      </c>
      <c r="H109" s="83" t="n">
        <v>0.335474537037037</v>
      </c>
      <c r="I109" s="2" t="s">
        <v>217</v>
      </c>
      <c r="J109" s="2" t="s">
        <v>33</v>
      </c>
      <c r="K109" s="46" t="str">
        <f aca="false">INDEX(Products!$B$2:$B$71,MATCH($C109,Products!$A$2:$A$71,0))</f>
        <v>Aliquam Box</v>
      </c>
      <c r="L109" s="46" t="str">
        <f aca="false">INDEX(Products!$C$2:$C$71,MATCH($C109,Products!$A$2:$A$71,0))</f>
        <v>Colors</v>
      </c>
      <c r="M109" s="84" t="n">
        <f aca="false">INDEX(Products!$D$2:$D$71,MATCH($C109,Products!$A$2:$A$71,0))</f>
        <v>289</v>
      </c>
      <c r="N109" s="84" t="n">
        <f aca="false">$D109*$M109</f>
        <v>1156</v>
      </c>
      <c r="O109" s="46" t="str">
        <f aca="false">INDEX(Customers!$C$2:$C$101,MATCH($B109,Customers!$A$2:$A$101,0))</f>
        <v>Bilaspur</v>
      </c>
      <c r="P109" s="46" t="str">
        <f aca="false">INDEX(Customers!$F$2:$F$101,MATCH($B109,Customers!$A$2:$A$101,0))</f>
        <v>Male</v>
      </c>
      <c r="Q109" s="46" t="str">
        <f aca="false">INDEX(Customers!$B$2:$B$101,MATCH($B109,Customers!$A$2:$A$101,0))</f>
        <v>Onkar Mangat</v>
      </c>
      <c r="R109" s="46" t="n">
        <f aca="false">MONTH($E109)</f>
        <v>2</v>
      </c>
      <c r="S109" s="46" t="str">
        <f aca="false">INDEX(Lists!$B$2:$B$13,$R109)</f>
        <v>February</v>
      </c>
      <c r="T109" s="46" t="n">
        <f aca="false">HOUR($F109)</f>
        <v>9</v>
      </c>
      <c r="U109" s="46" t="n">
        <f aca="false">WEEKDAY($E109,2)</f>
        <v>1</v>
      </c>
      <c r="V109" s="46" t="str">
        <f aca="false">INDEX(Lists!$F$2:$F$8,$U109)</f>
        <v>Monday</v>
      </c>
      <c r="W109" s="85" t="n">
        <f aca="false">($G109+$H109)-($E109+$F109)</f>
        <v>5.95809027777778</v>
      </c>
      <c r="X109" s="46" t="str">
        <f aca="false">LOOKUP($M109,Lists!$G$2:$G$5,Lists!$H$2:$H$5)</f>
        <v>₹0 - 499</v>
      </c>
      <c r="Y109" s="46" t="str">
        <f aca="false">LOOKUP($W109,Lists!$I$2:$I$7,Lists!$J$2:$J$7)</f>
        <v>4 - 6 days</v>
      </c>
    </row>
    <row r="110" customFormat="false" ht="15" hidden="false" customHeight="false" outlineLevel="0" collapsed="false">
      <c r="A110" s="7" t="n">
        <v>109</v>
      </c>
      <c r="B110" s="7" t="s">
        <v>322</v>
      </c>
      <c r="C110" s="7" t="n">
        <v>50</v>
      </c>
      <c r="D110" s="7" t="n">
        <v>5</v>
      </c>
      <c r="E110" s="77" t="n">
        <v>44984</v>
      </c>
      <c r="F110" s="78" t="n">
        <v>0.649861111111111</v>
      </c>
      <c r="G110" s="77" t="n">
        <v>44986</v>
      </c>
      <c r="H110" s="78" t="n">
        <v>0.36037037037037</v>
      </c>
      <c r="I110" s="7" t="s">
        <v>376</v>
      </c>
      <c r="J110" s="7" t="s">
        <v>33</v>
      </c>
      <c r="K110" s="79" t="str">
        <f aca="false">INDEX(Products!$B$2:$B$71,MATCH($C110,Products!$A$2:$A$71,0))</f>
        <v>Eligendi Set</v>
      </c>
      <c r="L110" s="79" t="str">
        <f aca="false">INDEX(Products!$C$2:$C$71,MATCH($C110,Products!$A$2:$A$71,0))</f>
        <v>Plants</v>
      </c>
      <c r="M110" s="80" t="n">
        <f aca="false">INDEX(Products!$D$2:$D$71,MATCH($C110,Products!$A$2:$A$71,0))</f>
        <v>422</v>
      </c>
      <c r="N110" s="80" t="n">
        <f aca="false">$D110*$M110</f>
        <v>2110</v>
      </c>
      <c r="O110" s="79" t="str">
        <f aca="false">INDEX(Customers!$C$2:$C$101,MATCH($B110,Customers!$A$2:$A$101,0))</f>
        <v>Sultan Pur Majra</v>
      </c>
      <c r="P110" s="79" t="str">
        <f aca="false">INDEX(Customers!$F$2:$F$101,MATCH($B110,Customers!$A$2:$A$101,0))</f>
        <v>Female</v>
      </c>
      <c r="Q110" s="79" t="str">
        <f aca="false">INDEX(Customers!$B$2:$B$101,MATCH($B110,Customers!$A$2:$A$101,0))</f>
        <v>Vanya Apte</v>
      </c>
      <c r="R110" s="79" t="n">
        <f aca="false">MONTH($E110)</f>
        <v>2</v>
      </c>
      <c r="S110" s="79" t="str">
        <f aca="false">INDEX(Lists!$B$2:$B$13,$R110)</f>
        <v>February</v>
      </c>
      <c r="T110" s="79" t="n">
        <f aca="false">HOUR($F110)</f>
        <v>15</v>
      </c>
      <c r="U110" s="79" t="n">
        <f aca="false">WEEKDAY($E110,2)</f>
        <v>1</v>
      </c>
      <c r="V110" s="79" t="str">
        <f aca="false">INDEX(Lists!$F$2:$F$8,$U110)</f>
        <v>Monday</v>
      </c>
      <c r="W110" s="81" t="n">
        <f aca="false">($G110+$H110)-($E110+$F110)</f>
        <v>1.71050925925926</v>
      </c>
      <c r="X110" s="79" t="str">
        <f aca="false">LOOKUP($M110,Lists!$G$2:$G$5,Lists!$H$2:$H$5)</f>
        <v>₹0 - 499</v>
      </c>
      <c r="Y110" s="79" t="str">
        <f aca="false">LOOKUP($W110,Lists!$I$2:$I$7,Lists!$J$2:$J$7)</f>
        <v>0 - 2 days</v>
      </c>
    </row>
    <row r="111" customFormat="false" ht="15" hidden="false" customHeight="false" outlineLevel="0" collapsed="false">
      <c r="A111" s="2" t="n">
        <v>110</v>
      </c>
      <c r="B111" s="2" t="s">
        <v>325</v>
      </c>
      <c r="C111" s="2" t="n">
        <v>26</v>
      </c>
      <c r="D111" s="2" t="n">
        <v>2</v>
      </c>
      <c r="E111" s="82" t="n">
        <v>44989</v>
      </c>
      <c r="F111" s="83" t="n">
        <v>0.474814814814815</v>
      </c>
      <c r="G111" s="82" t="n">
        <v>44998</v>
      </c>
      <c r="H111" s="83" t="n">
        <v>0.35244212962963</v>
      </c>
      <c r="I111" s="2" t="s">
        <v>459</v>
      </c>
      <c r="J111" s="2" t="s">
        <v>33</v>
      </c>
      <c r="K111" s="46" t="str">
        <f aca="false">INDEX(Products!$B$2:$B$71,MATCH($C111,Products!$A$2:$A$71,0))</f>
        <v>Aliquam Box</v>
      </c>
      <c r="L111" s="46" t="str">
        <f aca="false">INDEX(Products!$C$2:$C$71,MATCH($C111,Products!$A$2:$A$71,0))</f>
        <v>Colors</v>
      </c>
      <c r="M111" s="84" t="n">
        <f aca="false">INDEX(Products!$D$2:$D$71,MATCH($C111,Products!$A$2:$A$71,0))</f>
        <v>289</v>
      </c>
      <c r="N111" s="84" t="n">
        <f aca="false">$D111*$M111</f>
        <v>578</v>
      </c>
      <c r="O111" s="46" t="str">
        <f aca="false">INDEX(Customers!$C$2:$C$101,MATCH($B111,Customers!$A$2:$A$101,0))</f>
        <v>Aligarh</v>
      </c>
      <c r="P111" s="46" t="str">
        <f aca="false">INDEX(Customers!$F$2:$F$101,MATCH($B111,Customers!$A$2:$A$101,0))</f>
        <v>Female</v>
      </c>
      <c r="Q111" s="46" t="str">
        <f aca="false">INDEX(Customers!$B$2:$B$101,MATCH($B111,Customers!$A$2:$A$101,0))</f>
        <v>Yashvi Bansal</v>
      </c>
      <c r="R111" s="46" t="n">
        <f aca="false">MONTH($E111)</f>
        <v>3</v>
      </c>
      <c r="S111" s="46" t="str">
        <f aca="false">INDEX(Lists!$B$2:$B$13,$R111)</f>
        <v>March</v>
      </c>
      <c r="T111" s="46" t="n">
        <f aca="false">HOUR($F111)</f>
        <v>11</v>
      </c>
      <c r="U111" s="46" t="n">
        <f aca="false">WEEKDAY($E111,2)</f>
        <v>6</v>
      </c>
      <c r="V111" s="46" t="str">
        <f aca="false">INDEX(Lists!$F$2:$F$8,$U111)</f>
        <v>Saturday</v>
      </c>
      <c r="W111" s="85" t="n">
        <f aca="false">($G111+$H111)-($E111+$F111)</f>
        <v>8.87762731481482</v>
      </c>
      <c r="X111" s="46" t="str">
        <f aca="false">LOOKUP($M111,Lists!$G$2:$G$5,Lists!$H$2:$H$5)</f>
        <v>₹0 - 499</v>
      </c>
      <c r="Y111" s="46" t="str">
        <f aca="false">LOOKUP($W111,Lists!$I$2:$I$7,Lists!$J$2:$J$7)</f>
        <v>8 - 10 days</v>
      </c>
    </row>
    <row r="112" customFormat="false" ht="15" hidden="false" customHeight="false" outlineLevel="0" collapsed="false">
      <c r="A112" s="7" t="n">
        <v>111</v>
      </c>
      <c r="B112" s="7" t="s">
        <v>148</v>
      </c>
      <c r="C112" s="7" t="n">
        <v>8</v>
      </c>
      <c r="D112" s="7" t="n">
        <v>3</v>
      </c>
      <c r="E112" s="77" t="n">
        <v>45098</v>
      </c>
      <c r="F112" s="78" t="n">
        <v>0.596493055555556</v>
      </c>
      <c r="G112" s="77" t="n">
        <v>45102</v>
      </c>
      <c r="H112" s="78" t="n">
        <v>0.877743055555556</v>
      </c>
      <c r="I112" s="7" t="s">
        <v>542</v>
      </c>
      <c r="J112" s="7" t="s">
        <v>168</v>
      </c>
      <c r="K112" s="79" t="str">
        <f aca="false">INDEX(Products!$B$2:$B$71,MATCH($C112,Products!$A$2:$A$71,0))</f>
        <v>Qui Box</v>
      </c>
      <c r="L112" s="79" t="str">
        <f aca="false">INDEX(Products!$C$2:$C$71,MATCH($C112,Products!$A$2:$A$71,0))</f>
        <v>Sweets</v>
      </c>
      <c r="M112" s="80" t="n">
        <f aca="false">INDEX(Products!$D$2:$D$71,MATCH($C112,Products!$A$2:$A$71,0))</f>
        <v>252</v>
      </c>
      <c r="N112" s="80" t="n">
        <f aca="false">$D112*$M112</f>
        <v>756</v>
      </c>
      <c r="O112" s="79" t="str">
        <f aca="false">INDEX(Customers!$C$2:$C$101,MATCH($B112,Customers!$A$2:$A$101,0))</f>
        <v>Madurai</v>
      </c>
      <c r="P112" s="79" t="str">
        <f aca="false">INDEX(Customers!$F$2:$F$101,MATCH($B112,Customers!$A$2:$A$101,0))</f>
        <v>Female</v>
      </c>
      <c r="Q112" s="79" t="str">
        <f aca="false">INDEX(Customers!$B$2:$B$101,MATCH($B112,Customers!$A$2:$A$101,0))</f>
        <v>Ritvik Borah</v>
      </c>
      <c r="R112" s="79" t="n">
        <f aca="false">MONTH($E112)</f>
        <v>6</v>
      </c>
      <c r="S112" s="79" t="str">
        <f aca="false">INDEX(Lists!$B$2:$B$13,$R112)</f>
        <v>June</v>
      </c>
      <c r="T112" s="79" t="n">
        <f aca="false">HOUR($F112)</f>
        <v>14</v>
      </c>
      <c r="U112" s="79" t="n">
        <f aca="false">WEEKDAY($E112,2)</f>
        <v>3</v>
      </c>
      <c r="V112" s="79" t="str">
        <f aca="false">INDEX(Lists!$F$2:$F$8,$U112)</f>
        <v>Wednesday</v>
      </c>
      <c r="W112" s="81" t="n">
        <f aca="false">($G112+$H112)-($E112+$F112)</f>
        <v>4.28125</v>
      </c>
      <c r="X112" s="79" t="str">
        <f aca="false">LOOKUP($M112,Lists!$G$2:$G$5,Lists!$H$2:$H$5)</f>
        <v>₹0 - 499</v>
      </c>
      <c r="Y112" s="79" t="str">
        <f aca="false">LOOKUP($W112,Lists!$I$2:$I$7,Lists!$J$2:$J$7)</f>
        <v>4 - 6 days</v>
      </c>
    </row>
    <row r="113" customFormat="false" ht="15" hidden="false" customHeight="false" outlineLevel="0" collapsed="false">
      <c r="A113" s="2" t="n">
        <v>112</v>
      </c>
      <c r="B113" s="2" t="s">
        <v>183</v>
      </c>
      <c r="C113" s="2" t="n">
        <v>37</v>
      </c>
      <c r="D113" s="2" t="n">
        <v>3</v>
      </c>
      <c r="E113" s="82" t="n">
        <v>45241</v>
      </c>
      <c r="F113" s="83" t="n">
        <v>0.275046296296296</v>
      </c>
      <c r="G113" s="82" t="n">
        <v>45244</v>
      </c>
      <c r="H113" s="83" t="n">
        <v>0.660405092592593</v>
      </c>
      <c r="I113" s="2" t="s">
        <v>460</v>
      </c>
      <c r="J113" s="2" t="s">
        <v>32</v>
      </c>
      <c r="K113" s="46" t="str">
        <f aca="false">INDEX(Products!$B$2:$B$71,MATCH($C113,Products!$A$2:$A$71,0))</f>
        <v>Officiis Pack</v>
      </c>
      <c r="L113" s="46" t="str">
        <f aca="false">INDEX(Products!$C$2:$C$71,MATCH($C113,Products!$A$2:$A$71,0))</f>
        <v>Colors</v>
      </c>
      <c r="M113" s="84" t="n">
        <f aca="false">INDEX(Products!$D$2:$D$71,MATCH($C113,Products!$A$2:$A$71,0))</f>
        <v>1428</v>
      </c>
      <c r="N113" s="84" t="n">
        <f aca="false">$D113*$M113</f>
        <v>4284</v>
      </c>
      <c r="O113" s="46" t="str">
        <f aca="false">INDEX(Customers!$C$2:$C$101,MATCH($B113,Customers!$A$2:$A$101,0))</f>
        <v>Bidhannagar</v>
      </c>
      <c r="P113" s="46" t="str">
        <f aca="false">INDEX(Customers!$F$2:$F$101,MATCH($B113,Customers!$A$2:$A$101,0))</f>
        <v>Male</v>
      </c>
      <c r="Q113" s="46" t="str">
        <f aca="false">INDEX(Customers!$B$2:$B$101,MATCH($B113,Customers!$A$2:$A$101,0))</f>
        <v>Abram Sandhu</v>
      </c>
      <c r="R113" s="46" t="n">
        <f aca="false">MONTH($E113)</f>
        <v>11</v>
      </c>
      <c r="S113" s="46" t="str">
        <f aca="false">INDEX(Lists!$B$2:$B$13,$R113)</f>
        <v>November</v>
      </c>
      <c r="T113" s="46" t="n">
        <f aca="false">HOUR($F113)</f>
        <v>6</v>
      </c>
      <c r="U113" s="46" t="n">
        <f aca="false">WEEKDAY($E113,2)</f>
        <v>6</v>
      </c>
      <c r="V113" s="46" t="str">
        <f aca="false">INDEX(Lists!$F$2:$F$8,$U113)</f>
        <v>Saturday</v>
      </c>
      <c r="W113" s="85" t="n">
        <f aca="false">($G113+$H113)-($E113+$F113)</f>
        <v>3.3853587962963</v>
      </c>
      <c r="X113" s="46" t="str">
        <f aca="false">LOOKUP($M113,Lists!$G$2:$G$5,Lists!$H$2:$H$5)</f>
        <v>₹1,000 - 1,499</v>
      </c>
      <c r="Y113" s="46" t="str">
        <f aca="false">LOOKUP($W113,Lists!$I$2:$I$7,Lists!$J$2:$J$7)</f>
        <v>2 - 4 days</v>
      </c>
    </row>
    <row r="114" customFormat="false" ht="15" hidden="false" customHeight="false" outlineLevel="0" collapsed="false">
      <c r="A114" s="7" t="n">
        <v>113</v>
      </c>
      <c r="B114" s="7" t="s">
        <v>202</v>
      </c>
      <c r="C114" s="7" t="n">
        <v>1</v>
      </c>
      <c r="D114" s="7" t="n">
        <v>3</v>
      </c>
      <c r="E114" s="77" t="n">
        <v>45244</v>
      </c>
      <c r="F114" s="78" t="n">
        <v>0.646180555555556</v>
      </c>
      <c r="G114" s="77" t="n">
        <v>45253</v>
      </c>
      <c r="H114" s="78" t="n">
        <v>0.185266203703704</v>
      </c>
      <c r="I114" s="7" t="s">
        <v>290</v>
      </c>
      <c r="J114" s="7" t="s">
        <v>165</v>
      </c>
      <c r="K114" s="79" t="str">
        <f aca="false">INDEX(Products!$B$2:$B$71,MATCH($C114,Products!$A$2:$A$71,0))</f>
        <v>Magnam Set</v>
      </c>
      <c r="L114" s="79" t="str">
        <f aca="false">INDEX(Products!$C$2:$C$71,MATCH($C114,Products!$A$2:$A$71,0))</f>
        <v>Soft Toys</v>
      </c>
      <c r="M114" s="80" t="n">
        <f aca="false">INDEX(Products!$D$2:$D$71,MATCH($C114,Products!$A$2:$A$71,0))</f>
        <v>1935</v>
      </c>
      <c r="N114" s="80" t="n">
        <f aca="false">$D114*$M114</f>
        <v>5805</v>
      </c>
      <c r="O114" s="79" t="str">
        <f aca="false">INDEX(Customers!$C$2:$C$101,MATCH($B114,Customers!$A$2:$A$101,0))</f>
        <v>Surat</v>
      </c>
      <c r="P114" s="79" t="str">
        <f aca="false">INDEX(Customers!$F$2:$F$101,MATCH($B114,Customers!$A$2:$A$101,0))</f>
        <v>Male</v>
      </c>
      <c r="Q114" s="79" t="str">
        <f aca="false">INDEX(Customers!$B$2:$B$101,MATCH($B114,Customers!$A$2:$A$101,0))</f>
        <v>Mannat Anand</v>
      </c>
      <c r="R114" s="79" t="n">
        <f aca="false">MONTH($E114)</f>
        <v>11</v>
      </c>
      <c r="S114" s="79" t="str">
        <f aca="false">INDEX(Lists!$B$2:$B$13,$R114)</f>
        <v>November</v>
      </c>
      <c r="T114" s="79" t="n">
        <f aca="false">HOUR($F114)</f>
        <v>15</v>
      </c>
      <c r="U114" s="79" t="n">
        <f aca="false">WEEKDAY($E114,2)</f>
        <v>2</v>
      </c>
      <c r="V114" s="79" t="str">
        <f aca="false">INDEX(Lists!$F$2:$F$8,$U114)</f>
        <v>Tuesday</v>
      </c>
      <c r="W114" s="81" t="n">
        <f aca="false">($G114+$H114)-($E114+$F114)</f>
        <v>8.53908564814815</v>
      </c>
      <c r="X114" s="79" t="str">
        <f aca="false">LOOKUP($M114,Lists!$G$2:$G$5,Lists!$H$2:$H$5)</f>
        <v>₹1,500 - 2,000</v>
      </c>
      <c r="Y114" s="79" t="str">
        <f aca="false">LOOKUP($W114,Lists!$I$2:$I$7,Lists!$J$2:$J$7)</f>
        <v>8 - 10 days</v>
      </c>
    </row>
    <row r="115" customFormat="false" ht="15" hidden="false" customHeight="false" outlineLevel="0" collapsed="false">
      <c r="A115" s="2" t="n">
        <v>114</v>
      </c>
      <c r="B115" s="2" t="s">
        <v>148</v>
      </c>
      <c r="C115" s="2" t="n">
        <v>40</v>
      </c>
      <c r="D115" s="2" t="n">
        <v>4</v>
      </c>
      <c r="E115" s="82" t="n">
        <v>44960</v>
      </c>
      <c r="F115" s="83" t="n">
        <v>0.668923611111111</v>
      </c>
      <c r="G115" s="82" t="n">
        <v>44964</v>
      </c>
      <c r="H115" s="83" t="n">
        <v>0.0991666666666667</v>
      </c>
      <c r="I115" s="2" t="s">
        <v>458</v>
      </c>
      <c r="J115" s="2" t="s">
        <v>168</v>
      </c>
      <c r="K115" s="46" t="str">
        <f aca="false">INDEX(Products!$B$2:$B$71,MATCH($C115,Products!$A$2:$A$71,0))</f>
        <v>Provident Pack</v>
      </c>
      <c r="L115" s="46" t="str">
        <f aca="false">INDEX(Products!$C$2:$C$71,MATCH($C115,Products!$A$2:$A$71,0))</f>
        <v>Sweets</v>
      </c>
      <c r="M115" s="84" t="n">
        <f aca="false">INDEX(Products!$D$2:$D$71,MATCH($C115,Products!$A$2:$A$71,0))</f>
        <v>1923</v>
      </c>
      <c r="N115" s="84" t="n">
        <f aca="false">$D115*$M115</f>
        <v>7692</v>
      </c>
      <c r="O115" s="46" t="str">
        <f aca="false">INDEX(Customers!$C$2:$C$101,MATCH($B115,Customers!$A$2:$A$101,0))</f>
        <v>Madurai</v>
      </c>
      <c r="P115" s="46" t="str">
        <f aca="false">INDEX(Customers!$F$2:$F$101,MATCH($B115,Customers!$A$2:$A$101,0))</f>
        <v>Female</v>
      </c>
      <c r="Q115" s="46" t="str">
        <f aca="false">INDEX(Customers!$B$2:$B$101,MATCH($B115,Customers!$A$2:$A$101,0))</f>
        <v>Ritvik Borah</v>
      </c>
      <c r="R115" s="46" t="n">
        <f aca="false">MONTH($E115)</f>
        <v>2</v>
      </c>
      <c r="S115" s="46" t="str">
        <f aca="false">INDEX(Lists!$B$2:$B$13,$R115)</f>
        <v>February</v>
      </c>
      <c r="T115" s="46" t="n">
        <f aca="false">HOUR($F115)</f>
        <v>16</v>
      </c>
      <c r="U115" s="46" t="n">
        <f aca="false">WEEKDAY($E115,2)</f>
        <v>5</v>
      </c>
      <c r="V115" s="46" t="str">
        <f aca="false">INDEX(Lists!$F$2:$F$8,$U115)</f>
        <v>Friday</v>
      </c>
      <c r="W115" s="85" t="n">
        <f aca="false">($G115+$H115)-($E115+$F115)</f>
        <v>3.43024305555556</v>
      </c>
      <c r="X115" s="46" t="str">
        <f aca="false">LOOKUP($M115,Lists!$G$2:$G$5,Lists!$H$2:$H$5)</f>
        <v>₹1,500 - 2,000</v>
      </c>
      <c r="Y115" s="46" t="str">
        <f aca="false">LOOKUP($W115,Lists!$I$2:$I$7,Lists!$J$2:$J$7)</f>
        <v>2 - 4 days</v>
      </c>
    </row>
    <row r="116" customFormat="false" ht="15" hidden="false" customHeight="false" outlineLevel="0" collapsed="false">
      <c r="A116" s="7" t="n">
        <v>115</v>
      </c>
      <c r="B116" s="7" t="s">
        <v>379</v>
      </c>
      <c r="C116" s="7" t="n">
        <v>57</v>
      </c>
      <c r="D116" s="7" t="n">
        <v>1</v>
      </c>
      <c r="E116" s="77" t="n">
        <v>45044</v>
      </c>
      <c r="F116" s="78" t="n">
        <v>0.757893518518519</v>
      </c>
      <c r="G116" s="77" t="n">
        <v>45051</v>
      </c>
      <c r="H116" s="78" t="n">
        <v>0.48369212962963</v>
      </c>
      <c r="I116" s="7" t="s">
        <v>440</v>
      </c>
      <c r="J116" s="7" t="s">
        <v>31</v>
      </c>
      <c r="K116" s="79" t="str">
        <f aca="false">INDEX(Products!$B$2:$B$71,MATCH($C116,Products!$A$2:$A$71,0))</f>
        <v>Voluptatem Box</v>
      </c>
      <c r="L116" s="79" t="str">
        <f aca="false">INDEX(Products!$C$2:$C$71,MATCH($C116,Products!$A$2:$A$71,0))</f>
        <v>Colors</v>
      </c>
      <c r="M116" s="80" t="n">
        <f aca="false">INDEX(Products!$D$2:$D$71,MATCH($C116,Products!$A$2:$A$71,0))</f>
        <v>1582</v>
      </c>
      <c r="N116" s="80" t="n">
        <f aca="false">$D116*$M116</f>
        <v>1582</v>
      </c>
      <c r="O116" s="79" t="str">
        <f aca="false">INDEX(Customers!$C$2:$C$101,MATCH($B116,Customers!$A$2:$A$101,0))</f>
        <v>Warangal</v>
      </c>
      <c r="P116" s="79" t="str">
        <f aca="false">INDEX(Customers!$F$2:$F$101,MATCH($B116,Customers!$A$2:$A$101,0))</f>
        <v>Female</v>
      </c>
      <c r="Q116" s="79" t="str">
        <f aca="false">INDEX(Customers!$B$2:$B$101,MATCH($B116,Customers!$A$2:$A$101,0))</f>
        <v>Mahika Cherian</v>
      </c>
      <c r="R116" s="79" t="n">
        <f aca="false">MONTH($E116)</f>
        <v>4</v>
      </c>
      <c r="S116" s="79" t="str">
        <f aca="false">INDEX(Lists!$B$2:$B$13,$R116)</f>
        <v>April</v>
      </c>
      <c r="T116" s="79" t="n">
        <f aca="false">HOUR($F116)</f>
        <v>18</v>
      </c>
      <c r="U116" s="79" t="n">
        <f aca="false">WEEKDAY($E116,2)</f>
        <v>5</v>
      </c>
      <c r="V116" s="79" t="str">
        <f aca="false">INDEX(Lists!$F$2:$F$8,$U116)</f>
        <v>Friday</v>
      </c>
      <c r="W116" s="81" t="n">
        <f aca="false">($G116+$H116)-($E116+$F116)</f>
        <v>6.72579861111111</v>
      </c>
      <c r="X116" s="79" t="str">
        <f aca="false">LOOKUP($M116,Lists!$G$2:$G$5,Lists!$H$2:$H$5)</f>
        <v>₹1,500 - 2,000</v>
      </c>
      <c r="Y116" s="79" t="str">
        <f aca="false">LOOKUP($W116,Lists!$I$2:$I$7,Lists!$J$2:$J$7)</f>
        <v>6 - 8 days</v>
      </c>
    </row>
    <row r="117" customFormat="false" ht="15" hidden="false" customHeight="false" outlineLevel="0" collapsed="false">
      <c r="A117" s="2" t="n">
        <v>116</v>
      </c>
      <c r="B117" s="2" t="s">
        <v>148</v>
      </c>
      <c r="C117" s="2" t="n">
        <v>4</v>
      </c>
      <c r="D117" s="2" t="n">
        <v>3</v>
      </c>
      <c r="E117" s="82" t="n">
        <v>45241</v>
      </c>
      <c r="F117" s="83" t="n">
        <v>0.602835648148148</v>
      </c>
      <c r="G117" s="82" t="n">
        <v>45250</v>
      </c>
      <c r="H117" s="83" t="n">
        <v>0.22599537037037</v>
      </c>
      <c r="I117" s="2" t="s">
        <v>416</v>
      </c>
      <c r="J117" s="2" t="s">
        <v>32</v>
      </c>
      <c r="K117" s="46" t="str">
        <f aca="false">INDEX(Products!$B$2:$B$71,MATCH($C117,Products!$A$2:$A$71,0))</f>
        <v>Accusantium Set</v>
      </c>
      <c r="L117" s="46" t="str">
        <f aca="false">INDEX(Products!$C$2:$C$71,MATCH($C117,Products!$A$2:$A$71,0))</f>
        <v>Sweets</v>
      </c>
      <c r="M117" s="84" t="n">
        <f aca="false">INDEX(Products!$D$2:$D$71,MATCH($C117,Products!$A$2:$A$71,0))</f>
        <v>1199</v>
      </c>
      <c r="N117" s="84" t="n">
        <f aca="false">$D117*$M117</f>
        <v>3597</v>
      </c>
      <c r="O117" s="46" t="str">
        <f aca="false">INDEX(Customers!$C$2:$C$101,MATCH($B117,Customers!$A$2:$A$101,0))</f>
        <v>Madurai</v>
      </c>
      <c r="P117" s="46" t="str">
        <f aca="false">INDEX(Customers!$F$2:$F$101,MATCH($B117,Customers!$A$2:$A$101,0))</f>
        <v>Female</v>
      </c>
      <c r="Q117" s="46" t="str">
        <f aca="false">INDEX(Customers!$B$2:$B$101,MATCH($B117,Customers!$A$2:$A$101,0))</f>
        <v>Ritvik Borah</v>
      </c>
      <c r="R117" s="46" t="n">
        <f aca="false">MONTH($E117)</f>
        <v>11</v>
      </c>
      <c r="S117" s="46" t="str">
        <f aca="false">INDEX(Lists!$B$2:$B$13,$R117)</f>
        <v>November</v>
      </c>
      <c r="T117" s="46" t="n">
        <f aca="false">HOUR($F117)</f>
        <v>14</v>
      </c>
      <c r="U117" s="46" t="n">
        <f aca="false">WEEKDAY($E117,2)</f>
        <v>6</v>
      </c>
      <c r="V117" s="46" t="str">
        <f aca="false">INDEX(Lists!$F$2:$F$8,$U117)</f>
        <v>Saturday</v>
      </c>
      <c r="W117" s="85" t="n">
        <f aca="false">($G117+$H117)-($E117+$F117)</f>
        <v>8.62315972222222</v>
      </c>
      <c r="X117" s="46" t="str">
        <f aca="false">LOOKUP($M117,Lists!$G$2:$G$5,Lists!$H$2:$H$5)</f>
        <v>₹1,000 - 1,499</v>
      </c>
      <c r="Y117" s="46" t="str">
        <f aca="false">LOOKUP($W117,Lists!$I$2:$I$7,Lists!$J$2:$J$7)</f>
        <v>8 - 10 days</v>
      </c>
    </row>
    <row r="118" customFormat="false" ht="15" hidden="false" customHeight="false" outlineLevel="0" collapsed="false">
      <c r="A118" s="7" t="n">
        <v>117</v>
      </c>
      <c r="B118" s="7" t="s">
        <v>204</v>
      </c>
      <c r="C118" s="7" t="n">
        <v>59</v>
      </c>
      <c r="D118" s="7" t="n">
        <v>3</v>
      </c>
      <c r="E118" s="77" t="n">
        <v>45158</v>
      </c>
      <c r="F118" s="78" t="n">
        <v>0.784780092592593</v>
      </c>
      <c r="G118" s="77" t="n">
        <v>45160</v>
      </c>
      <c r="H118" s="78" t="n">
        <v>0.154872685185185</v>
      </c>
      <c r="I118" s="7" t="s">
        <v>472</v>
      </c>
      <c r="J118" s="7" t="s">
        <v>40</v>
      </c>
      <c r="K118" s="79" t="str">
        <f aca="false">INDEX(Products!$B$2:$B$71,MATCH($C118,Products!$A$2:$A$71,0))</f>
        <v>Pariatur Box</v>
      </c>
      <c r="L118" s="79" t="str">
        <f aca="false">INDEX(Products!$C$2:$C$71,MATCH($C118,Products!$A$2:$A$71,0))</f>
        <v>Cake</v>
      </c>
      <c r="M118" s="80" t="n">
        <f aca="false">INDEX(Products!$D$2:$D$71,MATCH($C118,Products!$A$2:$A$71,0))</f>
        <v>811</v>
      </c>
      <c r="N118" s="80" t="n">
        <f aca="false">$D118*$M118</f>
        <v>2433</v>
      </c>
      <c r="O118" s="79" t="str">
        <f aca="false">INDEX(Customers!$C$2:$C$101,MATCH($B118,Customers!$A$2:$A$101,0))</f>
        <v>Indore</v>
      </c>
      <c r="P118" s="79" t="str">
        <f aca="false">INDEX(Customers!$F$2:$F$101,MATCH($B118,Customers!$A$2:$A$101,0))</f>
        <v>Female</v>
      </c>
      <c r="Q118" s="79" t="str">
        <f aca="false">INDEX(Customers!$B$2:$B$101,MATCH($B118,Customers!$A$2:$A$101,0))</f>
        <v>Suhana Kurian</v>
      </c>
      <c r="R118" s="79" t="n">
        <f aca="false">MONTH($E118)</f>
        <v>8</v>
      </c>
      <c r="S118" s="79" t="str">
        <f aca="false">INDEX(Lists!$B$2:$B$13,$R118)</f>
        <v>August</v>
      </c>
      <c r="T118" s="79" t="n">
        <f aca="false">HOUR($F118)</f>
        <v>18</v>
      </c>
      <c r="U118" s="79" t="n">
        <f aca="false">WEEKDAY($E118,2)</f>
        <v>7</v>
      </c>
      <c r="V118" s="79" t="str">
        <f aca="false">INDEX(Lists!$F$2:$F$8,$U118)</f>
        <v>Sunday</v>
      </c>
      <c r="W118" s="81" t="n">
        <f aca="false">($G118+$H118)-($E118+$F118)</f>
        <v>1.37009259259259</v>
      </c>
      <c r="X118" s="79" t="str">
        <f aca="false">LOOKUP($M118,Lists!$G$2:$G$5,Lists!$H$2:$H$5)</f>
        <v>₹500 - 999</v>
      </c>
      <c r="Y118" s="79" t="str">
        <f aca="false">LOOKUP($W118,Lists!$I$2:$I$7,Lists!$J$2:$J$7)</f>
        <v>0 - 2 days</v>
      </c>
    </row>
    <row r="119" customFormat="false" ht="15" hidden="false" customHeight="false" outlineLevel="0" collapsed="false">
      <c r="A119" s="2" t="n">
        <v>118</v>
      </c>
      <c r="B119" s="2" t="s">
        <v>209</v>
      </c>
      <c r="C119" s="2" t="n">
        <v>62</v>
      </c>
      <c r="D119" s="2" t="n">
        <v>1</v>
      </c>
      <c r="E119" s="82" t="n">
        <v>44984</v>
      </c>
      <c r="F119" s="83" t="n">
        <v>0.604849537037037</v>
      </c>
      <c r="G119" s="82" t="n">
        <v>44990</v>
      </c>
      <c r="H119" s="83" t="n">
        <v>0.439490740740741</v>
      </c>
      <c r="I119" s="2" t="s">
        <v>238</v>
      </c>
      <c r="J119" s="2" t="s">
        <v>33</v>
      </c>
      <c r="K119" s="46" t="str">
        <f aca="false">INDEX(Products!$B$2:$B$71,MATCH($C119,Products!$A$2:$A$71,0))</f>
        <v>Sed Set</v>
      </c>
      <c r="L119" s="46" t="str">
        <f aca="false">INDEX(Products!$C$2:$C$71,MATCH($C119,Products!$A$2:$A$71,0))</f>
        <v>Colors</v>
      </c>
      <c r="M119" s="84" t="n">
        <f aca="false">INDEX(Products!$D$2:$D$71,MATCH($C119,Products!$A$2:$A$71,0))</f>
        <v>1356</v>
      </c>
      <c r="N119" s="84" t="n">
        <f aca="false">$D119*$M119</f>
        <v>1356</v>
      </c>
      <c r="O119" s="46" t="str">
        <f aca="false">INDEX(Customers!$C$2:$C$101,MATCH($B119,Customers!$A$2:$A$101,0))</f>
        <v>Vellore</v>
      </c>
      <c r="P119" s="46" t="str">
        <f aca="false">INDEX(Customers!$F$2:$F$101,MATCH($B119,Customers!$A$2:$A$101,0))</f>
        <v>Male</v>
      </c>
      <c r="Q119" s="46" t="str">
        <f aca="false">INDEX(Customers!$B$2:$B$101,MATCH($B119,Customers!$A$2:$A$101,0))</f>
        <v>Ira Sarna</v>
      </c>
      <c r="R119" s="46" t="n">
        <f aca="false">MONTH($E119)</f>
        <v>2</v>
      </c>
      <c r="S119" s="46" t="str">
        <f aca="false">INDEX(Lists!$B$2:$B$13,$R119)</f>
        <v>February</v>
      </c>
      <c r="T119" s="46" t="n">
        <f aca="false">HOUR($F119)</f>
        <v>14</v>
      </c>
      <c r="U119" s="46" t="n">
        <f aca="false">WEEKDAY($E119,2)</f>
        <v>1</v>
      </c>
      <c r="V119" s="46" t="str">
        <f aca="false">INDEX(Lists!$F$2:$F$8,$U119)</f>
        <v>Monday</v>
      </c>
      <c r="W119" s="85" t="n">
        <f aca="false">($G119+$H119)-($E119+$F119)</f>
        <v>5.8346412037037</v>
      </c>
      <c r="X119" s="46" t="str">
        <f aca="false">LOOKUP($M119,Lists!$G$2:$G$5,Lists!$H$2:$H$5)</f>
        <v>₹1,000 - 1,499</v>
      </c>
      <c r="Y119" s="46" t="str">
        <f aca="false">LOOKUP($W119,Lists!$I$2:$I$7,Lists!$J$2:$J$7)</f>
        <v>4 - 6 days</v>
      </c>
    </row>
    <row r="120" customFormat="false" ht="15" hidden="false" customHeight="false" outlineLevel="0" collapsed="false">
      <c r="A120" s="7" t="n">
        <v>119</v>
      </c>
      <c r="B120" s="7" t="s">
        <v>151</v>
      </c>
      <c r="C120" s="7" t="n">
        <v>6</v>
      </c>
      <c r="D120" s="7" t="n">
        <v>4</v>
      </c>
      <c r="E120" s="77" t="n">
        <v>44989</v>
      </c>
      <c r="F120" s="78" t="n">
        <v>0.459837962962963</v>
      </c>
      <c r="G120" s="77" t="n">
        <v>44997</v>
      </c>
      <c r="H120" s="78" t="n">
        <v>0.515486111111111</v>
      </c>
      <c r="I120" s="7" t="s">
        <v>374</v>
      </c>
      <c r="J120" s="7" t="s">
        <v>33</v>
      </c>
      <c r="K120" s="79" t="str">
        <f aca="false">INDEX(Products!$B$2:$B$71,MATCH($C120,Products!$A$2:$A$71,0))</f>
        <v>Quos Box</v>
      </c>
      <c r="L120" s="79" t="str">
        <f aca="false">INDEX(Products!$C$2:$C$71,MATCH($C120,Products!$A$2:$A$71,0))</f>
        <v>Cake</v>
      </c>
      <c r="M120" s="80" t="n">
        <f aca="false">INDEX(Products!$D$2:$D$71,MATCH($C120,Products!$A$2:$A$71,0))</f>
        <v>1112</v>
      </c>
      <c r="N120" s="80" t="n">
        <f aca="false">$D120*$M120</f>
        <v>4448</v>
      </c>
      <c r="O120" s="79" t="str">
        <f aca="false">INDEX(Customers!$C$2:$C$101,MATCH($B120,Customers!$A$2:$A$101,0))</f>
        <v>Kanpur</v>
      </c>
      <c r="P120" s="79" t="str">
        <f aca="false">INDEX(Customers!$F$2:$F$101,MATCH($B120,Customers!$A$2:$A$101,0))</f>
        <v>Male</v>
      </c>
      <c r="Q120" s="79" t="str">
        <f aca="false">INDEX(Customers!$B$2:$B$101,MATCH($B120,Customers!$A$2:$A$101,0))</f>
        <v>Darshit Dave</v>
      </c>
      <c r="R120" s="79" t="n">
        <f aca="false">MONTH($E120)</f>
        <v>3</v>
      </c>
      <c r="S120" s="79" t="str">
        <f aca="false">INDEX(Lists!$B$2:$B$13,$R120)</f>
        <v>March</v>
      </c>
      <c r="T120" s="79" t="n">
        <f aca="false">HOUR($F120)</f>
        <v>11</v>
      </c>
      <c r="U120" s="79" t="n">
        <f aca="false">WEEKDAY($E120,2)</f>
        <v>6</v>
      </c>
      <c r="V120" s="79" t="str">
        <f aca="false">INDEX(Lists!$F$2:$F$8,$U120)</f>
        <v>Saturday</v>
      </c>
      <c r="W120" s="81" t="n">
        <f aca="false">($G120+$H120)-($E120+$F120)</f>
        <v>8.05564814814815</v>
      </c>
      <c r="X120" s="79" t="str">
        <f aca="false">LOOKUP($M120,Lists!$G$2:$G$5,Lists!$H$2:$H$5)</f>
        <v>₹1,000 - 1,499</v>
      </c>
      <c r="Y120" s="79" t="str">
        <f aca="false">LOOKUP($W120,Lists!$I$2:$I$7,Lists!$J$2:$J$7)</f>
        <v>8 - 10 days</v>
      </c>
    </row>
    <row r="121" customFormat="false" ht="15" hidden="false" customHeight="false" outlineLevel="0" collapsed="false">
      <c r="A121" s="2" t="n">
        <v>120</v>
      </c>
      <c r="B121" s="2" t="s">
        <v>254</v>
      </c>
      <c r="C121" s="2" t="n">
        <v>61</v>
      </c>
      <c r="D121" s="2" t="n">
        <v>1</v>
      </c>
      <c r="E121" s="82" t="n">
        <v>45285</v>
      </c>
      <c r="F121" s="83" t="n">
        <v>0.935150462962963</v>
      </c>
      <c r="G121" s="82" t="n">
        <v>45291</v>
      </c>
      <c r="H121" s="83" t="n">
        <v>0.414861111111111</v>
      </c>
      <c r="I121" s="2" t="s">
        <v>446</v>
      </c>
      <c r="J121" s="2" t="s">
        <v>168</v>
      </c>
      <c r="K121" s="46" t="str">
        <f aca="false">INDEX(Products!$B$2:$B$71,MATCH($C121,Products!$A$2:$A$71,0))</f>
        <v>Iusto Box</v>
      </c>
      <c r="L121" s="46" t="str">
        <f aca="false">INDEX(Products!$C$2:$C$71,MATCH($C121,Products!$A$2:$A$71,0))</f>
        <v>Plants</v>
      </c>
      <c r="M121" s="84" t="n">
        <f aca="false">INDEX(Products!$D$2:$D$71,MATCH($C121,Products!$A$2:$A$71,0))</f>
        <v>810</v>
      </c>
      <c r="N121" s="84" t="n">
        <f aca="false">$D121*$M121</f>
        <v>810</v>
      </c>
      <c r="O121" s="46" t="str">
        <f aca="false">INDEX(Customers!$C$2:$C$101,MATCH($B121,Customers!$A$2:$A$101,0))</f>
        <v>Imphal</v>
      </c>
      <c r="P121" s="46" t="str">
        <f aca="false">INDEX(Customers!$F$2:$F$101,MATCH($B121,Customers!$A$2:$A$101,0))</f>
        <v>Female</v>
      </c>
      <c r="Q121" s="46" t="str">
        <f aca="false">INDEX(Customers!$B$2:$B$101,MATCH($B121,Customers!$A$2:$A$101,0))</f>
        <v>Chirag Srinivas</v>
      </c>
      <c r="R121" s="46" t="n">
        <f aca="false">MONTH($E121)</f>
        <v>12</v>
      </c>
      <c r="S121" s="46" t="str">
        <f aca="false">INDEX(Lists!$B$2:$B$13,$R121)</f>
        <v>December</v>
      </c>
      <c r="T121" s="46" t="n">
        <f aca="false">HOUR($F121)</f>
        <v>22</v>
      </c>
      <c r="U121" s="46" t="n">
        <f aca="false">WEEKDAY($E121,2)</f>
        <v>1</v>
      </c>
      <c r="V121" s="46" t="str">
        <f aca="false">INDEX(Lists!$F$2:$F$8,$U121)</f>
        <v>Monday</v>
      </c>
      <c r="W121" s="85" t="n">
        <f aca="false">($G121+$H121)-($E121+$F121)</f>
        <v>5.47971064814815</v>
      </c>
      <c r="X121" s="46" t="str">
        <f aca="false">LOOKUP($M121,Lists!$G$2:$G$5,Lists!$H$2:$H$5)</f>
        <v>₹500 - 999</v>
      </c>
      <c r="Y121" s="46" t="str">
        <f aca="false">LOOKUP($W121,Lists!$I$2:$I$7,Lists!$J$2:$J$7)</f>
        <v>4 - 6 days</v>
      </c>
    </row>
    <row r="122" customFormat="false" ht="15" hidden="false" customHeight="false" outlineLevel="0" collapsed="false">
      <c r="A122" s="7" t="n">
        <v>121</v>
      </c>
      <c r="B122" s="7" t="s">
        <v>248</v>
      </c>
      <c r="C122" s="7" t="n">
        <v>33</v>
      </c>
      <c r="D122" s="7" t="n">
        <v>3</v>
      </c>
      <c r="E122" s="77" t="n">
        <v>44962</v>
      </c>
      <c r="F122" s="78" t="n">
        <v>0.0964699074074074</v>
      </c>
      <c r="G122" s="77" t="n">
        <v>44966</v>
      </c>
      <c r="H122" s="78" t="n">
        <v>0.312164351851852</v>
      </c>
      <c r="I122" s="7" t="s">
        <v>399</v>
      </c>
      <c r="J122" s="7" t="s">
        <v>179</v>
      </c>
      <c r="K122" s="79" t="str">
        <f aca="false">INDEX(Products!$B$2:$B$71,MATCH($C122,Products!$A$2:$A$71,0))</f>
        <v>Earum Set</v>
      </c>
      <c r="L122" s="79" t="str">
        <f aca="false">INDEX(Products!$C$2:$C$71,MATCH($C122,Products!$A$2:$A$71,0))</f>
        <v>Colors</v>
      </c>
      <c r="M122" s="80" t="n">
        <f aca="false">INDEX(Products!$D$2:$D$71,MATCH($C122,Products!$A$2:$A$71,0))</f>
        <v>314</v>
      </c>
      <c r="N122" s="80" t="n">
        <f aca="false">$D122*$M122</f>
        <v>942</v>
      </c>
      <c r="O122" s="79" t="str">
        <f aca="false">INDEX(Customers!$C$2:$C$101,MATCH($B122,Customers!$A$2:$A$101,0))</f>
        <v>Guntakal</v>
      </c>
      <c r="P122" s="79" t="str">
        <f aca="false">INDEX(Customers!$F$2:$F$101,MATCH($B122,Customers!$A$2:$A$101,0))</f>
        <v>Male</v>
      </c>
      <c r="Q122" s="79" t="str">
        <f aca="false">INDEX(Customers!$B$2:$B$101,MATCH($B122,Customers!$A$2:$A$101,0))</f>
        <v>Aradhya Kale</v>
      </c>
      <c r="R122" s="79" t="n">
        <f aca="false">MONTH($E122)</f>
        <v>2</v>
      </c>
      <c r="S122" s="79" t="str">
        <f aca="false">INDEX(Lists!$B$2:$B$13,$R122)</f>
        <v>February</v>
      </c>
      <c r="T122" s="79" t="n">
        <f aca="false">HOUR($F122)</f>
        <v>2</v>
      </c>
      <c r="U122" s="79" t="n">
        <f aca="false">WEEKDAY($E122,2)</f>
        <v>7</v>
      </c>
      <c r="V122" s="79" t="str">
        <f aca="false">INDEX(Lists!$F$2:$F$8,$U122)</f>
        <v>Sunday</v>
      </c>
      <c r="W122" s="81" t="n">
        <f aca="false">($G122+$H122)-($E122+$F122)</f>
        <v>4.21569444444445</v>
      </c>
      <c r="X122" s="79" t="str">
        <f aca="false">LOOKUP($M122,Lists!$G$2:$G$5,Lists!$H$2:$H$5)</f>
        <v>₹0 - 499</v>
      </c>
      <c r="Y122" s="79" t="str">
        <f aca="false">LOOKUP($W122,Lists!$I$2:$I$7,Lists!$J$2:$J$7)</f>
        <v>4 - 6 days</v>
      </c>
    </row>
    <row r="123" customFormat="false" ht="15" hidden="false" customHeight="false" outlineLevel="0" collapsed="false">
      <c r="A123" s="2" t="n">
        <v>122</v>
      </c>
      <c r="B123" s="2" t="s">
        <v>347</v>
      </c>
      <c r="C123" s="2" t="n">
        <v>24</v>
      </c>
      <c r="D123" s="2" t="n">
        <v>5</v>
      </c>
      <c r="E123" s="82" t="n">
        <v>45202</v>
      </c>
      <c r="F123" s="83" t="n">
        <v>0.378043981481482</v>
      </c>
      <c r="G123" s="82" t="n">
        <v>45212</v>
      </c>
      <c r="H123" s="83" t="n">
        <v>0.135578703703704</v>
      </c>
      <c r="I123" s="2" t="s">
        <v>396</v>
      </c>
      <c r="J123" s="2" t="s">
        <v>31</v>
      </c>
      <c r="K123" s="46" t="str">
        <f aca="false">INDEX(Products!$B$2:$B$71,MATCH($C123,Products!$A$2:$A$71,0))</f>
        <v>Ad Box</v>
      </c>
      <c r="L123" s="46" t="str">
        <f aca="false">INDEX(Products!$C$2:$C$71,MATCH($C123,Products!$A$2:$A$71,0))</f>
        <v>Mugs</v>
      </c>
      <c r="M123" s="84" t="n">
        <f aca="false">INDEX(Products!$D$2:$D$71,MATCH($C123,Products!$A$2:$A$71,0))</f>
        <v>535</v>
      </c>
      <c r="N123" s="84" t="n">
        <f aca="false">$D123*$M123</f>
        <v>2675</v>
      </c>
      <c r="O123" s="46" t="str">
        <f aca="false">INDEX(Customers!$C$2:$C$101,MATCH($B123,Customers!$A$2:$A$101,0))</f>
        <v>Raurkela Industrial Township</v>
      </c>
      <c r="P123" s="46" t="str">
        <f aca="false">INDEX(Customers!$F$2:$F$101,MATCH($B123,Customers!$A$2:$A$101,0))</f>
        <v>Male</v>
      </c>
      <c r="Q123" s="46" t="str">
        <f aca="false">INDEX(Customers!$B$2:$B$101,MATCH($B123,Customers!$A$2:$A$101,0))</f>
        <v>Aaryahi Sodhi</v>
      </c>
      <c r="R123" s="46" t="n">
        <f aca="false">MONTH($E123)</f>
        <v>10</v>
      </c>
      <c r="S123" s="46" t="str">
        <f aca="false">INDEX(Lists!$B$2:$B$13,$R123)</f>
        <v>October</v>
      </c>
      <c r="T123" s="46" t="n">
        <f aca="false">HOUR($F123)</f>
        <v>9</v>
      </c>
      <c r="U123" s="46" t="n">
        <f aca="false">WEEKDAY($E123,2)</f>
        <v>2</v>
      </c>
      <c r="V123" s="46" t="str">
        <f aca="false">INDEX(Lists!$F$2:$F$8,$U123)</f>
        <v>Tuesday</v>
      </c>
      <c r="W123" s="85" t="n">
        <f aca="false">($G123+$H123)-($E123+$F123)</f>
        <v>9.75753472222222</v>
      </c>
      <c r="X123" s="46" t="str">
        <f aca="false">LOOKUP($M123,Lists!$G$2:$G$5,Lists!$H$2:$H$5)</f>
        <v>₹500 - 999</v>
      </c>
      <c r="Y123" s="46" t="str">
        <f aca="false">LOOKUP($W123,Lists!$I$2:$I$7,Lists!$J$2:$J$7)</f>
        <v>8 - 10 days</v>
      </c>
    </row>
    <row r="124" customFormat="false" ht="15" hidden="false" customHeight="false" outlineLevel="0" collapsed="false">
      <c r="A124" s="7" t="n">
        <v>123</v>
      </c>
      <c r="B124" s="7" t="s">
        <v>190</v>
      </c>
      <c r="C124" s="7" t="n">
        <v>38</v>
      </c>
      <c r="D124" s="7" t="n">
        <v>1</v>
      </c>
      <c r="E124" s="77" t="n">
        <v>44941</v>
      </c>
      <c r="F124" s="78" t="n">
        <v>0.0216319444444444</v>
      </c>
      <c r="G124" s="77" t="n">
        <v>44951</v>
      </c>
      <c r="H124" s="78" t="n">
        <v>0.20744212962963</v>
      </c>
      <c r="I124" s="7" t="s">
        <v>481</v>
      </c>
      <c r="J124" s="7" t="s">
        <v>31</v>
      </c>
      <c r="K124" s="79" t="str">
        <f aca="false">INDEX(Products!$B$2:$B$71,MATCH($C124,Products!$A$2:$A$71,0))</f>
        <v>Mollitia Set</v>
      </c>
      <c r="L124" s="79" t="str">
        <f aca="false">INDEX(Products!$C$2:$C$71,MATCH($C124,Products!$A$2:$A$71,0))</f>
        <v>Cake</v>
      </c>
      <c r="M124" s="80" t="n">
        <f aca="false">INDEX(Products!$D$2:$D$71,MATCH($C124,Products!$A$2:$A$71,0))</f>
        <v>562</v>
      </c>
      <c r="N124" s="80" t="n">
        <f aca="false">$D124*$M124</f>
        <v>562</v>
      </c>
      <c r="O124" s="79" t="str">
        <f aca="false">INDEX(Customers!$C$2:$C$101,MATCH($B124,Customers!$A$2:$A$101,0))</f>
        <v>Farrukhabad</v>
      </c>
      <c r="P124" s="79" t="str">
        <f aca="false">INDEX(Customers!$F$2:$F$101,MATCH($B124,Customers!$A$2:$A$101,0))</f>
        <v>Female</v>
      </c>
      <c r="Q124" s="79" t="str">
        <f aca="false">INDEX(Customers!$B$2:$B$101,MATCH($B124,Customers!$A$2:$A$101,0))</f>
        <v>Ira Chahal</v>
      </c>
      <c r="R124" s="79" t="n">
        <f aca="false">MONTH($E124)</f>
        <v>1</v>
      </c>
      <c r="S124" s="79" t="str">
        <f aca="false">INDEX(Lists!$B$2:$B$13,$R124)</f>
        <v>January</v>
      </c>
      <c r="T124" s="79" t="n">
        <f aca="false">HOUR($F124)</f>
        <v>0</v>
      </c>
      <c r="U124" s="79" t="n">
        <f aca="false">WEEKDAY($E124,2)</f>
        <v>7</v>
      </c>
      <c r="V124" s="79" t="str">
        <f aca="false">INDEX(Lists!$F$2:$F$8,$U124)</f>
        <v>Sunday</v>
      </c>
      <c r="W124" s="81" t="n">
        <f aca="false">($G124+$H124)-($E124+$F124)</f>
        <v>10.1858101851852</v>
      </c>
      <c r="X124" s="79" t="str">
        <f aca="false">LOOKUP($M124,Lists!$G$2:$G$5,Lists!$H$2:$H$5)</f>
        <v>₹500 - 999</v>
      </c>
      <c r="Y124" s="79" t="str">
        <f aca="false">LOOKUP($W124,Lists!$I$2:$I$7,Lists!$J$2:$J$7)</f>
        <v>Over 10 days</v>
      </c>
    </row>
    <row r="125" customFormat="false" ht="15" hidden="false" customHeight="false" outlineLevel="0" collapsed="false">
      <c r="A125" s="2" t="n">
        <v>124</v>
      </c>
      <c r="B125" s="2" t="s">
        <v>198</v>
      </c>
      <c r="C125" s="2" t="n">
        <v>67</v>
      </c>
      <c r="D125" s="2" t="n">
        <v>4</v>
      </c>
      <c r="E125" s="82" t="n">
        <v>45128</v>
      </c>
      <c r="F125" s="83" t="n">
        <v>0.364525462962963</v>
      </c>
      <c r="G125" s="82" t="n">
        <v>45130</v>
      </c>
      <c r="H125" s="83" t="n">
        <v>0.224814814814815</v>
      </c>
      <c r="I125" s="2" t="s">
        <v>244</v>
      </c>
      <c r="J125" s="2" t="s">
        <v>168</v>
      </c>
      <c r="K125" s="46" t="str">
        <f aca="false">INDEX(Products!$B$2:$B$71,MATCH($C125,Products!$A$2:$A$71,0))</f>
        <v>Maiores Box</v>
      </c>
      <c r="L125" s="46" t="str">
        <f aca="false">INDEX(Products!$C$2:$C$71,MATCH($C125,Products!$A$2:$A$71,0))</f>
        <v>Raksha Bandhan</v>
      </c>
      <c r="M125" s="84" t="n">
        <f aca="false">INDEX(Products!$D$2:$D$71,MATCH($C125,Products!$A$2:$A$71,0))</f>
        <v>1374</v>
      </c>
      <c r="N125" s="84" t="n">
        <f aca="false">$D125*$M125</f>
        <v>5496</v>
      </c>
      <c r="O125" s="46" t="str">
        <f aca="false">INDEX(Customers!$C$2:$C$101,MATCH($B125,Customers!$A$2:$A$101,0))</f>
        <v>Sambhal</v>
      </c>
      <c r="P125" s="46" t="str">
        <f aca="false">INDEX(Customers!$F$2:$F$101,MATCH($B125,Customers!$A$2:$A$101,0))</f>
        <v>Male</v>
      </c>
      <c r="Q125" s="46" t="str">
        <f aca="false">INDEX(Customers!$B$2:$B$101,MATCH($B125,Customers!$A$2:$A$101,0))</f>
        <v>Vardaniya Contractor</v>
      </c>
      <c r="R125" s="46" t="n">
        <f aca="false">MONTH($E125)</f>
        <v>7</v>
      </c>
      <c r="S125" s="46" t="str">
        <f aca="false">INDEX(Lists!$B$2:$B$13,$R125)</f>
        <v>July</v>
      </c>
      <c r="T125" s="46" t="n">
        <f aca="false">HOUR($F125)</f>
        <v>8</v>
      </c>
      <c r="U125" s="46" t="n">
        <f aca="false">WEEKDAY($E125,2)</f>
        <v>5</v>
      </c>
      <c r="V125" s="46" t="str">
        <f aca="false">INDEX(Lists!$F$2:$F$8,$U125)</f>
        <v>Friday</v>
      </c>
      <c r="W125" s="85" t="n">
        <f aca="false">($G125+$H125)-($E125+$F125)</f>
        <v>1.86028935185185</v>
      </c>
      <c r="X125" s="46" t="str">
        <f aca="false">LOOKUP($M125,Lists!$G$2:$G$5,Lists!$H$2:$H$5)</f>
        <v>₹1,000 - 1,499</v>
      </c>
      <c r="Y125" s="46" t="str">
        <f aca="false">LOOKUP($W125,Lists!$I$2:$I$7,Lists!$J$2:$J$7)</f>
        <v>0 - 2 days</v>
      </c>
    </row>
    <row r="126" customFormat="false" ht="15" hidden="false" customHeight="false" outlineLevel="0" collapsed="false">
      <c r="A126" s="7" t="n">
        <v>125</v>
      </c>
      <c r="B126" s="7" t="s">
        <v>176</v>
      </c>
      <c r="C126" s="7" t="n">
        <v>31</v>
      </c>
      <c r="D126" s="7" t="n">
        <v>2</v>
      </c>
      <c r="E126" s="77" t="n">
        <v>45004</v>
      </c>
      <c r="F126" s="78" t="n">
        <v>0.383460648148148</v>
      </c>
      <c r="G126" s="77" t="n">
        <v>45010</v>
      </c>
      <c r="H126" s="78" t="n">
        <v>0.608460648148148</v>
      </c>
      <c r="I126" s="7" t="s">
        <v>462</v>
      </c>
      <c r="J126" s="7" t="s">
        <v>165</v>
      </c>
      <c r="K126" s="79" t="str">
        <f aca="false">INDEX(Products!$B$2:$B$71,MATCH($C126,Products!$A$2:$A$71,0))</f>
        <v>Nihil Box</v>
      </c>
      <c r="L126" s="79" t="str">
        <f aca="false">INDEX(Products!$C$2:$C$71,MATCH($C126,Products!$A$2:$A$71,0))</f>
        <v>Colors</v>
      </c>
      <c r="M126" s="80" t="n">
        <f aca="false">INDEX(Products!$D$2:$D$71,MATCH($C126,Products!$A$2:$A$71,0))</f>
        <v>1804</v>
      </c>
      <c r="N126" s="80" t="n">
        <f aca="false">$D126*$M126</f>
        <v>3608</v>
      </c>
      <c r="O126" s="79" t="str">
        <f aca="false">INDEX(Customers!$C$2:$C$101,MATCH($B126,Customers!$A$2:$A$101,0))</f>
        <v>Machilipatnam</v>
      </c>
      <c r="P126" s="79" t="str">
        <f aca="false">INDEX(Customers!$F$2:$F$101,MATCH($B126,Customers!$A$2:$A$101,0))</f>
        <v>Male</v>
      </c>
      <c r="Q126" s="79" t="str">
        <f aca="false">INDEX(Customers!$B$2:$B$101,MATCH($B126,Customers!$A$2:$A$101,0))</f>
        <v>Samaira Ganesh</v>
      </c>
      <c r="R126" s="79" t="n">
        <f aca="false">MONTH($E126)</f>
        <v>3</v>
      </c>
      <c r="S126" s="79" t="str">
        <f aca="false">INDEX(Lists!$B$2:$B$13,$R126)</f>
        <v>March</v>
      </c>
      <c r="T126" s="79" t="n">
        <f aca="false">HOUR($F126)</f>
        <v>9</v>
      </c>
      <c r="U126" s="79" t="n">
        <f aca="false">WEEKDAY($E126,2)</f>
        <v>7</v>
      </c>
      <c r="V126" s="79" t="str">
        <f aca="false">INDEX(Lists!$F$2:$F$8,$U126)</f>
        <v>Sunday</v>
      </c>
      <c r="W126" s="81" t="n">
        <f aca="false">($G126+$H126)-($E126+$F126)</f>
        <v>6.225</v>
      </c>
      <c r="X126" s="79" t="str">
        <f aca="false">LOOKUP($M126,Lists!$G$2:$G$5,Lists!$H$2:$H$5)</f>
        <v>₹1,500 - 2,000</v>
      </c>
      <c r="Y126" s="79" t="str">
        <f aca="false">LOOKUP($W126,Lists!$I$2:$I$7,Lists!$J$2:$J$7)</f>
        <v>6 - 8 days</v>
      </c>
    </row>
    <row r="127" customFormat="false" ht="15" hidden="false" customHeight="false" outlineLevel="0" collapsed="false">
      <c r="A127" s="2" t="n">
        <v>126</v>
      </c>
      <c r="B127" s="2" t="s">
        <v>224</v>
      </c>
      <c r="C127" s="2" t="n">
        <v>19</v>
      </c>
      <c r="D127" s="2" t="n">
        <v>5</v>
      </c>
      <c r="E127" s="82" t="n">
        <v>44961</v>
      </c>
      <c r="F127" s="83" t="n">
        <v>0.103055555555556</v>
      </c>
      <c r="G127" s="82" t="n">
        <v>44970</v>
      </c>
      <c r="H127" s="83" t="n">
        <v>0.553217592592593</v>
      </c>
      <c r="I127" s="2" t="s">
        <v>343</v>
      </c>
      <c r="J127" s="2" t="s">
        <v>179</v>
      </c>
      <c r="K127" s="46" t="str">
        <f aca="false">INDEX(Products!$B$2:$B$71,MATCH($C127,Products!$A$2:$A$71,0))</f>
        <v>Iure Gift</v>
      </c>
      <c r="L127" s="46" t="str">
        <f aca="false">INDEX(Products!$C$2:$C$71,MATCH($C127,Products!$A$2:$A$71,0))</f>
        <v>Mugs</v>
      </c>
      <c r="M127" s="84" t="n">
        <f aca="false">INDEX(Products!$D$2:$D$71,MATCH($C127,Products!$A$2:$A$71,0))</f>
        <v>1234</v>
      </c>
      <c r="N127" s="84" t="n">
        <f aca="false">$D127*$M127</f>
        <v>6170</v>
      </c>
      <c r="O127" s="46" t="str">
        <f aca="false">INDEX(Customers!$C$2:$C$101,MATCH($B127,Customers!$A$2:$A$101,0))</f>
        <v>Pallavaram</v>
      </c>
      <c r="P127" s="46" t="str">
        <f aca="false">INDEX(Customers!$F$2:$F$101,MATCH($B127,Customers!$A$2:$A$101,0))</f>
        <v>Female</v>
      </c>
      <c r="Q127" s="46" t="str">
        <f aca="false">INDEX(Customers!$B$2:$B$101,MATCH($B127,Customers!$A$2:$A$101,0))</f>
        <v>Hazel Mangat</v>
      </c>
      <c r="R127" s="46" t="n">
        <f aca="false">MONTH($E127)</f>
        <v>2</v>
      </c>
      <c r="S127" s="46" t="str">
        <f aca="false">INDEX(Lists!$B$2:$B$13,$R127)</f>
        <v>February</v>
      </c>
      <c r="T127" s="46" t="n">
        <f aca="false">HOUR($F127)</f>
        <v>2</v>
      </c>
      <c r="U127" s="46" t="n">
        <f aca="false">WEEKDAY($E127,2)</f>
        <v>6</v>
      </c>
      <c r="V127" s="46" t="str">
        <f aca="false">INDEX(Lists!$F$2:$F$8,$U127)</f>
        <v>Saturday</v>
      </c>
      <c r="W127" s="85" t="n">
        <f aca="false">($G127+$H127)-($E127+$F127)</f>
        <v>9.45016203703704</v>
      </c>
      <c r="X127" s="46" t="str">
        <f aca="false">LOOKUP($M127,Lists!$G$2:$G$5,Lists!$H$2:$H$5)</f>
        <v>₹1,000 - 1,499</v>
      </c>
      <c r="Y127" s="46" t="str">
        <f aca="false">LOOKUP($W127,Lists!$I$2:$I$7,Lists!$J$2:$J$7)</f>
        <v>8 - 10 days</v>
      </c>
    </row>
    <row r="128" customFormat="false" ht="15" hidden="false" customHeight="false" outlineLevel="0" collapsed="false">
      <c r="A128" s="7" t="n">
        <v>127</v>
      </c>
      <c r="B128" s="7" t="s">
        <v>257</v>
      </c>
      <c r="C128" s="7" t="n">
        <v>60</v>
      </c>
      <c r="D128" s="7" t="n">
        <v>4</v>
      </c>
      <c r="E128" s="77" t="n">
        <v>45232</v>
      </c>
      <c r="F128" s="78" t="n">
        <v>0.586550925925926</v>
      </c>
      <c r="G128" s="77" t="n">
        <v>45233</v>
      </c>
      <c r="H128" s="78" t="n">
        <v>0.809039351851852</v>
      </c>
      <c r="I128" s="7" t="s">
        <v>340</v>
      </c>
      <c r="J128" s="7" t="s">
        <v>32</v>
      </c>
      <c r="K128" s="79" t="str">
        <f aca="false">INDEX(Products!$B$2:$B$71,MATCH($C128,Products!$A$2:$A$71,0))</f>
        <v>Ea Set</v>
      </c>
      <c r="L128" s="79" t="str">
        <f aca="false">INDEX(Products!$C$2:$C$71,MATCH($C128,Products!$A$2:$A$71,0))</f>
        <v>Sweets</v>
      </c>
      <c r="M128" s="80" t="n">
        <f aca="false">INDEX(Products!$D$2:$D$71,MATCH($C128,Products!$A$2:$A$71,0))</f>
        <v>827</v>
      </c>
      <c r="N128" s="80" t="n">
        <f aca="false">$D128*$M128</f>
        <v>3308</v>
      </c>
      <c r="O128" s="79" t="str">
        <f aca="false">INDEX(Customers!$C$2:$C$101,MATCH($B128,Customers!$A$2:$A$101,0))</f>
        <v>Kota</v>
      </c>
      <c r="P128" s="79" t="str">
        <f aca="false">INDEX(Customers!$F$2:$F$101,MATCH($B128,Customers!$A$2:$A$101,0))</f>
        <v>Female</v>
      </c>
      <c r="Q128" s="79" t="str">
        <f aca="false">INDEX(Customers!$B$2:$B$101,MATCH($B128,Customers!$A$2:$A$101,0))</f>
        <v>Aradhya Batta</v>
      </c>
      <c r="R128" s="79" t="n">
        <f aca="false">MONTH($E128)</f>
        <v>11</v>
      </c>
      <c r="S128" s="79" t="str">
        <f aca="false">INDEX(Lists!$B$2:$B$13,$R128)</f>
        <v>November</v>
      </c>
      <c r="T128" s="79" t="n">
        <f aca="false">HOUR($F128)</f>
        <v>14</v>
      </c>
      <c r="U128" s="79" t="n">
        <f aca="false">WEEKDAY($E128,2)</f>
        <v>4</v>
      </c>
      <c r="V128" s="79" t="str">
        <f aca="false">INDEX(Lists!$F$2:$F$8,$U128)</f>
        <v>Thursday</v>
      </c>
      <c r="W128" s="81" t="n">
        <f aca="false">($G128+$H128)-($E128+$F128)</f>
        <v>1.22248842592593</v>
      </c>
      <c r="X128" s="79" t="str">
        <f aca="false">LOOKUP($M128,Lists!$G$2:$G$5,Lists!$H$2:$H$5)</f>
        <v>₹500 - 999</v>
      </c>
      <c r="Y128" s="79" t="str">
        <f aca="false">LOOKUP($W128,Lists!$I$2:$I$7,Lists!$J$2:$J$7)</f>
        <v>0 - 2 days</v>
      </c>
    </row>
    <row r="129" customFormat="false" ht="15" hidden="false" customHeight="false" outlineLevel="0" collapsed="false">
      <c r="A129" s="2" t="n">
        <v>128</v>
      </c>
      <c r="B129" s="2" t="s">
        <v>297</v>
      </c>
      <c r="C129" s="2" t="n">
        <v>12</v>
      </c>
      <c r="D129" s="2" t="n">
        <v>3</v>
      </c>
      <c r="E129" s="82" t="n">
        <v>44991</v>
      </c>
      <c r="F129" s="83" t="n">
        <v>0.701712962962963</v>
      </c>
      <c r="G129" s="82" t="n">
        <v>44998</v>
      </c>
      <c r="H129" s="83" t="n">
        <v>0.632858796296296</v>
      </c>
      <c r="I129" s="2" t="s">
        <v>460</v>
      </c>
      <c r="J129" s="2" t="s">
        <v>168</v>
      </c>
      <c r="K129" s="46" t="str">
        <f aca="false">INDEX(Products!$B$2:$B$71,MATCH($C129,Products!$A$2:$A$71,0))</f>
        <v>Non Set</v>
      </c>
      <c r="L129" s="46" t="str">
        <f aca="false">INDEX(Products!$C$2:$C$71,MATCH($C129,Products!$A$2:$A$71,0))</f>
        <v>Plants</v>
      </c>
      <c r="M129" s="84" t="n">
        <f aca="false">INDEX(Products!$D$2:$D$71,MATCH($C129,Products!$A$2:$A$71,0))</f>
        <v>672</v>
      </c>
      <c r="N129" s="84" t="n">
        <f aca="false">$D129*$M129</f>
        <v>2016</v>
      </c>
      <c r="O129" s="46" t="str">
        <f aca="false">INDEX(Customers!$C$2:$C$101,MATCH($B129,Customers!$A$2:$A$101,0))</f>
        <v>North Dumdum</v>
      </c>
      <c r="P129" s="46" t="str">
        <f aca="false">INDEX(Customers!$F$2:$F$101,MATCH($B129,Customers!$A$2:$A$101,0))</f>
        <v>Male</v>
      </c>
      <c r="Q129" s="46" t="str">
        <f aca="false">INDEX(Customers!$B$2:$B$101,MATCH($B129,Customers!$A$2:$A$101,0))</f>
        <v>Badal Vora</v>
      </c>
      <c r="R129" s="46" t="n">
        <f aca="false">MONTH($E129)</f>
        <v>3</v>
      </c>
      <c r="S129" s="46" t="str">
        <f aca="false">INDEX(Lists!$B$2:$B$13,$R129)</f>
        <v>March</v>
      </c>
      <c r="T129" s="46" t="n">
        <f aca="false">HOUR($F129)</f>
        <v>16</v>
      </c>
      <c r="U129" s="46" t="n">
        <f aca="false">WEEKDAY($E129,2)</f>
        <v>1</v>
      </c>
      <c r="V129" s="46" t="str">
        <f aca="false">INDEX(Lists!$F$2:$F$8,$U129)</f>
        <v>Monday</v>
      </c>
      <c r="W129" s="85" t="n">
        <f aca="false">($G129+$H129)-($E129+$F129)</f>
        <v>6.93114583333333</v>
      </c>
      <c r="X129" s="46" t="str">
        <f aca="false">LOOKUP($M129,Lists!$G$2:$G$5,Lists!$H$2:$H$5)</f>
        <v>₹500 - 999</v>
      </c>
      <c r="Y129" s="46" t="str">
        <f aca="false">LOOKUP($W129,Lists!$I$2:$I$7,Lists!$J$2:$J$7)</f>
        <v>6 - 8 days</v>
      </c>
    </row>
    <row r="130" customFormat="false" ht="15" hidden="false" customHeight="false" outlineLevel="0" collapsed="false">
      <c r="A130" s="7" t="n">
        <v>129</v>
      </c>
      <c r="B130" s="7" t="s">
        <v>257</v>
      </c>
      <c r="C130" s="7" t="n">
        <v>67</v>
      </c>
      <c r="D130" s="7" t="n">
        <v>2</v>
      </c>
      <c r="E130" s="77" t="n">
        <v>44974</v>
      </c>
      <c r="F130" s="78" t="n">
        <v>0.223263888888889</v>
      </c>
      <c r="G130" s="77" t="n">
        <v>44977</v>
      </c>
      <c r="H130" s="78" t="n">
        <v>0.345509259259259</v>
      </c>
      <c r="I130" s="7" t="s">
        <v>542</v>
      </c>
      <c r="J130" s="7" t="s">
        <v>168</v>
      </c>
      <c r="K130" s="79" t="str">
        <f aca="false">INDEX(Products!$B$2:$B$71,MATCH($C130,Products!$A$2:$A$71,0))</f>
        <v>Maiores Box</v>
      </c>
      <c r="L130" s="79" t="str">
        <f aca="false">INDEX(Products!$C$2:$C$71,MATCH($C130,Products!$A$2:$A$71,0))</f>
        <v>Raksha Bandhan</v>
      </c>
      <c r="M130" s="80" t="n">
        <f aca="false">INDEX(Products!$D$2:$D$71,MATCH($C130,Products!$A$2:$A$71,0))</f>
        <v>1374</v>
      </c>
      <c r="N130" s="80" t="n">
        <f aca="false">$D130*$M130</f>
        <v>2748</v>
      </c>
      <c r="O130" s="79" t="str">
        <f aca="false">INDEX(Customers!$C$2:$C$101,MATCH($B130,Customers!$A$2:$A$101,0))</f>
        <v>Kota</v>
      </c>
      <c r="P130" s="79" t="str">
        <f aca="false">INDEX(Customers!$F$2:$F$101,MATCH($B130,Customers!$A$2:$A$101,0))</f>
        <v>Female</v>
      </c>
      <c r="Q130" s="79" t="str">
        <f aca="false">INDEX(Customers!$B$2:$B$101,MATCH($B130,Customers!$A$2:$A$101,0))</f>
        <v>Aradhya Batta</v>
      </c>
      <c r="R130" s="79" t="n">
        <f aca="false">MONTH($E130)</f>
        <v>2</v>
      </c>
      <c r="S130" s="79" t="str">
        <f aca="false">INDEX(Lists!$B$2:$B$13,$R130)</f>
        <v>February</v>
      </c>
      <c r="T130" s="79" t="n">
        <f aca="false">HOUR($F130)</f>
        <v>5</v>
      </c>
      <c r="U130" s="79" t="n">
        <f aca="false">WEEKDAY($E130,2)</f>
        <v>5</v>
      </c>
      <c r="V130" s="79" t="str">
        <f aca="false">INDEX(Lists!$F$2:$F$8,$U130)</f>
        <v>Friday</v>
      </c>
      <c r="W130" s="81" t="n">
        <f aca="false">($G130+$H130)-($E130+$F130)</f>
        <v>3.12224537037037</v>
      </c>
      <c r="X130" s="79" t="str">
        <f aca="false">LOOKUP($M130,Lists!$G$2:$G$5,Lists!$H$2:$H$5)</f>
        <v>₹1,000 - 1,499</v>
      </c>
      <c r="Y130" s="79" t="str">
        <f aca="false">LOOKUP($W130,Lists!$I$2:$I$7,Lists!$J$2:$J$7)</f>
        <v>2 - 4 days</v>
      </c>
    </row>
    <row r="131" customFormat="false" ht="15" hidden="false" customHeight="false" outlineLevel="0" collapsed="false">
      <c r="A131" s="2" t="n">
        <v>130</v>
      </c>
      <c r="B131" s="2" t="s">
        <v>311</v>
      </c>
      <c r="C131" s="2" t="n">
        <v>10</v>
      </c>
      <c r="D131" s="2" t="n">
        <v>5</v>
      </c>
      <c r="E131" s="82" t="n">
        <v>45038</v>
      </c>
      <c r="F131" s="83" t="n">
        <v>0.564363425925926</v>
      </c>
      <c r="G131" s="82" t="n">
        <v>45043</v>
      </c>
      <c r="H131" s="83" t="n">
        <v>0.917986111111111</v>
      </c>
      <c r="I131" s="2" t="s">
        <v>321</v>
      </c>
      <c r="J131" s="2" t="s">
        <v>31</v>
      </c>
      <c r="K131" s="46" t="str">
        <f aca="false">INDEX(Products!$B$2:$B$71,MATCH($C131,Products!$A$2:$A$71,0))</f>
        <v>Accusantium Gift</v>
      </c>
      <c r="L131" s="46" t="str">
        <f aca="false">INDEX(Products!$C$2:$C$71,MATCH($C131,Products!$A$2:$A$71,0))</f>
        <v>Cake</v>
      </c>
      <c r="M131" s="84" t="n">
        <f aca="false">INDEX(Products!$D$2:$D$71,MATCH($C131,Products!$A$2:$A$71,0))</f>
        <v>259</v>
      </c>
      <c r="N131" s="84" t="n">
        <f aca="false">$D131*$M131</f>
        <v>1295</v>
      </c>
      <c r="O131" s="46" t="str">
        <f aca="false">INDEX(Customers!$C$2:$C$101,MATCH($B131,Customers!$A$2:$A$101,0))</f>
        <v>Bhatpara</v>
      </c>
      <c r="P131" s="46" t="str">
        <f aca="false">INDEX(Customers!$F$2:$F$101,MATCH($B131,Customers!$A$2:$A$101,0))</f>
        <v>Male</v>
      </c>
      <c r="Q131" s="46" t="str">
        <f aca="false">INDEX(Customers!$B$2:$B$101,MATCH($B131,Customers!$A$2:$A$101,0))</f>
        <v>Emir Gokhale</v>
      </c>
      <c r="R131" s="46" t="n">
        <f aca="false">MONTH($E131)</f>
        <v>4</v>
      </c>
      <c r="S131" s="46" t="str">
        <f aca="false">INDEX(Lists!$B$2:$B$13,$R131)</f>
        <v>April</v>
      </c>
      <c r="T131" s="46" t="n">
        <f aca="false">HOUR($F131)</f>
        <v>13</v>
      </c>
      <c r="U131" s="46" t="n">
        <f aca="false">WEEKDAY($E131,2)</f>
        <v>6</v>
      </c>
      <c r="V131" s="46" t="str">
        <f aca="false">INDEX(Lists!$F$2:$F$8,$U131)</f>
        <v>Saturday</v>
      </c>
      <c r="W131" s="85" t="n">
        <f aca="false">($G131+$H131)-($E131+$F131)</f>
        <v>5.35362268518519</v>
      </c>
      <c r="X131" s="46" t="str">
        <f aca="false">LOOKUP($M131,Lists!$G$2:$G$5,Lists!$H$2:$H$5)</f>
        <v>₹0 - 499</v>
      </c>
      <c r="Y131" s="46" t="str">
        <f aca="false">LOOKUP($W131,Lists!$I$2:$I$7,Lists!$J$2:$J$7)</f>
        <v>4 - 6 days</v>
      </c>
    </row>
    <row r="132" customFormat="false" ht="15" hidden="false" customHeight="false" outlineLevel="0" collapsed="false">
      <c r="A132" s="7" t="n">
        <v>131</v>
      </c>
      <c r="B132" s="7" t="s">
        <v>334</v>
      </c>
      <c r="C132" s="7" t="n">
        <v>3</v>
      </c>
      <c r="D132" s="7" t="n">
        <v>5</v>
      </c>
      <c r="E132" s="77" t="n">
        <v>44961</v>
      </c>
      <c r="F132" s="78" t="n">
        <v>0.85474537037037</v>
      </c>
      <c r="G132" s="77" t="n">
        <v>44968</v>
      </c>
      <c r="H132" s="78" t="n">
        <v>0.353506944444445</v>
      </c>
      <c r="I132" s="7" t="s">
        <v>558</v>
      </c>
      <c r="J132" s="7" t="s">
        <v>179</v>
      </c>
      <c r="K132" s="79" t="str">
        <f aca="false">INDEX(Products!$B$2:$B$71,MATCH($C132,Products!$A$2:$A$71,0))</f>
        <v>Eius Gift</v>
      </c>
      <c r="L132" s="79" t="str">
        <f aca="false">INDEX(Products!$C$2:$C$71,MATCH($C132,Products!$A$2:$A$71,0))</f>
        <v>Colors</v>
      </c>
      <c r="M132" s="80" t="n">
        <f aca="false">INDEX(Products!$D$2:$D$71,MATCH($C132,Products!$A$2:$A$71,0))</f>
        <v>1534</v>
      </c>
      <c r="N132" s="80" t="n">
        <f aca="false">$D132*$M132</f>
        <v>7670</v>
      </c>
      <c r="O132" s="79" t="str">
        <f aca="false">INDEX(Customers!$C$2:$C$101,MATCH($B132,Customers!$A$2:$A$101,0))</f>
        <v>Bhubaneswar</v>
      </c>
      <c r="P132" s="79" t="str">
        <f aca="false">INDEX(Customers!$F$2:$F$101,MATCH($B132,Customers!$A$2:$A$101,0))</f>
        <v>Female</v>
      </c>
      <c r="Q132" s="79" t="str">
        <f aca="false">INDEX(Customers!$B$2:$B$101,MATCH($B132,Customers!$A$2:$A$101,0))</f>
        <v>Jivika Rajan</v>
      </c>
      <c r="R132" s="79" t="n">
        <f aca="false">MONTH($E132)</f>
        <v>2</v>
      </c>
      <c r="S132" s="79" t="str">
        <f aca="false">INDEX(Lists!$B$2:$B$13,$R132)</f>
        <v>February</v>
      </c>
      <c r="T132" s="79" t="n">
        <f aca="false">HOUR($F132)</f>
        <v>20</v>
      </c>
      <c r="U132" s="79" t="n">
        <f aca="false">WEEKDAY($E132,2)</f>
        <v>6</v>
      </c>
      <c r="V132" s="79" t="str">
        <f aca="false">INDEX(Lists!$F$2:$F$8,$U132)</f>
        <v>Saturday</v>
      </c>
      <c r="W132" s="81" t="n">
        <f aca="false">($G132+$H132)-($E132+$F132)</f>
        <v>6.49876157407407</v>
      </c>
      <c r="X132" s="79" t="str">
        <f aca="false">LOOKUP($M132,Lists!$G$2:$G$5,Lists!$H$2:$H$5)</f>
        <v>₹1,500 - 2,000</v>
      </c>
      <c r="Y132" s="79" t="str">
        <f aca="false">LOOKUP($W132,Lists!$I$2:$I$7,Lists!$J$2:$J$7)</f>
        <v>6 - 8 days</v>
      </c>
    </row>
    <row r="133" customFormat="false" ht="15" hidden="false" customHeight="false" outlineLevel="0" collapsed="false">
      <c r="A133" s="2" t="n">
        <v>132</v>
      </c>
      <c r="B133" s="2" t="s">
        <v>239</v>
      </c>
      <c r="C133" s="2" t="n">
        <v>49</v>
      </c>
      <c r="D133" s="2" t="n">
        <v>4</v>
      </c>
      <c r="E133" s="82" t="n">
        <v>44961</v>
      </c>
      <c r="F133" s="83" t="n">
        <v>0.974780092592593</v>
      </c>
      <c r="G133" s="82" t="n">
        <v>44970</v>
      </c>
      <c r="H133" s="83" t="n">
        <v>0.830416666666667</v>
      </c>
      <c r="I133" s="2" t="s">
        <v>588</v>
      </c>
      <c r="J133" s="2" t="s">
        <v>179</v>
      </c>
      <c r="K133" s="46" t="str">
        <f aca="false">INDEX(Products!$B$2:$B$71,MATCH($C133,Products!$A$2:$A$71,0))</f>
        <v>Voluptate Pack</v>
      </c>
      <c r="L133" s="46" t="str">
        <f aca="false">INDEX(Products!$C$2:$C$71,MATCH($C133,Products!$A$2:$A$71,0))</f>
        <v>Colors</v>
      </c>
      <c r="M133" s="84" t="n">
        <f aca="false">INDEX(Products!$D$2:$D$71,MATCH($C133,Products!$A$2:$A$71,0))</f>
        <v>903</v>
      </c>
      <c r="N133" s="84" t="n">
        <f aca="false">$D133*$M133</f>
        <v>3612</v>
      </c>
      <c r="O133" s="46" t="str">
        <f aca="false">INDEX(Customers!$C$2:$C$101,MATCH($B133,Customers!$A$2:$A$101,0))</f>
        <v>Maheshtala</v>
      </c>
      <c r="P133" s="46" t="str">
        <f aca="false">INDEX(Customers!$F$2:$F$101,MATCH($B133,Customers!$A$2:$A$101,0))</f>
        <v>Female</v>
      </c>
      <c r="Q133" s="46" t="str">
        <f aca="false">INDEX(Customers!$B$2:$B$101,MATCH($B133,Customers!$A$2:$A$101,0))</f>
        <v>Divit Mahajan</v>
      </c>
      <c r="R133" s="46" t="n">
        <f aca="false">MONTH($E133)</f>
        <v>2</v>
      </c>
      <c r="S133" s="46" t="str">
        <f aca="false">INDEX(Lists!$B$2:$B$13,$R133)</f>
        <v>February</v>
      </c>
      <c r="T133" s="46" t="n">
        <f aca="false">HOUR($F133)</f>
        <v>23</v>
      </c>
      <c r="U133" s="46" t="n">
        <f aca="false">WEEKDAY($E133,2)</f>
        <v>6</v>
      </c>
      <c r="V133" s="46" t="str">
        <f aca="false">INDEX(Lists!$F$2:$F$8,$U133)</f>
        <v>Saturday</v>
      </c>
      <c r="W133" s="85" t="n">
        <f aca="false">($G133+$H133)-($E133+$F133)</f>
        <v>8.85563657407407</v>
      </c>
      <c r="X133" s="46" t="str">
        <f aca="false">LOOKUP($M133,Lists!$G$2:$G$5,Lists!$H$2:$H$5)</f>
        <v>₹500 - 999</v>
      </c>
      <c r="Y133" s="46" t="str">
        <f aca="false">LOOKUP($W133,Lists!$I$2:$I$7,Lists!$J$2:$J$7)</f>
        <v>8 - 10 days</v>
      </c>
    </row>
    <row r="134" customFormat="false" ht="15" hidden="false" customHeight="false" outlineLevel="0" collapsed="false">
      <c r="A134" s="7" t="n">
        <v>133</v>
      </c>
      <c r="B134" s="7" t="s">
        <v>172</v>
      </c>
      <c r="C134" s="7" t="n">
        <v>43</v>
      </c>
      <c r="D134" s="7" t="n">
        <v>5</v>
      </c>
      <c r="E134" s="77" t="n">
        <v>45240</v>
      </c>
      <c r="F134" s="78" t="n">
        <v>0.661041666666667</v>
      </c>
      <c r="G134" s="77" t="n">
        <v>45246</v>
      </c>
      <c r="H134" s="78" t="n">
        <v>0.474201388888889</v>
      </c>
      <c r="I134" s="7" t="s">
        <v>594</v>
      </c>
      <c r="J134" s="7" t="s">
        <v>32</v>
      </c>
      <c r="K134" s="79" t="str">
        <f aca="false">INDEX(Products!$B$2:$B$71,MATCH($C134,Products!$A$2:$A$71,0))</f>
        <v>Quisquam Pack</v>
      </c>
      <c r="L134" s="79" t="str">
        <f aca="false">INDEX(Products!$C$2:$C$71,MATCH($C134,Products!$A$2:$A$71,0))</f>
        <v>Raksha Bandhan</v>
      </c>
      <c r="M134" s="80" t="n">
        <f aca="false">INDEX(Products!$D$2:$D$71,MATCH($C134,Products!$A$2:$A$71,0))</f>
        <v>750</v>
      </c>
      <c r="N134" s="80" t="n">
        <f aca="false">$D134*$M134</f>
        <v>3750</v>
      </c>
      <c r="O134" s="79" t="str">
        <f aca="false">INDEX(Customers!$C$2:$C$101,MATCH($B134,Customers!$A$2:$A$101,0))</f>
        <v>Nizamabad</v>
      </c>
      <c r="P134" s="79" t="str">
        <f aca="false">INDEX(Customers!$F$2:$F$101,MATCH($B134,Customers!$A$2:$A$101,0))</f>
        <v>Male</v>
      </c>
      <c r="Q134" s="79" t="str">
        <f aca="false">INDEX(Customers!$B$2:$B$101,MATCH($B134,Customers!$A$2:$A$101,0))</f>
        <v>Eva Vaidya</v>
      </c>
      <c r="R134" s="79" t="n">
        <f aca="false">MONTH($E134)</f>
        <v>11</v>
      </c>
      <c r="S134" s="79" t="str">
        <f aca="false">INDEX(Lists!$B$2:$B$13,$R134)</f>
        <v>November</v>
      </c>
      <c r="T134" s="79" t="n">
        <f aca="false">HOUR($F134)</f>
        <v>15</v>
      </c>
      <c r="U134" s="79" t="n">
        <f aca="false">WEEKDAY($E134,2)</f>
        <v>5</v>
      </c>
      <c r="V134" s="79" t="str">
        <f aca="false">INDEX(Lists!$F$2:$F$8,$U134)</f>
        <v>Friday</v>
      </c>
      <c r="W134" s="81" t="n">
        <f aca="false">($G134+$H134)-($E134+$F134)</f>
        <v>5.81315972222222</v>
      </c>
      <c r="X134" s="79" t="str">
        <f aca="false">LOOKUP($M134,Lists!$G$2:$G$5,Lists!$H$2:$H$5)</f>
        <v>₹500 - 999</v>
      </c>
      <c r="Y134" s="79" t="str">
        <f aca="false">LOOKUP($W134,Lists!$I$2:$I$7,Lists!$J$2:$J$7)</f>
        <v>4 - 6 days</v>
      </c>
    </row>
    <row r="135" customFormat="false" ht="15" hidden="false" customHeight="false" outlineLevel="0" collapsed="false">
      <c r="A135" s="2" t="n">
        <v>134</v>
      </c>
      <c r="B135" s="2" t="s">
        <v>212</v>
      </c>
      <c r="C135" s="2" t="n">
        <v>69</v>
      </c>
      <c r="D135" s="2" t="n">
        <v>5</v>
      </c>
      <c r="E135" s="82" t="n">
        <v>44990</v>
      </c>
      <c r="F135" s="83" t="n">
        <v>0.800532407407407</v>
      </c>
      <c r="G135" s="82" t="n">
        <v>44999</v>
      </c>
      <c r="H135" s="83" t="n">
        <v>0.207280092592593</v>
      </c>
      <c r="I135" s="2" t="s">
        <v>480</v>
      </c>
      <c r="J135" s="2" t="s">
        <v>33</v>
      </c>
      <c r="K135" s="46" t="str">
        <f aca="false">INDEX(Products!$B$2:$B$71,MATCH($C135,Products!$A$2:$A$71,0))</f>
        <v>Id Box</v>
      </c>
      <c r="L135" s="46" t="str">
        <f aca="false">INDEX(Products!$C$2:$C$71,MATCH($C135,Products!$A$2:$A$71,0))</f>
        <v>Cake</v>
      </c>
      <c r="M135" s="84" t="n">
        <f aca="false">INDEX(Products!$D$2:$D$71,MATCH($C135,Products!$A$2:$A$71,0))</f>
        <v>998</v>
      </c>
      <c r="N135" s="84" t="n">
        <f aca="false">$D135*$M135</f>
        <v>4990</v>
      </c>
      <c r="O135" s="46" t="str">
        <f aca="false">INDEX(Customers!$C$2:$C$101,MATCH($B135,Customers!$A$2:$A$101,0))</f>
        <v>Dibrugarh</v>
      </c>
      <c r="P135" s="46" t="str">
        <f aca="false">INDEX(Customers!$F$2:$F$101,MATCH($B135,Customers!$A$2:$A$101,0))</f>
        <v>Female</v>
      </c>
      <c r="Q135" s="46" t="str">
        <f aca="false">INDEX(Customers!$B$2:$B$101,MATCH($B135,Customers!$A$2:$A$101,0))</f>
        <v>Biju Bajwa</v>
      </c>
      <c r="R135" s="46" t="n">
        <f aca="false">MONTH($E135)</f>
        <v>3</v>
      </c>
      <c r="S135" s="46" t="str">
        <f aca="false">INDEX(Lists!$B$2:$B$13,$R135)</f>
        <v>March</v>
      </c>
      <c r="T135" s="46" t="n">
        <f aca="false">HOUR($F135)</f>
        <v>19</v>
      </c>
      <c r="U135" s="46" t="n">
        <f aca="false">WEEKDAY($E135,2)</f>
        <v>7</v>
      </c>
      <c r="V135" s="46" t="str">
        <f aca="false">INDEX(Lists!$F$2:$F$8,$U135)</f>
        <v>Sunday</v>
      </c>
      <c r="W135" s="85" t="n">
        <f aca="false">($G135+$H135)-($E135+$F135)</f>
        <v>8.40674768518518</v>
      </c>
      <c r="X135" s="46" t="str">
        <f aca="false">LOOKUP($M135,Lists!$G$2:$G$5,Lists!$H$2:$H$5)</f>
        <v>₹500 - 999</v>
      </c>
      <c r="Y135" s="46" t="str">
        <f aca="false">LOOKUP($W135,Lists!$I$2:$I$7,Lists!$J$2:$J$7)</f>
        <v>8 - 10 days</v>
      </c>
    </row>
    <row r="136" customFormat="false" ht="15" hidden="false" customHeight="false" outlineLevel="0" collapsed="false">
      <c r="A136" s="7" t="n">
        <v>135</v>
      </c>
      <c r="B136" s="7" t="s">
        <v>357</v>
      </c>
      <c r="C136" s="7" t="n">
        <v>30</v>
      </c>
      <c r="D136" s="7" t="n">
        <v>2</v>
      </c>
      <c r="E136" s="77" t="n">
        <v>45273</v>
      </c>
      <c r="F136" s="78" t="n">
        <v>0.430659722222222</v>
      </c>
      <c r="G136" s="77" t="n">
        <v>45274</v>
      </c>
      <c r="H136" s="78" t="n">
        <v>0.655092592592593</v>
      </c>
      <c r="I136" s="7" t="s">
        <v>284</v>
      </c>
      <c r="J136" s="7" t="s">
        <v>168</v>
      </c>
      <c r="K136" s="79" t="str">
        <f aca="false">INDEX(Products!$B$2:$B$71,MATCH($C136,Products!$A$2:$A$71,0))</f>
        <v>Recusandae Pack</v>
      </c>
      <c r="L136" s="79" t="str">
        <f aca="false">INDEX(Products!$C$2:$C$71,MATCH($C136,Products!$A$2:$A$71,0))</f>
        <v>Colors</v>
      </c>
      <c r="M136" s="80" t="n">
        <f aca="false">INDEX(Products!$D$2:$D$71,MATCH($C136,Products!$A$2:$A$71,0))</f>
        <v>751</v>
      </c>
      <c r="N136" s="80" t="n">
        <f aca="false">$D136*$M136</f>
        <v>1502</v>
      </c>
      <c r="O136" s="79" t="str">
        <f aca="false">INDEX(Customers!$C$2:$C$101,MATCH($B136,Customers!$A$2:$A$101,0))</f>
        <v>North Dumdum</v>
      </c>
      <c r="P136" s="79" t="str">
        <f aca="false">INDEX(Customers!$F$2:$F$101,MATCH($B136,Customers!$A$2:$A$101,0))</f>
        <v>Female</v>
      </c>
      <c r="Q136" s="79" t="str">
        <f aca="false">INDEX(Customers!$B$2:$B$101,MATCH($B136,Customers!$A$2:$A$101,0))</f>
        <v>Rania Bhatt</v>
      </c>
      <c r="R136" s="79" t="n">
        <f aca="false">MONTH($E136)</f>
        <v>12</v>
      </c>
      <c r="S136" s="79" t="str">
        <f aca="false">INDEX(Lists!$B$2:$B$13,$R136)</f>
        <v>December</v>
      </c>
      <c r="T136" s="79" t="n">
        <f aca="false">HOUR($F136)</f>
        <v>10</v>
      </c>
      <c r="U136" s="79" t="n">
        <f aca="false">WEEKDAY($E136,2)</f>
        <v>3</v>
      </c>
      <c r="V136" s="79" t="str">
        <f aca="false">INDEX(Lists!$F$2:$F$8,$U136)</f>
        <v>Wednesday</v>
      </c>
      <c r="W136" s="81" t="n">
        <f aca="false">($G136+$H136)-($E136+$F136)</f>
        <v>1.22443287037037</v>
      </c>
      <c r="X136" s="79" t="str">
        <f aca="false">LOOKUP($M136,Lists!$G$2:$G$5,Lists!$H$2:$H$5)</f>
        <v>₹500 - 999</v>
      </c>
      <c r="Y136" s="79" t="str">
        <f aca="false">LOOKUP($W136,Lists!$I$2:$I$7,Lists!$J$2:$J$7)</f>
        <v>0 - 2 days</v>
      </c>
    </row>
    <row r="137" customFormat="false" ht="15" hidden="false" customHeight="false" outlineLevel="0" collapsed="false">
      <c r="A137" s="2" t="n">
        <v>136</v>
      </c>
      <c r="B137" s="2" t="s">
        <v>212</v>
      </c>
      <c r="C137" s="2" t="n">
        <v>56</v>
      </c>
      <c r="D137" s="2" t="n">
        <v>1</v>
      </c>
      <c r="E137" s="82" t="n">
        <v>45174</v>
      </c>
      <c r="F137" s="83" t="n">
        <v>0.672905092592593</v>
      </c>
      <c r="G137" s="82" t="n">
        <v>45178</v>
      </c>
      <c r="H137" s="83" t="n">
        <v>0.925208333333333</v>
      </c>
      <c r="I137" s="2" t="s">
        <v>397</v>
      </c>
      <c r="J137" s="2" t="s">
        <v>168</v>
      </c>
      <c r="K137" s="46" t="str">
        <f aca="false">INDEX(Products!$B$2:$B$71,MATCH($C137,Products!$A$2:$A$71,0))</f>
        <v>Quia Gift</v>
      </c>
      <c r="L137" s="46" t="str">
        <f aca="false">INDEX(Products!$C$2:$C$71,MATCH($C137,Products!$A$2:$A$71,0))</f>
        <v>Raksha Bandhan</v>
      </c>
      <c r="M137" s="84" t="n">
        <f aca="false">INDEX(Products!$D$2:$D$71,MATCH($C137,Products!$A$2:$A$71,0))</f>
        <v>1272</v>
      </c>
      <c r="N137" s="84" t="n">
        <f aca="false">$D137*$M137</f>
        <v>1272</v>
      </c>
      <c r="O137" s="46" t="str">
        <f aca="false">INDEX(Customers!$C$2:$C$101,MATCH($B137,Customers!$A$2:$A$101,0))</f>
        <v>Dibrugarh</v>
      </c>
      <c r="P137" s="46" t="str">
        <f aca="false">INDEX(Customers!$F$2:$F$101,MATCH($B137,Customers!$A$2:$A$101,0))</f>
        <v>Female</v>
      </c>
      <c r="Q137" s="46" t="str">
        <f aca="false">INDEX(Customers!$B$2:$B$101,MATCH($B137,Customers!$A$2:$A$101,0))</f>
        <v>Biju Bajwa</v>
      </c>
      <c r="R137" s="46" t="n">
        <f aca="false">MONTH($E137)</f>
        <v>9</v>
      </c>
      <c r="S137" s="46" t="str">
        <f aca="false">INDEX(Lists!$B$2:$B$13,$R137)</f>
        <v>September</v>
      </c>
      <c r="T137" s="46" t="n">
        <f aca="false">HOUR($F137)</f>
        <v>16</v>
      </c>
      <c r="U137" s="46" t="n">
        <f aca="false">WEEKDAY($E137,2)</f>
        <v>2</v>
      </c>
      <c r="V137" s="46" t="str">
        <f aca="false">INDEX(Lists!$F$2:$F$8,$U137)</f>
        <v>Tuesday</v>
      </c>
      <c r="W137" s="85" t="n">
        <f aca="false">($G137+$H137)-($E137+$F137)</f>
        <v>4.25230324074074</v>
      </c>
      <c r="X137" s="46" t="str">
        <f aca="false">LOOKUP($M137,Lists!$G$2:$G$5,Lists!$H$2:$H$5)</f>
        <v>₹1,000 - 1,499</v>
      </c>
      <c r="Y137" s="46" t="str">
        <f aca="false">LOOKUP($W137,Lists!$I$2:$I$7,Lists!$J$2:$J$7)</f>
        <v>4 - 6 days</v>
      </c>
    </row>
    <row r="138" customFormat="false" ht="15" hidden="false" customHeight="false" outlineLevel="0" collapsed="false">
      <c r="A138" s="7" t="n">
        <v>137</v>
      </c>
      <c r="B138" s="7" t="s">
        <v>311</v>
      </c>
      <c r="C138" s="7" t="n">
        <v>47</v>
      </c>
      <c r="D138" s="7" t="n">
        <v>2</v>
      </c>
      <c r="E138" s="77" t="n">
        <v>44990</v>
      </c>
      <c r="F138" s="78" t="n">
        <v>0.671111111111111</v>
      </c>
      <c r="G138" s="77" t="n">
        <v>44996</v>
      </c>
      <c r="H138" s="78" t="n">
        <v>0.312048611111111</v>
      </c>
      <c r="I138" s="7" t="s">
        <v>609</v>
      </c>
      <c r="J138" s="7" t="s">
        <v>33</v>
      </c>
      <c r="K138" s="79" t="str">
        <f aca="false">INDEX(Products!$B$2:$B$71,MATCH($C138,Products!$A$2:$A$71,0))</f>
        <v>Harum Pack</v>
      </c>
      <c r="L138" s="79" t="str">
        <f aca="false">INDEX(Products!$C$2:$C$71,MATCH($C138,Products!$A$2:$A$71,0))</f>
        <v>Colors</v>
      </c>
      <c r="M138" s="80" t="n">
        <f aca="false">INDEX(Products!$D$2:$D$71,MATCH($C138,Products!$A$2:$A$71,0))</f>
        <v>1638</v>
      </c>
      <c r="N138" s="80" t="n">
        <f aca="false">$D138*$M138</f>
        <v>3276</v>
      </c>
      <c r="O138" s="79" t="str">
        <f aca="false">INDEX(Customers!$C$2:$C$101,MATCH($B138,Customers!$A$2:$A$101,0))</f>
        <v>Bhatpara</v>
      </c>
      <c r="P138" s="79" t="str">
        <f aca="false">INDEX(Customers!$F$2:$F$101,MATCH($B138,Customers!$A$2:$A$101,0))</f>
        <v>Male</v>
      </c>
      <c r="Q138" s="79" t="str">
        <f aca="false">INDEX(Customers!$B$2:$B$101,MATCH($B138,Customers!$A$2:$A$101,0))</f>
        <v>Emir Gokhale</v>
      </c>
      <c r="R138" s="79" t="n">
        <f aca="false">MONTH($E138)</f>
        <v>3</v>
      </c>
      <c r="S138" s="79" t="str">
        <f aca="false">INDEX(Lists!$B$2:$B$13,$R138)</f>
        <v>March</v>
      </c>
      <c r="T138" s="79" t="n">
        <f aca="false">HOUR($F138)</f>
        <v>16</v>
      </c>
      <c r="U138" s="79" t="n">
        <f aca="false">WEEKDAY($E138,2)</f>
        <v>7</v>
      </c>
      <c r="V138" s="79" t="str">
        <f aca="false">INDEX(Lists!$F$2:$F$8,$U138)</f>
        <v>Sunday</v>
      </c>
      <c r="W138" s="81" t="n">
        <f aca="false">($G138+$H138)-($E138+$F138)</f>
        <v>5.6409375</v>
      </c>
      <c r="X138" s="79" t="str">
        <f aca="false">LOOKUP($M138,Lists!$G$2:$G$5,Lists!$H$2:$H$5)</f>
        <v>₹1,500 - 2,000</v>
      </c>
      <c r="Y138" s="79" t="str">
        <f aca="false">LOOKUP($W138,Lists!$I$2:$I$7,Lists!$J$2:$J$7)</f>
        <v>4 - 6 days</v>
      </c>
    </row>
    <row r="139" customFormat="false" ht="15" hidden="false" customHeight="false" outlineLevel="0" collapsed="false">
      <c r="A139" s="2" t="n">
        <v>138</v>
      </c>
      <c r="B139" s="2" t="s">
        <v>181</v>
      </c>
      <c r="C139" s="2" t="n">
        <v>57</v>
      </c>
      <c r="D139" s="2" t="n">
        <v>4</v>
      </c>
      <c r="E139" s="82" t="n">
        <v>44996</v>
      </c>
      <c r="F139" s="83" t="n">
        <v>0.398564814814815</v>
      </c>
      <c r="G139" s="82" t="n">
        <v>45003</v>
      </c>
      <c r="H139" s="83" t="n">
        <v>0.251851851851852</v>
      </c>
      <c r="I139" s="2" t="s">
        <v>568</v>
      </c>
      <c r="J139" s="2" t="s">
        <v>31</v>
      </c>
      <c r="K139" s="46" t="str">
        <f aca="false">INDEX(Products!$B$2:$B$71,MATCH($C139,Products!$A$2:$A$71,0))</f>
        <v>Voluptatem Box</v>
      </c>
      <c r="L139" s="46" t="str">
        <f aca="false">INDEX(Products!$C$2:$C$71,MATCH($C139,Products!$A$2:$A$71,0))</f>
        <v>Colors</v>
      </c>
      <c r="M139" s="84" t="n">
        <f aca="false">INDEX(Products!$D$2:$D$71,MATCH($C139,Products!$A$2:$A$71,0))</f>
        <v>1582</v>
      </c>
      <c r="N139" s="84" t="n">
        <f aca="false">$D139*$M139</f>
        <v>6328</v>
      </c>
      <c r="O139" s="46" t="str">
        <f aca="false">INDEX(Customers!$C$2:$C$101,MATCH($B139,Customers!$A$2:$A$101,0))</f>
        <v>Khandwa</v>
      </c>
      <c r="P139" s="46" t="str">
        <f aca="false">INDEX(Customers!$F$2:$F$101,MATCH($B139,Customers!$A$2:$A$101,0))</f>
        <v>Male</v>
      </c>
      <c r="Q139" s="46" t="str">
        <f aca="false">INDEX(Customers!$B$2:$B$101,MATCH($B139,Customers!$A$2:$A$101,0))</f>
        <v>Ivana Rout</v>
      </c>
      <c r="R139" s="46" t="n">
        <f aca="false">MONTH($E139)</f>
        <v>3</v>
      </c>
      <c r="S139" s="46" t="str">
        <f aca="false">INDEX(Lists!$B$2:$B$13,$R139)</f>
        <v>March</v>
      </c>
      <c r="T139" s="46" t="n">
        <f aca="false">HOUR($F139)</f>
        <v>9</v>
      </c>
      <c r="U139" s="46" t="n">
        <f aca="false">WEEKDAY($E139,2)</f>
        <v>6</v>
      </c>
      <c r="V139" s="46" t="str">
        <f aca="false">INDEX(Lists!$F$2:$F$8,$U139)</f>
        <v>Saturday</v>
      </c>
      <c r="W139" s="85" t="n">
        <f aca="false">($G139+$H139)-($E139+$F139)</f>
        <v>6.85328703703704</v>
      </c>
      <c r="X139" s="46" t="str">
        <f aca="false">LOOKUP($M139,Lists!$G$2:$G$5,Lists!$H$2:$H$5)</f>
        <v>₹1,500 - 2,000</v>
      </c>
      <c r="Y139" s="46" t="str">
        <f aca="false">LOOKUP($W139,Lists!$I$2:$I$7,Lists!$J$2:$J$7)</f>
        <v>6 - 8 days</v>
      </c>
    </row>
    <row r="140" customFormat="false" ht="15" hidden="false" customHeight="false" outlineLevel="0" collapsed="false">
      <c r="A140" s="7" t="n">
        <v>139</v>
      </c>
      <c r="B140" s="7" t="s">
        <v>269</v>
      </c>
      <c r="C140" s="7" t="n">
        <v>54</v>
      </c>
      <c r="D140" s="7" t="n">
        <v>4</v>
      </c>
      <c r="E140" s="77" t="n">
        <v>45057</v>
      </c>
      <c r="F140" s="78" t="n">
        <v>0.176909722222222</v>
      </c>
      <c r="G140" s="77" t="n">
        <v>45062</v>
      </c>
      <c r="H140" s="78" t="n">
        <v>0.758842592592593</v>
      </c>
      <c r="I140" s="7" t="s">
        <v>171</v>
      </c>
      <c r="J140" s="7" t="s">
        <v>168</v>
      </c>
      <c r="K140" s="79" t="str">
        <f aca="false">INDEX(Products!$B$2:$B$71,MATCH($C140,Products!$A$2:$A$71,0))</f>
        <v>Occaecati Gift</v>
      </c>
      <c r="L140" s="79" t="str">
        <f aca="false">INDEX(Products!$C$2:$C$71,MATCH($C140,Products!$A$2:$A$71,0))</f>
        <v>Cake</v>
      </c>
      <c r="M140" s="80" t="n">
        <f aca="false">INDEX(Products!$D$2:$D$71,MATCH($C140,Products!$A$2:$A$71,0))</f>
        <v>1236</v>
      </c>
      <c r="N140" s="80" t="n">
        <f aca="false">$D140*$M140</f>
        <v>4944</v>
      </c>
      <c r="O140" s="79" t="str">
        <f aca="false">INDEX(Customers!$C$2:$C$101,MATCH($B140,Customers!$A$2:$A$101,0))</f>
        <v>Imphal</v>
      </c>
      <c r="P140" s="79" t="str">
        <f aca="false">INDEX(Customers!$F$2:$F$101,MATCH($B140,Customers!$A$2:$A$101,0))</f>
        <v>Male</v>
      </c>
      <c r="Q140" s="79" t="str">
        <f aca="false">INDEX(Customers!$B$2:$B$101,MATCH($B140,Customers!$A$2:$A$101,0))</f>
        <v>Umang Luthra</v>
      </c>
      <c r="R140" s="79" t="n">
        <f aca="false">MONTH($E140)</f>
        <v>5</v>
      </c>
      <c r="S140" s="79" t="str">
        <f aca="false">INDEX(Lists!$B$2:$B$13,$R140)</f>
        <v>May</v>
      </c>
      <c r="T140" s="79" t="n">
        <f aca="false">HOUR($F140)</f>
        <v>4</v>
      </c>
      <c r="U140" s="79" t="n">
        <f aca="false">WEEKDAY($E140,2)</f>
        <v>4</v>
      </c>
      <c r="V140" s="79" t="str">
        <f aca="false">INDEX(Lists!$F$2:$F$8,$U140)</f>
        <v>Thursday</v>
      </c>
      <c r="W140" s="81" t="n">
        <f aca="false">($G140+$H140)-($E140+$F140)</f>
        <v>5.58193287037037</v>
      </c>
      <c r="X140" s="79" t="str">
        <f aca="false">LOOKUP($M140,Lists!$G$2:$G$5,Lists!$H$2:$H$5)</f>
        <v>₹1,000 - 1,499</v>
      </c>
      <c r="Y140" s="79" t="str">
        <f aca="false">LOOKUP($W140,Lists!$I$2:$I$7,Lists!$J$2:$J$7)</f>
        <v>4 - 6 days</v>
      </c>
    </row>
    <row r="141" customFormat="false" ht="15" hidden="false" customHeight="false" outlineLevel="0" collapsed="false">
      <c r="A141" s="2" t="n">
        <v>140</v>
      </c>
      <c r="B141" s="2" t="s">
        <v>164</v>
      </c>
      <c r="C141" s="2" t="n">
        <v>47</v>
      </c>
      <c r="D141" s="2" t="n">
        <v>1</v>
      </c>
      <c r="E141" s="82" t="n">
        <v>44989</v>
      </c>
      <c r="F141" s="83" t="n">
        <v>0.263599537037037</v>
      </c>
      <c r="G141" s="82" t="n">
        <v>44998</v>
      </c>
      <c r="H141" s="83" t="n">
        <v>0.895543981481482</v>
      </c>
      <c r="I141" s="2" t="s">
        <v>232</v>
      </c>
      <c r="J141" s="2" t="s">
        <v>33</v>
      </c>
      <c r="K141" s="46" t="str">
        <f aca="false">INDEX(Products!$B$2:$B$71,MATCH($C141,Products!$A$2:$A$71,0))</f>
        <v>Harum Pack</v>
      </c>
      <c r="L141" s="46" t="str">
        <f aca="false">INDEX(Products!$C$2:$C$71,MATCH($C141,Products!$A$2:$A$71,0))</f>
        <v>Colors</v>
      </c>
      <c r="M141" s="84" t="n">
        <f aca="false">INDEX(Products!$D$2:$D$71,MATCH($C141,Products!$A$2:$A$71,0))</f>
        <v>1638</v>
      </c>
      <c r="N141" s="84" t="n">
        <f aca="false">$D141*$M141</f>
        <v>1638</v>
      </c>
      <c r="O141" s="46" t="str">
        <f aca="false">INDEX(Customers!$C$2:$C$101,MATCH($B141,Customers!$A$2:$A$101,0))</f>
        <v>Kolkata</v>
      </c>
      <c r="P141" s="46" t="str">
        <f aca="false">INDEX(Customers!$F$2:$F$101,MATCH($B141,Customers!$A$2:$A$101,0))</f>
        <v>Female</v>
      </c>
      <c r="Q141" s="46" t="str">
        <f aca="false">INDEX(Customers!$B$2:$B$101,MATCH($B141,Customers!$A$2:$A$101,0))</f>
        <v>Romil Bajwa</v>
      </c>
      <c r="R141" s="46" t="n">
        <f aca="false">MONTH($E141)</f>
        <v>3</v>
      </c>
      <c r="S141" s="46" t="str">
        <f aca="false">INDEX(Lists!$B$2:$B$13,$R141)</f>
        <v>March</v>
      </c>
      <c r="T141" s="46" t="n">
        <f aca="false">HOUR($F141)</f>
        <v>6</v>
      </c>
      <c r="U141" s="46" t="n">
        <f aca="false">WEEKDAY($E141,2)</f>
        <v>6</v>
      </c>
      <c r="V141" s="46" t="str">
        <f aca="false">INDEX(Lists!$F$2:$F$8,$U141)</f>
        <v>Saturday</v>
      </c>
      <c r="W141" s="85" t="n">
        <f aca="false">($G141+$H141)-($E141+$F141)</f>
        <v>9.63194444444445</v>
      </c>
      <c r="X141" s="46" t="str">
        <f aca="false">LOOKUP($M141,Lists!$G$2:$G$5,Lists!$H$2:$H$5)</f>
        <v>₹1,500 - 2,000</v>
      </c>
      <c r="Y141" s="46" t="str">
        <f aca="false">LOOKUP($W141,Lists!$I$2:$I$7,Lists!$J$2:$J$7)</f>
        <v>8 - 10 days</v>
      </c>
    </row>
    <row r="142" customFormat="false" ht="15" hidden="false" customHeight="false" outlineLevel="0" collapsed="false">
      <c r="A142" s="7" t="n">
        <v>141</v>
      </c>
      <c r="B142" s="7" t="s">
        <v>288</v>
      </c>
      <c r="C142" s="7" t="n">
        <v>35</v>
      </c>
      <c r="D142" s="7" t="n">
        <v>4</v>
      </c>
      <c r="E142" s="77" t="n">
        <v>44985</v>
      </c>
      <c r="F142" s="78" t="n">
        <v>0.163263888888889</v>
      </c>
      <c r="G142" s="77" t="n">
        <v>44995</v>
      </c>
      <c r="H142" s="78" t="n">
        <v>0.105509259259259</v>
      </c>
      <c r="I142" s="7" t="s">
        <v>153</v>
      </c>
      <c r="J142" s="7" t="s">
        <v>33</v>
      </c>
      <c r="K142" s="79" t="str">
        <f aca="false">INDEX(Products!$B$2:$B$71,MATCH($C142,Products!$A$2:$A$71,0))</f>
        <v>Nam Gift</v>
      </c>
      <c r="L142" s="79" t="str">
        <f aca="false">INDEX(Products!$C$2:$C$71,MATCH($C142,Products!$A$2:$A$71,0))</f>
        <v>Colors</v>
      </c>
      <c r="M142" s="80" t="n">
        <f aca="false">INDEX(Products!$D$2:$D$71,MATCH($C142,Products!$A$2:$A$71,0))</f>
        <v>1865</v>
      </c>
      <c r="N142" s="80" t="n">
        <f aca="false">$D142*$M142</f>
        <v>7460</v>
      </c>
      <c r="O142" s="79" t="str">
        <f aca="false">INDEX(Customers!$C$2:$C$101,MATCH($B142,Customers!$A$2:$A$101,0))</f>
        <v>Nagpur</v>
      </c>
      <c r="P142" s="79" t="str">
        <f aca="false">INDEX(Customers!$F$2:$F$101,MATCH($B142,Customers!$A$2:$A$101,0))</f>
        <v>Male</v>
      </c>
      <c r="Q142" s="79" t="str">
        <f aca="false">INDEX(Customers!$B$2:$B$101,MATCH($B142,Customers!$A$2:$A$101,0))</f>
        <v>Inaaya  Sarraf</v>
      </c>
      <c r="R142" s="79" t="n">
        <f aca="false">MONTH($E142)</f>
        <v>2</v>
      </c>
      <c r="S142" s="79" t="str">
        <f aca="false">INDEX(Lists!$B$2:$B$13,$R142)</f>
        <v>February</v>
      </c>
      <c r="T142" s="79" t="n">
        <f aca="false">HOUR($F142)</f>
        <v>3</v>
      </c>
      <c r="U142" s="79" t="n">
        <f aca="false">WEEKDAY($E142,2)</f>
        <v>2</v>
      </c>
      <c r="V142" s="79" t="str">
        <f aca="false">INDEX(Lists!$F$2:$F$8,$U142)</f>
        <v>Tuesday</v>
      </c>
      <c r="W142" s="81" t="n">
        <f aca="false">($G142+$H142)-($E142+$F142)</f>
        <v>9.94224537037037</v>
      </c>
      <c r="X142" s="79" t="str">
        <f aca="false">LOOKUP($M142,Lists!$G$2:$G$5,Lists!$H$2:$H$5)</f>
        <v>₹1,500 - 2,000</v>
      </c>
      <c r="Y142" s="79" t="str">
        <f aca="false">LOOKUP($W142,Lists!$I$2:$I$7,Lists!$J$2:$J$7)</f>
        <v>8 - 10 days</v>
      </c>
    </row>
    <row r="143" customFormat="false" ht="15" hidden="false" customHeight="false" outlineLevel="0" collapsed="false">
      <c r="A143" s="2" t="n">
        <v>142</v>
      </c>
      <c r="B143" s="2" t="s">
        <v>196</v>
      </c>
      <c r="C143" s="2" t="n">
        <v>23</v>
      </c>
      <c r="D143" s="2" t="n">
        <v>2</v>
      </c>
      <c r="E143" s="82" t="n">
        <v>45222</v>
      </c>
      <c r="F143" s="83" t="n">
        <v>0.105011574074074</v>
      </c>
      <c r="G143" s="82" t="n">
        <v>45226</v>
      </c>
      <c r="H143" s="83" t="n">
        <v>0.183518518518519</v>
      </c>
      <c r="I143" s="2" t="s">
        <v>232</v>
      </c>
      <c r="J143" s="2" t="s">
        <v>168</v>
      </c>
      <c r="K143" s="46" t="str">
        <f aca="false">INDEX(Products!$B$2:$B$71,MATCH($C143,Products!$A$2:$A$71,0))</f>
        <v>Dignissimos Pack</v>
      </c>
      <c r="L143" s="46" t="str">
        <f aca="false">INDEX(Products!$C$2:$C$71,MATCH($C143,Products!$A$2:$A$71,0))</f>
        <v>Sweets</v>
      </c>
      <c r="M143" s="84" t="n">
        <f aca="false">INDEX(Products!$D$2:$D$71,MATCH($C143,Products!$A$2:$A$71,0))</f>
        <v>1098</v>
      </c>
      <c r="N143" s="84" t="n">
        <f aca="false">$D143*$M143</f>
        <v>2196</v>
      </c>
      <c r="O143" s="46" t="str">
        <f aca="false">INDEX(Customers!$C$2:$C$101,MATCH($B143,Customers!$A$2:$A$101,0))</f>
        <v>Haridwar</v>
      </c>
      <c r="P143" s="46" t="str">
        <f aca="false">INDEX(Customers!$F$2:$F$101,MATCH($B143,Customers!$A$2:$A$101,0))</f>
        <v>Female</v>
      </c>
      <c r="Q143" s="46" t="str">
        <f aca="false">INDEX(Customers!$B$2:$B$101,MATCH($B143,Customers!$A$2:$A$101,0))</f>
        <v>Badal Sathe</v>
      </c>
      <c r="R143" s="46" t="n">
        <f aca="false">MONTH($E143)</f>
        <v>10</v>
      </c>
      <c r="S143" s="46" t="str">
        <f aca="false">INDEX(Lists!$B$2:$B$13,$R143)</f>
        <v>October</v>
      </c>
      <c r="T143" s="46" t="n">
        <f aca="false">HOUR($F143)</f>
        <v>2</v>
      </c>
      <c r="U143" s="46" t="n">
        <f aca="false">WEEKDAY($E143,2)</f>
        <v>1</v>
      </c>
      <c r="V143" s="46" t="str">
        <f aca="false">INDEX(Lists!$F$2:$F$8,$U143)</f>
        <v>Monday</v>
      </c>
      <c r="W143" s="85" t="n">
        <f aca="false">($G143+$H143)-($E143+$F143)</f>
        <v>4.07850694444444</v>
      </c>
      <c r="X143" s="46" t="str">
        <f aca="false">LOOKUP($M143,Lists!$G$2:$G$5,Lists!$H$2:$H$5)</f>
        <v>₹1,000 - 1,499</v>
      </c>
      <c r="Y143" s="46" t="str">
        <f aca="false">LOOKUP($W143,Lists!$I$2:$I$7,Lists!$J$2:$J$7)</f>
        <v>4 - 6 days</v>
      </c>
    </row>
    <row r="144" customFormat="false" ht="15" hidden="false" customHeight="false" outlineLevel="0" collapsed="false">
      <c r="A144" s="7" t="n">
        <v>143</v>
      </c>
      <c r="B144" s="7" t="s">
        <v>357</v>
      </c>
      <c r="C144" s="7" t="n">
        <v>66</v>
      </c>
      <c r="D144" s="7" t="n">
        <v>2</v>
      </c>
      <c r="E144" s="77" t="n">
        <v>44985</v>
      </c>
      <c r="F144" s="78" t="n">
        <v>0.317569444444445</v>
      </c>
      <c r="G144" s="77" t="n">
        <v>44995</v>
      </c>
      <c r="H144" s="78" t="n">
        <v>0.617986111111111</v>
      </c>
      <c r="I144" s="7" t="s">
        <v>541</v>
      </c>
      <c r="J144" s="7" t="s">
        <v>33</v>
      </c>
      <c r="K144" s="79" t="str">
        <f aca="false">INDEX(Products!$B$2:$B$71,MATCH($C144,Products!$A$2:$A$71,0))</f>
        <v>Quas Box</v>
      </c>
      <c r="L144" s="79" t="str">
        <f aca="false">INDEX(Products!$C$2:$C$71,MATCH($C144,Products!$A$2:$A$71,0))</f>
        <v>Colors</v>
      </c>
      <c r="M144" s="80" t="n">
        <f aca="false">INDEX(Products!$D$2:$D$71,MATCH($C144,Products!$A$2:$A$71,0))</f>
        <v>610</v>
      </c>
      <c r="N144" s="80" t="n">
        <f aca="false">$D144*$M144</f>
        <v>1220</v>
      </c>
      <c r="O144" s="79" t="str">
        <f aca="false">INDEX(Customers!$C$2:$C$101,MATCH($B144,Customers!$A$2:$A$101,0))</f>
        <v>North Dumdum</v>
      </c>
      <c r="P144" s="79" t="str">
        <f aca="false">INDEX(Customers!$F$2:$F$101,MATCH($B144,Customers!$A$2:$A$101,0))</f>
        <v>Female</v>
      </c>
      <c r="Q144" s="79" t="str">
        <f aca="false">INDEX(Customers!$B$2:$B$101,MATCH($B144,Customers!$A$2:$A$101,0))</f>
        <v>Rania Bhatt</v>
      </c>
      <c r="R144" s="79" t="n">
        <f aca="false">MONTH($E144)</f>
        <v>2</v>
      </c>
      <c r="S144" s="79" t="str">
        <f aca="false">INDEX(Lists!$B$2:$B$13,$R144)</f>
        <v>February</v>
      </c>
      <c r="T144" s="79" t="n">
        <f aca="false">HOUR($F144)</f>
        <v>7</v>
      </c>
      <c r="U144" s="79" t="n">
        <f aca="false">WEEKDAY($E144,2)</f>
        <v>2</v>
      </c>
      <c r="V144" s="79" t="str">
        <f aca="false">INDEX(Lists!$F$2:$F$8,$U144)</f>
        <v>Tuesday</v>
      </c>
      <c r="W144" s="81" t="n">
        <f aca="false">($G144+$H144)-($E144+$F144)</f>
        <v>10.3004166666667</v>
      </c>
      <c r="X144" s="79" t="str">
        <f aca="false">LOOKUP($M144,Lists!$G$2:$G$5,Lists!$H$2:$H$5)</f>
        <v>₹500 - 999</v>
      </c>
      <c r="Y144" s="79" t="str">
        <f aca="false">LOOKUP($W144,Lists!$I$2:$I$7,Lists!$J$2:$J$7)</f>
        <v>Over 10 days</v>
      </c>
    </row>
    <row r="145" customFormat="false" ht="15" hidden="false" customHeight="false" outlineLevel="0" collapsed="false">
      <c r="A145" s="2" t="n">
        <v>144</v>
      </c>
      <c r="B145" s="2" t="s">
        <v>366</v>
      </c>
      <c r="C145" s="2" t="n">
        <v>51</v>
      </c>
      <c r="D145" s="2" t="n">
        <v>5</v>
      </c>
      <c r="E145" s="82" t="n">
        <v>44944</v>
      </c>
      <c r="F145" s="83" t="n">
        <v>0.375729166666667</v>
      </c>
      <c r="G145" s="82" t="n">
        <v>44949</v>
      </c>
      <c r="H145" s="83" t="n">
        <v>0.141145833333333</v>
      </c>
      <c r="I145" s="2" t="s">
        <v>577</v>
      </c>
      <c r="J145" s="2" t="s">
        <v>165</v>
      </c>
      <c r="K145" s="46" t="str">
        <f aca="false">INDEX(Products!$B$2:$B$71,MATCH($C145,Products!$A$2:$A$71,0))</f>
        <v>Fugit Set</v>
      </c>
      <c r="L145" s="46" t="str">
        <f aca="false">INDEX(Products!$C$2:$C$71,MATCH($C145,Products!$A$2:$A$71,0))</f>
        <v>Soft Toys</v>
      </c>
      <c r="M145" s="84" t="n">
        <f aca="false">INDEX(Products!$D$2:$D$71,MATCH($C145,Products!$A$2:$A$71,0))</f>
        <v>1084</v>
      </c>
      <c r="N145" s="84" t="n">
        <f aca="false">$D145*$M145</f>
        <v>5420</v>
      </c>
      <c r="O145" s="46" t="str">
        <f aca="false">INDEX(Customers!$C$2:$C$101,MATCH($B145,Customers!$A$2:$A$101,0))</f>
        <v>Anantapuram</v>
      </c>
      <c r="P145" s="46" t="str">
        <f aca="false">INDEX(Customers!$F$2:$F$101,MATCH($B145,Customers!$A$2:$A$101,0))</f>
        <v>Female</v>
      </c>
      <c r="Q145" s="46" t="str">
        <f aca="false">INDEX(Customers!$B$2:$B$101,MATCH($B145,Customers!$A$2:$A$101,0))</f>
        <v>Drishya De</v>
      </c>
      <c r="R145" s="46" t="n">
        <f aca="false">MONTH($E145)</f>
        <v>1</v>
      </c>
      <c r="S145" s="46" t="str">
        <f aca="false">INDEX(Lists!$B$2:$B$13,$R145)</f>
        <v>January</v>
      </c>
      <c r="T145" s="46" t="n">
        <f aca="false">HOUR($F145)</f>
        <v>9</v>
      </c>
      <c r="U145" s="46" t="n">
        <f aca="false">WEEKDAY($E145,2)</f>
        <v>3</v>
      </c>
      <c r="V145" s="46" t="str">
        <f aca="false">INDEX(Lists!$F$2:$F$8,$U145)</f>
        <v>Wednesday</v>
      </c>
      <c r="W145" s="85" t="n">
        <f aca="false">($G145+$H145)-($E145+$F145)</f>
        <v>4.76541666666667</v>
      </c>
      <c r="X145" s="46" t="str">
        <f aca="false">LOOKUP($M145,Lists!$G$2:$G$5,Lists!$H$2:$H$5)</f>
        <v>₹1,000 - 1,499</v>
      </c>
      <c r="Y145" s="46" t="str">
        <f aca="false">LOOKUP($W145,Lists!$I$2:$I$7,Lists!$J$2:$J$7)</f>
        <v>4 - 6 days</v>
      </c>
    </row>
    <row r="146" customFormat="false" ht="15" hidden="false" customHeight="false" outlineLevel="0" collapsed="false">
      <c r="A146" s="7" t="n">
        <v>145</v>
      </c>
      <c r="B146" s="7" t="s">
        <v>269</v>
      </c>
      <c r="C146" s="7" t="n">
        <v>59</v>
      </c>
      <c r="D146" s="7" t="n">
        <v>5</v>
      </c>
      <c r="E146" s="77" t="n">
        <v>45167</v>
      </c>
      <c r="F146" s="78" t="n">
        <v>0.703425925925926</v>
      </c>
      <c r="G146" s="77" t="n">
        <v>45172</v>
      </c>
      <c r="H146" s="78" t="n">
        <v>0.544733796296296</v>
      </c>
      <c r="I146" s="7" t="s">
        <v>469</v>
      </c>
      <c r="J146" s="7" t="s">
        <v>40</v>
      </c>
      <c r="K146" s="79" t="str">
        <f aca="false">INDEX(Products!$B$2:$B$71,MATCH($C146,Products!$A$2:$A$71,0))</f>
        <v>Pariatur Box</v>
      </c>
      <c r="L146" s="79" t="str">
        <f aca="false">INDEX(Products!$C$2:$C$71,MATCH($C146,Products!$A$2:$A$71,0))</f>
        <v>Cake</v>
      </c>
      <c r="M146" s="80" t="n">
        <f aca="false">INDEX(Products!$D$2:$D$71,MATCH($C146,Products!$A$2:$A$71,0))</f>
        <v>811</v>
      </c>
      <c r="N146" s="80" t="n">
        <f aca="false">$D146*$M146</f>
        <v>4055</v>
      </c>
      <c r="O146" s="79" t="str">
        <f aca="false">INDEX(Customers!$C$2:$C$101,MATCH($B146,Customers!$A$2:$A$101,0))</f>
        <v>Imphal</v>
      </c>
      <c r="P146" s="79" t="str">
        <f aca="false">INDEX(Customers!$F$2:$F$101,MATCH($B146,Customers!$A$2:$A$101,0))</f>
        <v>Male</v>
      </c>
      <c r="Q146" s="79" t="str">
        <f aca="false">INDEX(Customers!$B$2:$B$101,MATCH($B146,Customers!$A$2:$A$101,0))</f>
        <v>Umang Luthra</v>
      </c>
      <c r="R146" s="79" t="n">
        <f aca="false">MONTH($E146)</f>
        <v>8</v>
      </c>
      <c r="S146" s="79" t="str">
        <f aca="false">INDEX(Lists!$B$2:$B$13,$R146)</f>
        <v>August</v>
      </c>
      <c r="T146" s="79" t="n">
        <f aca="false">HOUR($F146)</f>
        <v>16</v>
      </c>
      <c r="U146" s="79" t="n">
        <f aca="false">WEEKDAY($E146,2)</f>
        <v>2</v>
      </c>
      <c r="V146" s="79" t="str">
        <f aca="false">INDEX(Lists!$F$2:$F$8,$U146)</f>
        <v>Tuesday</v>
      </c>
      <c r="W146" s="81" t="n">
        <f aca="false">($G146+$H146)-($E146+$F146)</f>
        <v>4.84130787037037</v>
      </c>
      <c r="X146" s="79" t="str">
        <f aca="false">LOOKUP($M146,Lists!$G$2:$G$5,Lists!$H$2:$H$5)</f>
        <v>₹500 - 999</v>
      </c>
      <c r="Y146" s="79" t="str">
        <f aca="false">LOOKUP($W146,Lists!$I$2:$I$7,Lists!$J$2:$J$7)</f>
        <v>4 - 6 days</v>
      </c>
    </row>
    <row r="147" customFormat="false" ht="15" hidden="false" customHeight="false" outlineLevel="0" collapsed="false">
      <c r="A147" s="2" t="n">
        <v>146</v>
      </c>
      <c r="B147" s="2" t="s">
        <v>198</v>
      </c>
      <c r="C147" s="2" t="n">
        <v>52</v>
      </c>
      <c r="D147" s="2" t="n">
        <v>5</v>
      </c>
      <c r="E147" s="82" t="n">
        <v>44970</v>
      </c>
      <c r="F147" s="83" t="n">
        <v>0.766608796296296</v>
      </c>
      <c r="G147" s="82" t="n">
        <v>44973</v>
      </c>
      <c r="H147" s="83" t="n">
        <v>0.171956018518519</v>
      </c>
      <c r="I147" s="2" t="s">
        <v>607</v>
      </c>
      <c r="J147" s="2" t="s">
        <v>179</v>
      </c>
      <c r="K147" s="46" t="str">
        <f aca="false">INDEX(Products!$B$2:$B$71,MATCH($C147,Products!$A$2:$A$71,0))</f>
        <v>Dolorum Box</v>
      </c>
      <c r="L147" s="46" t="str">
        <f aca="false">INDEX(Products!$C$2:$C$71,MATCH($C147,Products!$A$2:$A$71,0))</f>
        <v>Raksha Bandhan</v>
      </c>
      <c r="M147" s="84" t="n">
        <f aca="false">INDEX(Products!$D$2:$D$71,MATCH($C147,Products!$A$2:$A$71,0))</f>
        <v>236</v>
      </c>
      <c r="N147" s="84" t="n">
        <f aca="false">$D147*$M147</f>
        <v>1180</v>
      </c>
      <c r="O147" s="46" t="str">
        <f aca="false">INDEX(Customers!$C$2:$C$101,MATCH($B147,Customers!$A$2:$A$101,0))</f>
        <v>Sambhal</v>
      </c>
      <c r="P147" s="46" t="str">
        <f aca="false">INDEX(Customers!$F$2:$F$101,MATCH($B147,Customers!$A$2:$A$101,0))</f>
        <v>Male</v>
      </c>
      <c r="Q147" s="46" t="str">
        <f aca="false">INDEX(Customers!$B$2:$B$101,MATCH($B147,Customers!$A$2:$A$101,0))</f>
        <v>Vardaniya Contractor</v>
      </c>
      <c r="R147" s="46" t="n">
        <f aca="false">MONTH($E147)</f>
        <v>2</v>
      </c>
      <c r="S147" s="46" t="str">
        <f aca="false">INDEX(Lists!$B$2:$B$13,$R147)</f>
        <v>February</v>
      </c>
      <c r="T147" s="46" t="n">
        <f aca="false">HOUR($F147)</f>
        <v>18</v>
      </c>
      <c r="U147" s="46" t="n">
        <f aca="false">WEEKDAY($E147,2)</f>
        <v>1</v>
      </c>
      <c r="V147" s="46" t="str">
        <f aca="false">INDEX(Lists!$F$2:$F$8,$U147)</f>
        <v>Monday</v>
      </c>
      <c r="W147" s="85" t="n">
        <f aca="false">($G147+$H147)-($E147+$F147)</f>
        <v>2.40534722222222</v>
      </c>
      <c r="X147" s="46" t="str">
        <f aca="false">LOOKUP($M147,Lists!$G$2:$G$5,Lists!$H$2:$H$5)</f>
        <v>₹0 - 499</v>
      </c>
      <c r="Y147" s="46" t="str">
        <f aca="false">LOOKUP($W147,Lists!$I$2:$I$7,Lists!$J$2:$J$7)</f>
        <v>2 - 4 days</v>
      </c>
    </row>
    <row r="148" customFormat="false" ht="15" hidden="false" customHeight="false" outlineLevel="0" collapsed="false">
      <c r="A148" s="7" t="n">
        <v>147</v>
      </c>
      <c r="B148" s="7" t="s">
        <v>338</v>
      </c>
      <c r="C148" s="7" t="n">
        <v>8</v>
      </c>
      <c r="D148" s="7" t="n">
        <v>4</v>
      </c>
      <c r="E148" s="77" t="n">
        <v>45002</v>
      </c>
      <c r="F148" s="78" t="n">
        <v>0.811284722222222</v>
      </c>
      <c r="G148" s="77" t="n">
        <v>45008</v>
      </c>
      <c r="H148" s="78" t="n">
        <v>0.577210648148148</v>
      </c>
      <c r="I148" s="7" t="s">
        <v>441</v>
      </c>
      <c r="J148" s="7" t="s">
        <v>168</v>
      </c>
      <c r="K148" s="79" t="str">
        <f aca="false">INDEX(Products!$B$2:$B$71,MATCH($C148,Products!$A$2:$A$71,0))</f>
        <v>Qui Box</v>
      </c>
      <c r="L148" s="79" t="str">
        <f aca="false">INDEX(Products!$C$2:$C$71,MATCH($C148,Products!$A$2:$A$71,0))</f>
        <v>Sweets</v>
      </c>
      <c r="M148" s="80" t="n">
        <f aca="false">INDEX(Products!$D$2:$D$71,MATCH($C148,Products!$A$2:$A$71,0))</f>
        <v>252</v>
      </c>
      <c r="N148" s="80" t="n">
        <f aca="false">$D148*$M148</f>
        <v>1008</v>
      </c>
      <c r="O148" s="79" t="str">
        <f aca="false">INDEX(Customers!$C$2:$C$101,MATCH($B148,Customers!$A$2:$A$101,0))</f>
        <v>Bhopal</v>
      </c>
      <c r="P148" s="79" t="str">
        <f aca="false">INDEX(Customers!$F$2:$F$101,MATCH($B148,Customers!$A$2:$A$101,0))</f>
        <v>Male</v>
      </c>
      <c r="Q148" s="79" t="str">
        <f aca="false">INDEX(Customers!$B$2:$B$101,MATCH($B148,Customers!$A$2:$A$101,0))</f>
        <v>Mohanlal Garde</v>
      </c>
      <c r="R148" s="79" t="n">
        <f aca="false">MONTH($E148)</f>
        <v>3</v>
      </c>
      <c r="S148" s="79" t="str">
        <f aca="false">INDEX(Lists!$B$2:$B$13,$R148)</f>
        <v>March</v>
      </c>
      <c r="T148" s="79" t="n">
        <f aca="false">HOUR($F148)</f>
        <v>19</v>
      </c>
      <c r="U148" s="79" t="n">
        <f aca="false">WEEKDAY($E148,2)</f>
        <v>5</v>
      </c>
      <c r="V148" s="79" t="str">
        <f aca="false">INDEX(Lists!$F$2:$F$8,$U148)</f>
        <v>Friday</v>
      </c>
      <c r="W148" s="81" t="n">
        <f aca="false">($G148+$H148)-($E148+$F148)</f>
        <v>5.76592592592593</v>
      </c>
      <c r="X148" s="79" t="str">
        <f aca="false">LOOKUP($M148,Lists!$G$2:$G$5,Lists!$H$2:$H$5)</f>
        <v>₹0 - 499</v>
      </c>
      <c r="Y148" s="79" t="str">
        <f aca="false">LOOKUP($W148,Lists!$I$2:$I$7,Lists!$J$2:$J$7)</f>
        <v>4 - 6 days</v>
      </c>
    </row>
    <row r="149" customFormat="false" ht="15" hidden="false" customHeight="false" outlineLevel="0" collapsed="false">
      <c r="A149" s="2" t="n">
        <v>148</v>
      </c>
      <c r="B149" s="2" t="s">
        <v>242</v>
      </c>
      <c r="C149" s="2" t="n">
        <v>24</v>
      </c>
      <c r="D149" s="2" t="n">
        <v>3</v>
      </c>
      <c r="E149" s="82" t="n">
        <v>45265</v>
      </c>
      <c r="F149" s="83" t="n">
        <v>0.0896759259259259</v>
      </c>
      <c r="G149" s="82" t="n">
        <v>45267</v>
      </c>
      <c r="H149" s="83" t="n">
        <v>0.373356481481482</v>
      </c>
      <c r="I149" s="2" t="s">
        <v>391</v>
      </c>
      <c r="J149" s="2" t="s">
        <v>31</v>
      </c>
      <c r="K149" s="46" t="str">
        <f aca="false">INDEX(Products!$B$2:$B$71,MATCH($C149,Products!$A$2:$A$71,0))</f>
        <v>Ad Box</v>
      </c>
      <c r="L149" s="46" t="str">
        <f aca="false">INDEX(Products!$C$2:$C$71,MATCH($C149,Products!$A$2:$A$71,0))</f>
        <v>Mugs</v>
      </c>
      <c r="M149" s="84" t="n">
        <f aca="false">INDEX(Products!$D$2:$D$71,MATCH($C149,Products!$A$2:$A$71,0))</f>
        <v>535</v>
      </c>
      <c r="N149" s="84" t="n">
        <f aca="false">$D149*$M149</f>
        <v>1605</v>
      </c>
      <c r="O149" s="46" t="str">
        <f aca="false">INDEX(Customers!$C$2:$C$101,MATCH($B149,Customers!$A$2:$A$101,0))</f>
        <v>Guna</v>
      </c>
      <c r="P149" s="46" t="str">
        <f aca="false">INDEX(Customers!$F$2:$F$101,MATCH($B149,Customers!$A$2:$A$101,0))</f>
        <v>Male</v>
      </c>
      <c r="Q149" s="46" t="str">
        <f aca="false">INDEX(Customers!$B$2:$B$101,MATCH($B149,Customers!$A$2:$A$101,0))</f>
        <v>Tara Kannan</v>
      </c>
      <c r="R149" s="46" t="n">
        <f aca="false">MONTH($E149)</f>
        <v>12</v>
      </c>
      <c r="S149" s="46" t="str">
        <f aca="false">INDEX(Lists!$B$2:$B$13,$R149)</f>
        <v>December</v>
      </c>
      <c r="T149" s="46" t="n">
        <f aca="false">HOUR($F149)</f>
        <v>2</v>
      </c>
      <c r="U149" s="46" t="n">
        <f aca="false">WEEKDAY($E149,2)</f>
        <v>2</v>
      </c>
      <c r="V149" s="46" t="str">
        <f aca="false">INDEX(Lists!$F$2:$F$8,$U149)</f>
        <v>Tuesday</v>
      </c>
      <c r="W149" s="85" t="n">
        <f aca="false">($G149+$H149)-($E149+$F149)</f>
        <v>2.28368055555556</v>
      </c>
      <c r="X149" s="46" t="str">
        <f aca="false">LOOKUP($M149,Lists!$G$2:$G$5,Lists!$H$2:$H$5)</f>
        <v>₹500 - 999</v>
      </c>
      <c r="Y149" s="46" t="str">
        <f aca="false">LOOKUP($W149,Lists!$I$2:$I$7,Lists!$J$2:$J$7)</f>
        <v>2 - 4 days</v>
      </c>
    </row>
    <row r="150" customFormat="false" ht="15" hidden="false" customHeight="false" outlineLevel="0" collapsed="false">
      <c r="A150" s="7" t="n">
        <v>149</v>
      </c>
      <c r="B150" s="7" t="s">
        <v>145</v>
      </c>
      <c r="C150" s="7" t="n">
        <v>5</v>
      </c>
      <c r="D150" s="7" t="n">
        <v>3</v>
      </c>
      <c r="E150" s="77" t="n">
        <v>45205</v>
      </c>
      <c r="F150" s="78" t="n">
        <v>0.974409722222222</v>
      </c>
      <c r="G150" s="77" t="n">
        <v>45208</v>
      </c>
      <c r="H150" s="78" t="n">
        <v>0.839722222222222</v>
      </c>
      <c r="I150" s="7" t="s">
        <v>482</v>
      </c>
      <c r="J150" s="7" t="s">
        <v>165</v>
      </c>
      <c r="K150" s="79" t="str">
        <f aca="false">INDEX(Products!$B$2:$B$71,MATCH($C150,Products!$A$2:$A$71,0))</f>
        <v>Natus Gift</v>
      </c>
      <c r="L150" s="79" t="str">
        <f aca="false">INDEX(Products!$C$2:$C$71,MATCH($C150,Products!$A$2:$A$71,0))</f>
        <v>Colors</v>
      </c>
      <c r="M150" s="80" t="n">
        <f aca="false">INDEX(Products!$D$2:$D$71,MATCH($C150,Products!$A$2:$A$71,0))</f>
        <v>1444</v>
      </c>
      <c r="N150" s="80" t="n">
        <f aca="false">$D150*$M150</f>
        <v>4332</v>
      </c>
      <c r="O150" s="79" t="str">
        <f aca="false">INDEX(Customers!$C$2:$C$101,MATCH($B150,Customers!$A$2:$A$101,0))</f>
        <v>Chinsurah</v>
      </c>
      <c r="P150" s="79" t="str">
        <f aca="false">INDEX(Customers!$F$2:$F$101,MATCH($B150,Customers!$A$2:$A$101,0))</f>
        <v>Female</v>
      </c>
      <c r="Q150" s="79" t="str">
        <f aca="false">INDEX(Customers!$B$2:$B$101,MATCH($B150,Customers!$A$2:$A$101,0))</f>
        <v>Veer Ray</v>
      </c>
      <c r="R150" s="79" t="n">
        <f aca="false">MONTH($E150)</f>
        <v>10</v>
      </c>
      <c r="S150" s="79" t="str">
        <f aca="false">INDEX(Lists!$B$2:$B$13,$R150)</f>
        <v>October</v>
      </c>
      <c r="T150" s="79" t="n">
        <f aca="false">HOUR($F150)</f>
        <v>23</v>
      </c>
      <c r="U150" s="79" t="n">
        <f aca="false">WEEKDAY($E150,2)</f>
        <v>5</v>
      </c>
      <c r="V150" s="79" t="str">
        <f aca="false">INDEX(Lists!$F$2:$F$8,$U150)</f>
        <v>Friday</v>
      </c>
      <c r="W150" s="81" t="n">
        <f aca="false">($G150+$H150)-($E150+$F150)</f>
        <v>2.8653125</v>
      </c>
      <c r="X150" s="79" t="str">
        <f aca="false">LOOKUP($M150,Lists!$G$2:$G$5,Lists!$H$2:$H$5)</f>
        <v>₹1,000 - 1,499</v>
      </c>
      <c r="Y150" s="79" t="str">
        <f aca="false">LOOKUP($W150,Lists!$I$2:$I$7,Lists!$J$2:$J$7)</f>
        <v>2 - 4 days</v>
      </c>
    </row>
    <row r="151" customFormat="false" ht="15" hidden="false" customHeight="false" outlineLevel="0" collapsed="false">
      <c r="A151" s="2" t="n">
        <v>150</v>
      </c>
      <c r="B151" s="2" t="s">
        <v>372</v>
      </c>
      <c r="C151" s="2" t="n">
        <v>27</v>
      </c>
      <c r="D151" s="2" t="n">
        <v>5</v>
      </c>
      <c r="E151" s="82" t="n">
        <v>45164</v>
      </c>
      <c r="F151" s="83" t="n">
        <v>0.304363425925926</v>
      </c>
      <c r="G151" s="82" t="n">
        <v>45167</v>
      </c>
      <c r="H151" s="83" t="n">
        <v>0.705706018518519</v>
      </c>
      <c r="I151" s="2" t="s">
        <v>268</v>
      </c>
      <c r="J151" s="2" t="s">
        <v>40</v>
      </c>
      <c r="K151" s="46" t="str">
        <f aca="false">INDEX(Products!$B$2:$B$71,MATCH($C151,Products!$A$2:$A$71,0))</f>
        <v>Architecto Gift</v>
      </c>
      <c r="L151" s="46" t="str">
        <f aca="false">INDEX(Products!$C$2:$C$71,MATCH($C151,Products!$A$2:$A$71,0))</f>
        <v>Cake</v>
      </c>
      <c r="M151" s="84" t="n">
        <f aca="false">INDEX(Products!$D$2:$D$71,MATCH($C151,Products!$A$2:$A$71,0))</f>
        <v>548</v>
      </c>
      <c r="N151" s="84" t="n">
        <f aca="false">$D151*$M151</f>
        <v>2740</v>
      </c>
      <c r="O151" s="46" t="str">
        <f aca="false">INDEX(Customers!$C$2:$C$101,MATCH($B151,Customers!$A$2:$A$101,0))</f>
        <v>Dibrugarh</v>
      </c>
      <c r="P151" s="46" t="str">
        <f aca="false">INDEX(Customers!$F$2:$F$101,MATCH($B151,Customers!$A$2:$A$101,0))</f>
        <v>Male</v>
      </c>
      <c r="Q151" s="46" t="str">
        <f aca="false">INDEX(Customers!$B$2:$B$101,MATCH($B151,Customers!$A$2:$A$101,0))</f>
        <v>Zoya Mani</v>
      </c>
      <c r="R151" s="46" t="n">
        <f aca="false">MONTH($E151)</f>
        <v>8</v>
      </c>
      <c r="S151" s="46" t="str">
        <f aca="false">INDEX(Lists!$B$2:$B$13,$R151)</f>
        <v>August</v>
      </c>
      <c r="T151" s="46" t="n">
        <f aca="false">HOUR($F151)</f>
        <v>7</v>
      </c>
      <c r="U151" s="46" t="n">
        <f aca="false">WEEKDAY($E151,2)</f>
        <v>6</v>
      </c>
      <c r="V151" s="46" t="str">
        <f aca="false">INDEX(Lists!$F$2:$F$8,$U151)</f>
        <v>Saturday</v>
      </c>
      <c r="W151" s="85" t="n">
        <f aca="false">($G151+$H151)-($E151+$F151)</f>
        <v>3.40134259259259</v>
      </c>
      <c r="X151" s="46" t="str">
        <f aca="false">LOOKUP($M151,Lists!$G$2:$G$5,Lists!$H$2:$H$5)</f>
        <v>₹500 - 999</v>
      </c>
      <c r="Y151" s="46" t="str">
        <f aca="false">LOOKUP($W151,Lists!$I$2:$I$7,Lists!$J$2:$J$7)</f>
        <v>2 - 4 days</v>
      </c>
    </row>
    <row r="152" customFormat="false" ht="15" hidden="false" customHeight="false" outlineLevel="0" collapsed="false">
      <c r="A152" s="7" t="n">
        <v>151</v>
      </c>
      <c r="B152" s="7" t="s">
        <v>257</v>
      </c>
      <c r="C152" s="7" t="n">
        <v>43</v>
      </c>
      <c r="D152" s="7" t="n">
        <v>1</v>
      </c>
      <c r="E152" s="77" t="n">
        <v>45233</v>
      </c>
      <c r="F152" s="78" t="n">
        <v>0.904467592592593</v>
      </c>
      <c r="G152" s="77" t="n">
        <v>45240</v>
      </c>
      <c r="H152" s="78" t="n">
        <v>0.163912037037037</v>
      </c>
      <c r="I152" s="7" t="s">
        <v>434</v>
      </c>
      <c r="J152" s="7" t="s">
        <v>32</v>
      </c>
      <c r="K152" s="79" t="str">
        <f aca="false">INDEX(Products!$B$2:$B$71,MATCH($C152,Products!$A$2:$A$71,0))</f>
        <v>Quisquam Pack</v>
      </c>
      <c r="L152" s="79" t="str">
        <f aca="false">INDEX(Products!$C$2:$C$71,MATCH($C152,Products!$A$2:$A$71,0))</f>
        <v>Raksha Bandhan</v>
      </c>
      <c r="M152" s="80" t="n">
        <f aca="false">INDEX(Products!$D$2:$D$71,MATCH($C152,Products!$A$2:$A$71,0))</f>
        <v>750</v>
      </c>
      <c r="N152" s="80" t="n">
        <f aca="false">$D152*$M152</f>
        <v>750</v>
      </c>
      <c r="O152" s="79" t="str">
        <f aca="false">INDEX(Customers!$C$2:$C$101,MATCH($B152,Customers!$A$2:$A$101,0))</f>
        <v>Kota</v>
      </c>
      <c r="P152" s="79" t="str">
        <f aca="false">INDEX(Customers!$F$2:$F$101,MATCH($B152,Customers!$A$2:$A$101,0))</f>
        <v>Female</v>
      </c>
      <c r="Q152" s="79" t="str">
        <f aca="false">INDEX(Customers!$B$2:$B$101,MATCH($B152,Customers!$A$2:$A$101,0))</f>
        <v>Aradhya Batta</v>
      </c>
      <c r="R152" s="79" t="n">
        <f aca="false">MONTH($E152)</f>
        <v>11</v>
      </c>
      <c r="S152" s="79" t="str">
        <f aca="false">INDEX(Lists!$B$2:$B$13,$R152)</f>
        <v>November</v>
      </c>
      <c r="T152" s="79" t="n">
        <f aca="false">HOUR($F152)</f>
        <v>21</v>
      </c>
      <c r="U152" s="79" t="n">
        <f aca="false">WEEKDAY($E152,2)</f>
        <v>5</v>
      </c>
      <c r="V152" s="79" t="str">
        <f aca="false">INDEX(Lists!$F$2:$F$8,$U152)</f>
        <v>Friday</v>
      </c>
      <c r="W152" s="81" t="n">
        <f aca="false">($G152+$H152)-($E152+$F152)</f>
        <v>6.25944444444444</v>
      </c>
      <c r="X152" s="79" t="str">
        <f aca="false">LOOKUP($M152,Lists!$G$2:$G$5,Lists!$H$2:$H$5)</f>
        <v>₹500 - 999</v>
      </c>
      <c r="Y152" s="79" t="str">
        <f aca="false">LOOKUP($W152,Lists!$I$2:$I$7,Lists!$J$2:$J$7)</f>
        <v>6 - 8 days</v>
      </c>
    </row>
    <row r="153" customFormat="false" ht="15" hidden="false" customHeight="false" outlineLevel="0" collapsed="false">
      <c r="A153" s="2" t="n">
        <v>152</v>
      </c>
      <c r="B153" s="2" t="s">
        <v>350</v>
      </c>
      <c r="C153" s="2" t="n">
        <v>51</v>
      </c>
      <c r="D153" s="2" t="n">
        <v>2</v>
      </c>
      <c r="E153" s="82" t="n">
        <v>44984</v>
      </c>
      <c r="F153" s="83" t="n">
        <v>0.450590277777778</v>
      </c>
      <c r="G153" s="82" t="n">
        <v>44990</v>
      </c>
      <c r="H153" s="83" t="n">
        <v>0.69400462962963</v>
      </c>
      <c r="I153" s="2" t="s">
        <v>594</v>
      </c>
      <c r="J153" s="2" t="s">
        <v>165</v>
      </c>
      <c r="K153" s="46" t="str">
        <f aca="false">INDEX(Products!$B$2:$B$71,MATCH($C153,Products!$A$2:$A$71,0))</f>
        <v>Fugit Set</v>
      </c>
      <c r="L153" s="46" t="str">
        <f aca="false">INDEX(Products!$C$2:$C$71,MATCH($C153,Products!$A$2:$A$71,0))</f>
        <v>Soft Toys</v>
      </c>
      <c r="M153" s="84" t="n">
        <f aca="false">INDEX(Products!$D$2:$D$71,MATCH($C153,Products!$A$2:$A$71,0))</f>
        <v>1084</v>
      </c>
      <c r="N153" s="84" t="n">
        <f aca="false">$D153*$M153</f>
        <v>2168</v>
      </c>
      <c r="O153" s="46" t="str">
        <f aca="false">INDEX(Customers!$C$2:$C$101,MATCH($B153,Customers!$A$2:$A$101,0))</f>
        <v>Tiruchirappalli</v>
      </c>
      <c r="P153" s="46" t="str">
        <f aca="false">INDEX(Customers!$F$2:$F$101,MATCH($B153,Customers!$A$2:$A$101,0))</f>
        <v>Male</v>
      </c>
      <c r="Q153" s="46" t="str">
        <f aca="false">INDEX(Customers!$B$2:$B$101,MATCH($B153,Customers!$A$2:$A$101,0))</f>
        <v>Anahita Shankar</v>
      </c>
      <c r="R153" s="46" t="n">
        <f aca="false">MONTH($E153)</f>
        <v>2</v>
      </c>
      <c r="S153" s="46" t="str">
        <f aca="false">INDEX(Lists!$B$2:$B$13,$R153)</f>
        <v>February</v>
      </c>
      <c r="T153" s="46" t="n">
        <f aca="false">HOUR($F153)</f>
        <v>10</v>
      </c>
      <c r="U153" s="46" t="n">
        <f aca="false">WEEKDAY($E153,2)</f>
        <v>1</v>
      </c>
      <c r="V153" s="46" t="str">
        <f aca="false">INDEX(Lists!$F$2:$F$8,$U153)</f>
        <v>Monday</v>
      </c>
      <c r="W153" s="85" t="n">
        <f aca="false">($G153+$H153)-($E153+$F153)</f>
        <v>6.24341435185185</v>
      </c>
      <c r="X153" s="46" t="str">
        <f aca="false">LOOKUP($M153,Lists!$G$2:$G$5,Lists!$H$2:$H$5)</f>
        <v>₹1,000 - 1,499</v>
      </c>
      <c r="Y153" s="46" t="str">
        <f aca="false">LOOKUP($W153,Lists!$I$2:$I$7,Lists!$J$2:$J$7)</f>
        <v>6 - 8 days</v>
      </c>
    </row>
    <row r="154" customFormat="false" ht="15" hidden="false" customHeight="false" outlineLevel="0" collapsed="false">
      <c r="A154" s="7" t="n">
        <v>153</v>
      </c>
      <c r="B154" s="7" t="s">
        <v>377</v>
      </c>
      <c r="C154" s="7" t="n">
        <v>16</v>
      </c>
      <c r="D154" s="7" t="n">
        <v>4</v>
      </c>
      <c r="E154" s="77" t="n">
        <v>44989</v>
      </c>
      <c r="F154" s="78" t="n">
        <v>0.510416666666667</v>
      </c>
      <c r="G154" s="77" t="n">
        <v>44995</v>
      </c>
      <c r="H154" s="78" t="n">
        <v>0.253275462962963</v>
      </c>
      <c r="I154" s="7" t="s">
        <v>547</v>
      </c>
      <c r="J154" s="7" t="s">
        <v>33</v>
      </c>
      <c r="K154" s="79" t="str">
        <f aca="false">INDEX(Products!$B$2:$B$71,MATCH($C154,Products!$A$2:$A$71,0))</f>
        <v>Ut Pack</v>
      </c>
      <c r="L154" s="79" t="str">
        <f aca="false">INDEX(Products!$C$2:$C$71,MATCH($C154,Products!$A$2:$A$71,0))</f>
        <v>Sweets</v>
      </c>
      <c r="M154" s="80" t="n">
        <f aca="false">INDEX(Products!$D$2:$D$71,MATCH($C154,Products!$A$2:$A$71,0))</f>
        <v>1721</v>
      </c>
      <c r="N154" s="80" t="n">
        <f aca="false">$D154*$M154</f>
        <v>6884</v>
      </c>
      <c r="O154" s="79" t="str">
        <f aca="false">INDEX(Customers!$C$2:$C$101,MATCH($B154,Customers!$A$2:$A$101,0))</f>
        <v>Deoghar</v>
      </c>
      <c r="P154" s="79" t="str">
        <f aca="false">INDEX(Customers!$F$2:$F$101,MATCH($B154,Customers!$A$2:$A$101,0))</f>
        <v>Female</v>
      </c>
      <c r="Q154" s="79" t="str">
        <f aca="false">INDEX(Customers!$B$2:$B$101,MATCH($B154,Customers!$A$2:$A$101,0))</f>
        <v>Raghav Babu</v>
      </c>
      <c r="R154" s="79" t="n">
        <f aca="false">MONTH($E154)</f>
        <v>3</v>
      </c>
      <c r="S154" s="79" t="str">
        <f aca="false">INDEX(Lists!$B$2:$B$13,$R154)</f>
        <v>March</v>
      </c>
      <c r="T154" s="79" t="n">
        <f aca="false">HOUR($F154)</f>
        <v>12</v>
      </c>
      <c r="U154" s="79" t="n">
        <f aca="false">WEEKDAY($E154,2)</f>
        <v>6</v>
      </c>
      <c r="V154" s="79" t="str">
        <f aca="false">INDEX(Lists!$F$2:$F$8,$U154)</f>
        <v>Saturday</v>
      </c>
      <c r="W154" s="81" t="n">
        <f aca="false">($G154+$H154)-($E154+$F154)</f>
        <v>5.7428587962963</v>
      </c>
      <c r="X154" s="79" t="str">
        <f aca="false">LOOKUP($M154,Lists!$G$2:$G$5,Lists!$H$2:$H$5)</f>
        <v>₹1,500 - 2,000</v>
      </c>
      <c r="Y154" s="79" t="str">
        <f aca="false">LOOKUP($W154,Lists!$I$2:$I$7,Lists!$J$2:$J$7)</f>
        <v>4 - 6 days</v>
      </c>
    </row>
    <row r="155" customFormat="false" ht="15" hidden="false" customHeight="false" outlineLevel="0" collapsed="false">
      <c r="A155" s="2" t="n">
        <v>154</v>
      </c>
      <c r="B155" s="2" t="s">
        <v>251</v>
      </c>
      <c r="C155" s="2" t="n">
        <v>45</v>
      </c>
      <c r="D155" s="2" t="n">
        <v>5</v>
      </c>
      <c r="E155" s="82" t="n">
        <v>45251</v>
      </c>
      <c r="F155" s="83" t="n">
        <v>0.968263888888889</v>
      </c>
      <c r="G155" s="82" t="n">
        <v>45255</v>
      </c>
      <c r="H155" s="83" t="n">
        <v>0.0867939814814815</v>
      </c>
      <c r="I155" s="2" t="s">
        <v>424</v>
      </c>
      <c r="J155" s="2" t="s">
        <v>31</v>
      </c>
      <c r="K155" s="46" t="str">
        <f aca="false">INDEX(Products!$B$2:$B$71,MATCH($C155,Products!$A$2:$A$71,0))</f>
        <v>Iusto Set</v>
      </c>
      <c r="L155" s="46" t="str">
        <f aca="false">INDEX(Products!$C$2:$C$71,MATCH($C155,Products!$A$2:$A$71,0))</f>
        <v>Raksha Bandhan</v>
      </c>
      <c r="M155" s="84" t="n">
        <f aca="false">INDEX(Products!$D$2:$D$71,MATCH($C155,Products!$A$2:$A$71,0))</f>
        <v>722</v>
      </c>
      <c r="N155" s="84" t="n">
        <f aca="false">$D155*$M155</f>
        <v>3610</v>
      </c>
      <c r="O155" s="46" t="str">
        <f aca="false">INDEX(Customers!$C$2:$C$101,MATCH($B155,Customers!$A$2:$A$101,0))</f>
        <v>Imphal</v>
      </c>
      <c r="P155" s="46" t="str">
        <f aca="false">INDEX(Customers!$F$2:$F$101,MATCH($B155,Customers!$A$2:$A$101,0))</f>
        <v>Female</v>
      </c>
      <c r="Q155" s="46" t="str">
        <f aca="false">INDEX(Customers!$B$2:$B$101,MATCH($B155,Customers!$A$2:$A$101,0))</f>
        <v>Aarush Balasubramanian</v>
      </c>
      <c r="R155" s="46" t="n">
        <f aca="false">MONTH($E155)</f>
        <v>11</v>
      </c>
      <c r="S155" s="46" t="str">
        <f aca="false">INDEX(Lists!$B$2:$B$13,$R155)</f>
        <v>November</v>
      </c>
      <c r="T155" s="46" t="n">
        <f aca="false">HOUR($F155)</f>
        <v>23</v>
      </c>
      <c r="U155" s="46" t="n">
        <f aca="false">WEEKDAY($E155,2)</f>
        <v>2</v>
      </c>
      <c r="V155" s="46" t="str">
        <f aca="false">INDEX(Lists!$F$2:$F$8,$U155)</f>
        <v>Tuesday</v>
      </c>
      <c r="W155" s="85" t="n">
        <f aca="false">($G155+$H155)-($E155+$F155)</f>
        <v>3.11853009259259</v>
      </c>
      <c r="X155" s="46" t="str">
        <f aca="false">LOOKUP($M155,Lists!$G$2:$G$5,Lists!$H$2:$H$5)</f>
        <v>₹500 - 999</v>
      </c>
      <c r="Y155" s="46" t="str">
        <f aca="false">LOOKUP($W155,Lists!$I$2:$I$7,Lists!$J$2:$J$7)</f>
        <v>2 - 4 days</v>
      </c>
    </row>
    <row r="156" customFormat="false" ht="15" hidden="false" customHeight="false" outlineLevel="0" collapsed="false">
      <c r="A156" s="7" t="n">
        <v>155</v>
      </c>
      <c r="B156" s="7" t="s">
        <v>183</v>
      </c>
      <c r="C156" s="7" t="n">
        <v>23</v>
      </c>
      <c r="D156" s="7" t="n">
        <v>3</v>
      </c>
      <c r="E156" s="77" t="n">
        <v>45047</v>
      </c>
      <c r="F156" s="78" t="n">
        <v>0.615949074074074</v>
      </c>
      <c r="G156" s="77" t="n">
        <v>45052</v>
      </c>
      <c r="H156" s="78" t="n">
        <v>0.000347222222222222</v>
      </c>
      <c r="I156" s="7" t="s">
        <v>555</v>
      </c>
      <c r="J156" s="7" t="s">
        <v>168</v>
      </c>
      <c r="K156" s="79" t="str">
        <f aca="false">INDEX(Products!$B$2:$B$71,MATCH($C156,Products!$A$2:$A$71,0))</f>
        <v>Dignissimos Pack</v>
      </c>
      <c r="L156" s="79" t="str">
        <f aca="false">INDEX(Products!$C$2:$C$71,MATCH($C156,Products!$A$2:$A$71,0))</f>
        <v>Sweets</v>
      </c>
      <c r="M156" s="80" t="n">
        <f aca="false">INDEX(Products!$D$2:$D$71,MATCH($C156,Products!$A$2:$A$71,0))</f>
        <v>1098</v>
      </c>
      <c r="N156" s="80" t="n">
        <f aca="false">$D156*$M156</f>
        <v>3294</v>
      </c>
      <c r="O156" s="79" t="str">
        <f aca="false">INDEX(Customers!$C$2:$C$101,MATCH($B156,Customers!$A$2:$A$101,0))</f>
        <v>Bidhannagar</v>
      </c>
      <c r="P156" s="79" t="str">
        <f aca="false">INDEX(Customers!$F$2:$F$101,MATCH($B156,Customers!$A$2:$A$101,0))</f>
        <v>Male</v>
      </c>
      <c r="Q156" s="79" t="str">
        <f aca="false">INDEX(Customers!$B$2:$B$101,MATCH($B156,Customers!$A$2:$A$101,0))</f>
        <v>Abram Sandhu</v>
      </c>
      <c r="R156" s="79" t="n">
        <f aca="false">MONTH($E156)</f>
        <v>5</v>
      </c>
      <c r="S156" s="79" t="str">
        <f aca="false">INDEX(Lists!$B$2:$B$13,$R156)</f>
        <v>May</v>
      </c>
      <c r="T156" s="79" t="n">
        <f aca="false">HOUR($F156)</f>
        <v>14</v>
      </c>
      <c r="U156" s="79" t="n">
        <f aca="false">WEEKDAY($E156,2)</f>
        <v>1</v>
      </c>
      <c r="V156" s="79" t="str">
        <f aca="false">INDEX(Lists!$F$2:$F$8,$U156)</f>
        <v>Monday</v>
      </c>
      <c r="W156" s="81" t="n">
        <f aca="false">($G156+$H156)-($E156+$F156)</f>
        <v>4.38439814814815</v>
      </c>
      <c r="X156" s="79" t="str">
        <f aca="false">LOOKUP($M156,Lists!$G$2:$G$5,Lists!$H$2:$H$5)</f>
        <v>₹1,000 - 1,499</v>
      </c>
      <c r="Y156" s="79" t="str">
        <f aca="false">LOOKUP($W156,Lists!$I$2:$I$7,Lists!$J$2:$J$7)</f>
        <v>4 - 6 days</v>
      </c>
    </row>
    <row r="157" customFormat="false" ht="15" hidden="false" customHeight="false" outlineLevel="0" collapsed="false">
      <c r="A157" s="2" t="n">
        <v>156</v>
      </c>
      <c r="B157" s="2" t="s">
        <v>198</v>
      </c>
      <c r="C157" s="2" t="n">
        <v>61</v>
      </c>
      <c r="D157" s="2" t="n">
        <v>2</v>
      </c>
      <c r="E157" s="82" t="n">
        <v>44966</v>
      </c>
      <c r="F157" s="83" t="n">
        <v>0.347800925925926</v>
      </c>
      <c r="G157" s="82" t="n">
        <v>44969</v>
      </c>
      <c r="H157" s="83" t="n">
        <v>0.450856481481482</v>
      </c>
      <c r="I157" s="2" t="s">
        <v>516</v>
      </c>
      <c r="J157" s="2" t="s">
        <v>168</v>
      </c>
      <c r="K157" s="46" t="str">
        <f aca="false">INDEX(Products!$B$2:$B$71,MATCH($C157,Products!$A$2:$A$71,0))</f>
        <v>Iusto Box</v>
      </c>
      <c r="L157" s="46" t="str">
        <f aca="false">INDEX(Products!$C$2:$C$71,MATCH($C157,Products!$A$2:$A$71,0))</f>
        <v>Plants</v>
      </c>
      <c r="M157" s="84" t="n">
        <f aca="false">INDEX(Products!$D$2:$D$71,MATCH($C157,Products!$A$2:$A$71,0))</f>
        <v>810</v>
      </c>
      <c r="N157" s="84" t="n">
        <f aca="false">$D157*$M157</f>
        <v>1620</v>
      </c>
      <c r="O157" s="46" t="str">
        <f aca="false">INDEX(Customers!$C$2:$C$101,MATCH($B157,Customers!$A$2:$A$101,0))</f>
        <v>Sambhal</v>
      </c>
      <c r="P157" s="46" t="str">
        <f aca="false">INDEX(Customers!$F$2:$F$101,MATCH($B157,Customers!$A$2:$A$101,0))</f>
        <v>Male</v>
      </c>
      <c r="Q157" s="46" t="str">
        <f aca="false">INDEX(Customers!$B$2:$B$101,MATCH($B157,Customers!$A$2:$A$101,0))</f>
        <v>Vardaniya Contractor</v>
      </c>
      <c r="R157" s="46" t="n">
        <f aca="false">MONTH($E157)</f>
        <v>2</v>
      </c>
      <c r="S157" s="46" t="str">
        <f aca="false">INDEX(Lists!$B$2:$B$13,$R157)</f>
        <v>February</v>
      </c>
      <c r="T157" s="46" t="n">
        <f aca="false">HOUR($F157)</f>
        <v>8</v>
      </c>
      <c r="U157" s="46" t="n">
        <f aca="false">WEEKDAY($E157,2)</f>
        <v>4</v>
      </c>
      <c r="V157" s="46" t="str">
        <f aca="false">INDEX(Lists!$F$2:$F$8,$U157)</f>
        <v>Thursday</v>
      </c>
      <c r="W157" s="85" t="n">
        <f aca="false">($G157+$H157)-($E157+$F157)</f>
        <v>3.10305555555556</v>
      </c>
      <c r="X157" s="46" t="str">
        <f aca="false">LOOKUP($M157,Lists!$G$2:$G$5,Lists!$H$2:$H$5)</f>
        <v>₹500 - 999</v>
      </c>
      <c r="Y157" s="46" t="str">
        <f aca="false">LOOKUP($W157,Lists!$I$2:$I$7,Lists!$J$2:$J$7)</f>
        <v>2 - 4 days</v>
      </c>
    </row>
    <row r="158" customFormat="false" ht="15" hidden="false" customHeight="false" outlineLevel="0" collapsed="false">
      <c r="A158" s="7" t="n">
        <v>157</v>
      </c>
      <c r="B158" s="7" t="s">
        <v>174</v>
      </c>
      <c r="C158" s="7" t="n">
        <v>35</v>
      </c>
      <c r="D158" s="7" t="n">
        <v>3</v>
      </c>
      <c r="E158" s="77" t="n">
        <v>44983</v>
      </c>
      <c r="F158" s="78" t="n">
        <v>0.530752314814815</v>
      </c>
      <c r="G158" s="77" t="n">
        <v>44991</v>
      </c>
      <c r="H158" s="78" t="n">
        <v>0.483148148148148</v>
      </c>
      <c r="I158" s="7" t="s">
        <v>587</v>
      </c>
      <c r="J158" s="7" t="s">
        <v>33</v>
      </c>
      <c r="K158" s="79" t="str">
        <f aca="false">INDEX(Products!$B$2:$B$71,MATCH($C158,Products!$A$2:$A$71,0))</f>
        <v>Nam Gift</v>
      </c>
      <c r="L158" s="79" t="str">
        <f aca="false">INDEX(Products!$C$2:$C$71,MATCH($C158,Products!$A$2:$A$71,0))</f>
        <v>Colors</v>
      </c>
      <c r="M158" s="80" t="n">
        <f aca="false">INDEX(Products!$D$2:$D$71,MATCH($C158,Products!$A$2:$A$71,0))</f>
        <v>1865</v>
      </c>
      <c r="N158" s="80" t="n">
        <f aca="false">$D158*$M158</f>
        <v>5595</v>
      </c>
      <c r="O158" s="79" t="str">
        <f aca="false">INDEX(Customers!$C$2:$C$101,MATCH($B158,Customers!$A$2:$A$101,0))</f>
        <v>Danapur</v>
      </c>
      <c r="P158" s="79" t="str">
        <f aca="false">INDEX(Customers!$F$2:$F$101,MATCH($B158,Customers!$A$2:$A$101,0))</f>
        <v>Male</v>
      </c>
      <c r="Q158" s="79" t="str">
        <f aca="false">INDEX(Customers!$B$2:$B$101,MATCH($B158,Customers!$A$2:$A$101,0))</f>
        <v>Amira Sengupta</v>
      </c>
      <c r="R158" s="79" t="n">
        <f aca="false">MONTH($E158)</f>
        <v>2</v>
      </c>
      <c r="S158" s="79" t="str">
        <f aca="false">INDEX(Lists!$B$2:$B$13,$R158)</f>
        <v>February</v>
      </c>
      <c r="T158" s="79" t="n">
        <f aca="false">HOUR($F158)</f>
        <v>12</v>
      </c>
      <c r="U158" s="79" t="n">
        <f aca="false">WEEKDAY($E158,2)</f>
        <v>7</v>
      </c>
      <c r="V158" s="79" t="str">
        <f aca="false">INDEX(Lists!$F$2:$F$8,$U158)</f>
        <v>Sunday</v>
      </c>
      <c r="W158" s="81" t="n">
        <f aca="false">($G158+$H158)-($E158+$F158)</f>
        <v>7.95239583333333</v>
      </c>
      <c r="X158" s="79" t="str">
        <f aca="false">LOOKUP($M158,Lists!$G$2:$G$5,Lists!$H$2:$H$5)</f>
        <v>₹1,500 - 2,000</v>
      </c>
      <c r="Y158" s="79" t="str">
        <f aca="false">LOOKUP($W158,Lists!$I$2:$I$7,Lists!$J$2:$J$7)</f>
        <v>6 - 8 days</v>
      </c>
    </row>
    <row r="159" customFormat="false" ht="15" hidden="false" customHeight="false" outlineLevel="0" collapsed="false">
      <c r="A159" s="2" t="n">
        <v>158</v>
      </c>
      <c r="B159" s="2" t="s">
        <v>142</v>
      </c>
      <c r="C159" s="2" t="n">
        <v>35</v>
      </c>
      <c r="D159" s="2" t="n">
        <v>2</v>
      </c>
      <c r="E159" s="82" t="n">
        <v>44988</v>
      </c>
      <c r="F159" s="83" t="n">
        <v>0.652974537037037</v>
      </c>
      <c r="G159" s="82" t="n">
        <v>44993</v>
      </c>
      <c r="H159" s="83" t="n">
        <v>0.120150462962963</v>
      </c>
      <c r="I159" s="2" t="s">
        <v>486</v>
      </c>
      <c r="J159" s="2" t="s">
        <v>33</v>
      </c>
      <c r="K159" s="46" t="str">
        <f aca="false">INDEX(Products!$B$2:$B$71,MATCH($C159,Products!$A$2:$A$71,0))</f>
        <v>Nam Gift</v>
      </c>
      <c r="L159" s="46" t="str">
        <f aca="false">INDEX(Products!$C$2:$C$71,MATCH($C159,Products!$A$2:$A$71,0))</f>
        <v>Colors</v>
      </c>
      <c r="M159" s="84" t="n">
        <f aca="false">INDEX(Products!$D$2:$D$71,MATCH($C159,Products!$A$2:$A$71,0))</f>
        <v>1865</v>
      </c>
      <c r="N159" s="84" t="n">
        <f aca="false">$D159*$M159</f>
        <v>3730</v>
      </c>
      <c r="O159" s="46" t="str">
        <f aca="false">INDEX(Customers!$C$2:$C$101,MATCH($B159,Customers!$A$2:$A$101,0))</f>
        <v>Berhampore</v>
      </c>
      <c r="P159" s="46" t="str">
        <f aca="false">INDEX(Customers!$F$2:$F$101,MATCH($B159,Customers!$A$2:$A$101,0))</f>
        <v>Male</v>
      </c>
      <c r="Q159" s="46" t="str">
        <f aca="false">INDEX(Customers!$B$2:$B$101,MATCH($B159,Customers!$A$2:$A$101,0))</f>
        <v>Jayant Kamdar</v>
      </c>
      <c r="R159" s="46" t="n">
        <f aca="false">MONTH($E159)</f>
        <v>3</v>
      </c>
      <c r="S159" s="46" t="str">
        <f aca="false">INDEX(Lists!$B$2:$B$13,$R159)</f>
        <v>March</v>
      </c>
      <c r="T159" s="46" t="n">
        <f aca="false">HOUR($F159)</f>
        <v>15</v>
      </c>
      <c r="U159" s="46" t="n">
        <f aca="false">WEEKDAY($E159,2)</f>
        <v>5</v>
      </c>
      <c r="V159" s="46" t="str">
        <f aca="false">INDEX(Lists!$F$2:$F$8,$U159)</f>
        <v>Friday</v>
      </c>
      <c r="W159" s="85" t="n">
        <f aca="false">($G159+$H159)-($E159+$F159)</f>
        <v>4.46717592592593</v>
      </c>
      <c r="X159" s="46" t="str">
        <f aca="false">LOOKUP($M159,Lists!$G$2:$G$5,Lists!$H$2:$H$5)</f>
        <v>₹1,500 - 2,000</v>
      </c>
      <c r="Y159" s="46" t="str">
        <f aca="false">LOOKUP($W159,Lists!$I$2:$I$7,Lists!$J$2:$J$7)</f>
        <v>4 - 6 days</v>
      </c>
    </row>
    <row r="160" customFormat="false" ht="15" hidden="false" customHeight="false" outlineLevel="0" collapsed="false">
      <c r="A160" s="7" t="n">
        <v>159</v>
      </c>
      <c r="B160" s="7" t="s">
        <v>379</v>
      </c>
      <c r="C160" s="7" t="n">
        <v>43</v>
      </c>
      <c r="D160" s="7" t="n">
        <v>3</v>
      </c>
      <c r="E160" s="77" t="n">
        <v>45239</v>
      </c>
      <c r="F160" s="78" t="n">
        <v>0.896979166666667</v>
      </c>
      <c r="G160" s="77" t="n">
        <v>45241</v>
      </c>
      <c r="H160" s="78" t="n">
        <v>0.205509259259259</v>
      </c>
      <c r="I160" s="7" t="s">
        <v>324</v>
      </c>
      <c r="J160" s="7" t="s">
        <v>32</v>
      </c>
      <c r="K160" s="79" t="str">
        <f aca="false">INDEX(Products!$B$2:$B$71,MATCH($C160,Products!$A$2:$A$71,0))</f>
        <v>Quisquam Pack</v>
      </c>
      <c r="L160" s="79" t="str">
        <f aca="false">INDEX(Products!$C$2:$C$71,MATCH($C160,Products!$A$2:$A$71,0))</f>
        <v>Raksha Bandhan</v>
      </c>
      <c r="M160" s="80" t="n">
        <f aca="false">INDEX(Products!$D$2:$D$71,MATCH($C160,Products!$A$2:$A$71,0))</f>
        <v>750</v>
      </c>
      <c r="N160" s="80" t="n">
        <f aca="false">$D160*$M160</f>
        <v>2250</v>
      </c>
      <c r="O160" s="79" t="str">
        <f aca="false">INDEX(Customers!$C$2:$C$101,MATCH($B160,Customers!$A$2:$A$101,0))</f>
        <v>Warangal</v>
      </c>
      <c r="P160" s="79" t="str">
        <f aca="false">INDEX(Customers!$F$2:$F$101,MATCH($B160,Customers!$A$2:$A$101,0))</f>
        <v>Female</v>
      </c>
      <c r="Q160" s="79" t="str">
        <f aca="false">INDEX(Customers!$B$2:$B$101,MATCH($B160,Customers!$A$2:$A$101,0))</f>
        <v>Mahika Cherian</v>
      </c>
      <c r="R160" s="79" t="n">
        <f aca="false">MONTH($E160)</f>
        <v>11</v>
      </c>
      <c r="S160" s="79" t="str">
        <f aca="false">INDEX(Lists!$B$2:$B$13,$R160)</f>
        <v>November</v>
      </c>
      <c r="T160" s="79" t="n">
        <f aca="false">HOUR($F160)</f>
        <v>21</v>
      </c>
      <c r="U160" s="79" t="n">
        <f aca="false">WEEKDAY($E160,2)</f>
        <v>4</v>
      </c>
      <c r="V160" s="79" t="str">
        <f aca="false">INDEX(Lists!$F$2:$F$8,$U160)</f>
        <v>Thursday</v>
      </c>
      <c r="W160" s="81" t="n">
        <f aca="false">($G160+$H160)-($E160+$F160)</f>
        <v>1.30853009259259</v>
      </c>
      <c r="X160" s="79" t="str">
        <f aca="false">LOOKUP($M160,Lists!$G$2:$G$5,Lists!$H$2:$H$5)</f>
        <v>₹500 - 999</v>
      </c>
      <c r="Y160" s="79" t="str">
        <f aca="false">LOOKUP($W160,Lists!$I$2:$I$7,Lists!$J$2:$J$7)</f>
        <v>0 - 2 days</v>
      </c>
    </row>
    <row r="161" customFormat="false" ht="15" hidden="false" customHeight="false" outlineLevel="0" collapsed="false">
      <c r="A161" s="2" t="n">
        <v>160</v>
      </c>
      <c r="B161" s="2" t="s">
        <v>215</v>
      </c>
      <c r="C161" s="2" t="n">
        <v>36</v>
      </c>
      <c r="D161" s="2" t="n">
        <v>3</v>
      </c>
      <c r="E161" s="82" t="n">
        <v>45079</v>
      </c>
      <c r="F161" s="83" t="n">
        <v>0.0201041666666667</v>
      </c>
      <c r="G161" s="82" t="n">
        <v>45087</v>
      </c>
      <c r="H161" s="83" t="n">
        <v>0.328460648148148</v>
      </c>
      <c r="I161" s="2" t="s">
        <v>492</v>
      </c>
      <c r="J161" s="2" t="s">
        <v>31</v>
      </c>
      <c r="K161" s="46" t="str">
        <f aca="false">INDEX(Products!$B$2:$B$71,MATCH($C161,Products!$A$2:$A$71,0))</f>
        <v>Cum Gift</v>
      </c>
      <c r="L161" s="46" t="str">
        <f aca="false">INDEX(Products!$C$2:$C$71,MATCH($C161,Products!$A$2:$A$71,0))</f>
        <v>Plants</v>
      </c>
      <c r="M161" s="84" t="n">
        <f aca="false">INDEX(Products!$D$2:$D$71,MATCH($C161,Products!$A$2:$A$71,0))</f>
        <v>203</v>
      </c>
      <c r="N161" s="84" t="n">
        <f aca="false">$D161*$M161</f>
        <v>609</v>
      </c>
      <c r="O161" s="46" t="str">
        <f aca="false">INDEX(Customers!$C$2:$C$101,MATCH($B161,Customers!$A$2:$A$101,0))</f>
        <v>Davanagere</v>
      </c>
      <c r="P161" s="46" t="str">
        <f aca="false">INDEX(Customers!$F$2:$F$101,MATCH($B161,Customers!$A$2:$A$101,0))</f>
        <v>Male</v>
      </c>
      <c r="Q161" s="46" t="str">
        <f aca="false">INDEX(Customers!$B$2:$B$101,MATCH($B161,Customers!$A$2:$A$101,0))</f>
        <v>Aradhya Kumar</v>
      </c>
      <c r="R161" s="46" t="n">
        <f aca="false">MONTH($E161)</f>
        <v>6</v>
      </c>
      <c r="S161" s="46" t="str">
        <f aca="false">INDEX(Lists!$B$2:$B$13,$R161)</f>
        <v>June</v>
      </c>
      <c r="T161" s="46" t="n">
        <f aca="false">HOUR($F161)</f>
        <v>0</v>
      </c>
      <c r="U161" s="46" t="n">
        <f aca="false">WEEKDAY($E161,2)</f>
        <v>5</v>
      </c>
      <c r="V161" s="46" t="str">
        <f aca="false">INDEX(Lists!$F$2:$F$8,$U161)</f>
        <v>Friday</v>
      </c>
      <c r="W161" s="85" t="n">
        <f aca="false">($G161+$H161)-($E161+$F161)</f>
        <v>8.30835648148148</v>
      </c>
      <c r="X161" s="46" t="str">
        <f aca="false">LOOKUP($M161,Lists!$G$2:$G$5,Lists!$H$2:$H$5)</f>
        <v>₹0 - 499</v>
      </c>
      <c r="Y161" s="46" t="str">
        <f aca="false">LOOKUP($W161,Lists!$I$2:$I$7,Lists!$J$2:$J$7)</f>
        <v>8 - 10 days</v>
      </c>
    </row>
    <row r="162" customFormat="false" ht="15" hidden="false" customHeight="false" outlineLevel="0" collapsed="false">
      <c r="A162" s="7" t="n">
        <v>161</v>
      </c>
      <c r="B162" s="7" t="s">
        <v>266</v>
      </c>
      <c r="C162" s="7" t="n">
        <v>58</v>
      </c>
      <c r="D162" s="7" t="n">
        <v>3</v>
      </c>
      <c r="E162" s="77" t="n">
        <v>44970</v>
      </c>
      <c r="F162" s="78" t="n">
        <v>0.130625</v>
      </c>
      <c r="G162" s="77" t="n">
        <v>44971</v>
      </c>
      <c r="H162" s="78" t="n">
        <v>0.966678240740741</v>
      </c>
      <c r="I162" s="7" t="s">
        <v>449</v>
      </c>
      <c r="J162" s="7" t="s">
        <v>179</v>
      </c>
      <c r="K162" s="79" t="str">
        <f aca="false">INDEX(Products!$B$2:$B$71,MATCH($C162,Products!$A$2:$A$71,0))</f>
        <v>Sed Pack</v>
      </c>
      <c r="L162" s="79" t="str">
        <f aca="false">INDEX(Products!$C$2:$C$71,MATCH($C162,Products!$A$2:$A$71,0))</f>
        <v>Cake</v>
      </c>
      <c r="M162" s="80" t="n">
        <f aca="false">INDEX(Products!$D$2:$D$71,MATCH($C162,Products!$A$2:$A$71,0))</f>
        <v>1492</v>
      </c>
      <c r="N162" s="80" t="n">
        <f aca="false">$D162*$M162</f>
        <v>4476</v>
      </c>
      <c r="O162" s="79" t="str">
        <f aca="false">INDEX(Customers!$C$2:$C$101,MATCH($B162,Customers!$A$2:$A$101,0))</f>
        <v>Bidhannagar</v>
      </c>
      <c r="P162" s="79" t="str">
        <f aca="false">INDEX(Customers!$F$2:$F$101,MATCH($B162,Customers!$A$2:$A$101,0))</f>
        <v>Female</v>
      </c>
      <c r="Q162" s="79" t="str">
        <f aca="false">INDEX(Customers!$B$2:$B$101,MATCH($B162,Customers!$A$2:$A$101,0))</f>
        <v>Umang Ahuja</v>
      </c>
      <c r="R162" s="79" t="n">
        <f aca="false">MONTH($E162)</f>
        <v>2</v>
      </c>
      <c r="S162" s="79" t="str">
        <f aca="false">INDEX(Lists!$B$2:$B$13,$R162)</f>
        <v>February</v>
      </c>
      <c r="T162" s="79" t="n">
        <f aca="false">HOUR($F162)</f>
        <v>3</v>
      </c>
      <c r="U162" s="79" t="n">
        <f aca="false">WEEKDAY($E162,2)</f>
        <v>1</v>
      </c>
      <c r="V162" s="79" t="str">
        <f aca="false">INDEX(Lists!$F$2:$F$8,$U162)</f>
        <v>Monday</v>
      </c>
      <c r="W162" s="81" t="n">
        <f aca="false">($G162+$H162)-($E162+$F162)</f>
        <v>1.83605324074074</v>
      </c>
      <c r="X162" s="79" t="str">
        <f aca="false">LOOKUP($M162,Lists!$G$2:$G$5,Lists!$H$2:$H$5)</f>
        <v>₹1,000 - 1,499</v>
      </c>
      <c r="Y162" s="79" t="str">
        <f aca="false">LOOKUP($W162,Lists!$I$2:$I$7,Lists!$J$2:$J$7)</f>
        <v>0 - 2 days</v>
      </c>
    </row>
    <row r="163" customFormat="false" ht="15" hidden="false" customHeight="false" outlineLevel="0" collapsed="false">
      <c r="A163" s="2" t="n">
        <v>162</v>
      </c>
      <c r="B163" s="2" t="s">
        <v>254</v>
      </c>
      <c r="C163" s="2" t="n">
        <v>55</v>
      </c>
      <c r="D163" s="2" t="n">
        <v>3</v>
      </c>
      <c r="E163" s="82" t="n">
        <v>45165</v>
      </c>
      <c r="F163" s="83" t="n">
        <v>0.260081018518519</v>
      </c>
      <c r="G163" s="82" t="n">
        <v>45174</v>
      </c>
      <c r="H163" s="83" t="n">
        <v>0.662326388888889</v>
      </c>
      <c r="I163" s="2" t="s">
        <v>199</v>
      </c>
      <c r="J163" s="2" t="s">
        <v>40</v>
      </c>
      <c r="K163" s="46" t="str">
        <f aca="false">INDEX(Products!$B$2:$B$71,MATCH($C163,Products!$A$2:$A$71,0))</f>
        <v>Dolores Gift</v>
      </c>
      <c r="L163" s="46" t="str">
        <f aca="false">INDEX(Products!$C$2:$C$71,MATCH($C163,Products!$A$2:$A$71,0))</f>
        <v>Soft Toys</v>
      </c>
      <c r="M163" s="84" t="n">
        <f aca="false">INDEX(Products!$D$2:$D$71,MATCH($C163,Products!$A$2:$A$71,0))</f>
        <v>1904</v>
      </c>
      <c r="N163" s="84" t="n">
        <f aca="false">$D163*$M163</f>
        <v>5712</v>
      </c>
      <c r="O163" s="46" t="str">
        <f aca="false">INDEX(Customers!$C$2:$C$101,MATCH($B163,Customers!$A$2:$A$101,0))</f>
        <v>Imphal</v>
      </c>
      <c r="P163" s="46" t="str">
        <f aca="false">INDEX(Customers!$F$2:$F$101,MATCH($B163,Customers!$A$2:$A$101,0))</f>
        <v>Female</v>
      </c>
      <c r="Q163" s="46" t="str">
        <f aca="false">INDEX(Customers!$B$2:$B$101,MATCH($B163,Customers!$A$2:$A$101,0))</f>
        <v>Chirag Srinivas</v>
      </c>
      <c r="R163" s="46" t="n">
        <f aca="false">MONTH($E163)</f>
        <v>8</v>
      </c>
      <c r="S163" s="46" t="str">
        <f aca="false">INDEX(Lists!$B$2:$B$13,$R163)</f>
        <v>August</v>
      </c>
      <c r="T163" s="46" t="n">
        <f aca="false">HOUR($F163)</f>
        <v>6</v>
      </c>
      <c r="U163" s="46" t="n">
        <f aca="false">WEEKDAY($E163,2)</f>
        <v>7</v>
      </c>
      <c r="V163" s="46" t="str">
        <f aca="false">INDEX(Lists!$F$2:$F$8,$U163)</f>
        <v>Sunday</v>
      </c>
      <c r="W163" s="85" t="n">
        <f aca="false">($G163+$H163)-($E163+$F163)</f>
        <v>9.40224537037037</v>
      </c>
      <c r="X163" s="46" t="str">
        <f aca="false">LOOKUP($M163,Lists!$G$2:$G$5,Lists!$H$2:$H$5)</f>
        <v>₹1,500 - 2,000</v>
      </c>
      <c r="Y163" s="46" t="str">
        <f aca="false">LOOKUP($W163,Lists!$I$2:$I$7,Lists!$J$2:$J$7)</f>
        <v>8 - 10 days</v>
      </c>
    </row>
    <row r="164" customFormat="false" ht="15" hidden="false" customHeight="false" outlineLevel="0" collapsed="false">
      <c r="A164" s="7" t="n">
        <v>163</v>
      </c>
      <c r="B164" s="7" t="s">
        <v>347</v>
      </c>
      <c r="C164" s="7" t="n">
        <v>54</v>
      </c>
      <c r="D164" s="7" t="n">
        <v>4</v>
      </c>
      <c r="E164" s="77" t="n">
        <v>44974</v>
      </c>
      <c r="F164" s="78" t="n">
        <v>0.82650462962963</v>
      </c>
      <c r="G164" s="77" t="n">
        <v>44982</v>
      </c>
      <c r="H164" s="78" t="n">
        <v>0.430740740740741</v>
      </c>
      <c r="I164" s="7" t="s">
        <v>599</v>
      </c>
      <c r="J164" s="7" t="s">
        <v>168</v>
      </c>
      <c r="K164" s="79" t="str">
        <f aca="false">INDEX(Products!$B$2:$B$71,MATCH($C164,Products!$A$2:$A$71,0))</f>
        <v>Occaecati Gift</v>
      </c>
      <c r="L164" s="79" t="str">
        <f aca="false">INDEX(Products!$C$2:$C$71,MATCH($C164,Products!$A$2:$A$71,0))</f>
        <v>Cake</v>
      </c>
      <c r="M164" s="80" t="n">
        <f aca="false">INDEX(Products!$D$2:$D$71,MATCH($C164,Products!$A$2:$A$71,0))</f>
        <v>1236</v>
      </c>
      <c r="N164" s="80" t="n">
        <f aca="false">$D164*$M164</f>
        <v>4944</v>
      </c>
      <c r="O164" s="79" t="str">
        <f aca="false">INDEX(Customers!$C$2:$C$101,MATCH($B164,Customers!$A$2:$A$101,0))</f>
        <v>Raurkela Industrial Township</v>
      </c>
      <c r="P164" s="79" t="str">
        <f aca="false">INDEX(Customers!$F$2:$F$101,MATCH($B164,Customers!$A$2:$A$101,0))</f>
        <v>Male</v>
      </c>
      <c r="Q164" s="79" t="str">
        <f aca="false">INDEX(Customers!$B$2:$B$101,MATCH($B164,Customers!$A$2:$A$101,0))</f>
        <v>Aaryahi Sodhi</v>
      </c>
      <c r="R164" s="79" t="n">
        <f aca="false">MONTH($E164)</f>
        <v>2</v>
      </c>
      <c r="S164" s="79" t="str">
        <f aca="false">INDEX(Lists!$B$2:$B$13,$R164)</f>
        <v>February</v>
      </c>
      <c r="T164" s="79" t="n">
        <f aca="false">HOUR($F164)</f>
        <v>19</v>
      </c>
      <c r="U164" s="79" t="n">
        <f aca="false">WEEKDAY($E164,2)</f>
        <v>5</v>
      </c>
      <c r="V164" s="79" t="str">
        <f aca="false">INDEX(Lists!$F$2:$F$8,$U164)</f>
        <v>Friday</v>
      </c>
      <c r="W164" s="81" t="n">
        <f aca="false">($G164+$H164)-($E164+$F164)</f>
        <v>7.60423611111111</v>
      </c>
      <c r="X164" s="79" t="str">
        <f aca="false">LOOKUP($M164,Lists!$G$2:$G$5,Lists!$H$2:$H$5)</f>
        <v>₹1,000 - 1,499</v>
      </c>
      <c r="Y164" s="79" t="str">
        <f aca="false">LOOKUP($W164,Lists!$I$2:$I$7,Lists!$J$2:$J$7)</f>
        <v>6 - 8 days</v>
      </c>
    </row>
    <row r="165" customFormat="false" ht="15" hidden="false" customHeight="false" outlineLevel="0" collapsed="false">
      <c r="A165" s="2" t="n">
        <v>164</v>
      </c>
      <c r="B165" s="2" t="s">
        <v>291</v>
      </c>
      <c r="C165" s="2" t="n">
        <v>14</v>
      </c>
      <c r="D165" s="2" t="n">
        <v>5</v>
      </c>
      <c r="E165" s="82" t="n">
        <v>45041</v>
      </c>
      <c r="F165" s="83" t="n">
        <v>0.0861342592592593</v>
      </c>
      <c r="G165" s="82" t="n">
        <v>45043</v>
      </c>
      <c r="H165" s="83" t="n">
        <v>0.492743055555556</v>
      </c>
      <c r="I165" s="2" t="s">
        <v>217</v>
      </c>
      <c r="J165" s="2" t="s">
        <v>31</v>
      </c>
      <c r="K165" s="46" t="str">
        <f aca="false">INDEX(Products!$B$2:$B$71,MATCH($C165,Products!$A$2:$A$71,0))</f>
        <v>Deserunt Box</v>
      </c>
      <c r="L165" s="46" t="str">
        <f aca="false">INDEX(Products!$C$2:$C$71,MATCH($C165,Products!$A$2:$A$71,0))</f>
        <v>Colors</v>
      </c>
      <c r="M165" s="84" t="n">
        <f aca="false">INDEX(Products!$D$2:$D$71,MATCH($C165,Products!$A$2:$A$71,0))</f>
        <v>1915</v>
      </c>
      <c r="N165" s="84" t="n">
        <f aca="false">$D165*$M165</f>
        <v>9575</v>
      </c>
      <c r="O165" s="46" t="str">
        <f aca="false">INDEX(Customers!$C$2:$C$101,MATCH($B165,Customers!$A$2:$A$101,0))</f>
        <v>Jamnagar</v>
      </c>
      <c r="P165" s="46" t="str">
        <f aca="false">INDEX(Customers!$F$2:$F$101,MATCH($B165,Customers!$A$2:$A$101,0))</f>
        <v>Male</v>
      </c>
      <c r="Q165" s="46" t="str">
        <f aca="false">INDEX(Customers!$B$2:$B$101,MATCH($B165,Customers!$A$2:$A$101,0))</f>
        <v>Arhaan Ahluwalia</v>
      </c>
      <c r="R165" s="46" t="n">
        <f aca="false">MONTH($E165)</f>
        <v>4</v>
      </c>
      <c r="S165" s="46" t="str">
        <f aca="false">INDEX(Lists!$B$2:$B$13,$R165)</f>
        <v>April</v>
      </c>
      <c r="T165" s="46" t="n">
        <f aca="false">HOUR($F165)</f>
        <v>2</v>
      </c>
      <c r="U165" s="46" t="n">
        <f aca="false">WEEKDAY($E165,2)</f>
        <v>2</v>
      </c>
      <c r="V165" s="46" t="str">
        <f aca="false">INDEX(Lists!$F$2:$F$8,$U165)</f>
        <v>Tuesday</v>
      </c>
      <c r="W165" s="85" t="n">
        <f aca="false">($G165+$H165)-($E165+$F165)</f>
        <v>2.4066087962963</v>
      </c>
      <c r="X165" s="46" t="str">
        <f aca="false">LOOKUP($M165,Lists!$G$2:$G$5,Lists!$H$2:$H$5)</f>
        <v>₹1,500 - 2,000</v>
      </c>
      <c r="Y165" s="46" t="str">
        <f aca="false">LOOKUP($W165,Lists!$I$2:$I$7,Lists!$J$2:$J$7)</f>
        <v>2 - 4 days</v>
      </c>
    </row>
    <row r="166" customFormat="false" ht="15" hidden="false" customHeight="false" outlineLevel="0" collapsed="false">
      <c r="A166" s="7" t="n">
        <v>165</v>
      </c>
      <c r="B166" s="7" t="s">
        <v>278</v>
      </c>
      <c r="C166" s="7" t="n">
        <v>40</v>
      </c>
      <c r="D166" s="7" t="n">
        <v>5</v>
      </c>
      <c r="E166" s="77" t="n">
        <v>45144</v>
      </c>
      <c r="F166" s="78" t="n">
        <v>0.549490740740741</v>
      </c>
      <c r="G166" s="77" t="n">
        <v>45148</v>
      </c>
      <c r="H166" s="78" t="n">
        <v>0.359189814814815</v>
      </c>
      <c r="I166" s="7" t="s">
        <v>473</v>
      </c>
      <c r="J166" s="7" t="s">
        <v>168</v>
      </c>
      <c r="K166" s="79" t="str">
        <f aca="false">INDEX(Products!$B$2:$B$71,MATCH($C166,Products!$A$2:$A$71,0))</f>
        <v>Provident Pack</v>
      </c>
      <c r="L166" s="79" t="str">
        <f aca="false">INDEX(Products!$C$2:$C$71,MATCH($C166,Products!$A$2:$A$71,0))</f>
        <v>Sweets</v>
      </c>
      <c r="M166" s="80" t="n">
        <f aca="false">INDEX(Products!$D$2:$D$71,MATCH($C166,Products!$A$2:$A$71,0))</f>
        <v>1923</v>
      </c>
      <c r="N166" s="80" t="n">
        <f aca="false">$D166*$M166</f>
        <v>9615</v>
      </c>
      <c r="O166" s="79" t="str">
        <f aca="false">INDEX(Customers!$C$2:$C$101,MATCH($B166,Customers!$A$2:$A$101,0))</f>
        <v>Guntakal</v>
      </c>
      <c r="P166" s="79" t="str">
        <f aca="false">INDEX(Customers!$F$2:$F$101,MATCH($B166,Customers!$A$2:$A$101,0))</f>
        <v>Male</v>
      </c>
      <c r="Q166" s="79" t="str">
        <f aca="false">INDEX(Customers!$B$2:$B$101,MATCH($B166,Customers!$A$2:$A$101,0))</f>
        <v>Charvi Kanda</v>
      </c>
      <c r="R166" s="79" t="n">
        <f aca="false">MONTH($E166)</f>
        <v>8</v>
      </c>
      <c r="S166" s="79" t="str">
        <f aca="false">INDEX(Lists!$B$2:$B$13,$R166)</f>
        <v>August</v>
      </c>
      <c r="T166" s="79" t="n">
        <f aca="false">HOUR($F166)</f>
        <v>13</v>
      </c>
      <c r="U166" s="79" t="n">
        <f aca="false">WEEKDAY($E166,2)</f>
        <v>7</v>
      </c>
      <c r="V166" s="79" t="str">
        <f aca="false">INDEX(Lists!$F$2:$F$8,$U166)</f>
        <v>Sunday</v>
      </c>
      <c r="W166" s="81" t="n">
        <f aca="false">($G166+$H166)-($E166+$F166)</f>
        <v>3.80969907407407</v>
      </c>
      <c r="X166" s="79" t="str">
        <f aca="false">LOOKUP($M166,Lists!$G$2:$G$5,Lists!$H$2:$H$5)</f>
        <v>₹1,500 - 2,000</v>
      </c>
      <c r="Y166" s="79" t="str">
        <f aca="false">LOOKUP($W166,Lists!$I$2:$I$7,Lists!$J$2:$J$7)</f>
        <v>2 - 4 days</v>
      </c>
    </row>
    <row r="167" customFormat="false" ht="15" hidden="false" customHeight="false" outlineLevel="0" collapsed="false">
      <c r="A167" s="2" t="n">
        <v>166</v>
      </c>
      <c r="B167" s="2" t="s">
        <v>209</v>
      </c>
      <c r="C167" s="2" t="n">
        <v>4</v>
      </c>
      <c r="D167" s="2" t="n">
        <v>3</v>
      </c>
      <c r="E167" s="82" t="n">
        <v>45237</v>
      </c>
      <c r="F167" s="83" t="n">
        <v>0.96212962962963</v>
      </c>
      <c r="G167" s="82" t="n">
        <v>45240</v>
      </c>
      <c r="H167" s="83" t="n">
        <v>0.258865740740741</v>
      </c>
      <c r="I167" s="2" t="s">
        <v>476</v>
      </c>
      <c r="J167" s="2" t="s">
        <v>32</v>
      </c>
      <c r="K167" s="46" t="str">
        <f aca="false">INDEX(Products!$B$2:$B$71,MATCH($C167,Products!$A$2:$A$71,0))</f>
        <v>Accusantium Set</v>
      </c>
      <c r="L167" s="46" t="str">
        <f aca="false">INDEX(Products!$C$2:$C$71,MATCH($C167,Products!$A$2:$A$71,0))</f>
        <v>Sweets</v>
      </c>
      <c r="M167" s="84" t="n">
        <f aca="false">INDEX(Products!$D$2:$D$71,MATCH($C167,Products!$A$2:$A$71,0))</f>
        <v>1199</v>
      </c>
      <c r="N167" s="84" t="n">
        <f aca="false">$D167*$M167</f>
        <v>3597</v>
      </c>
      <c r="O167" s="46" t="str">
        <f aca="false">INDEX(Customers!$C$2:$C$101,MATCH($B167,Customers!$A$2:$A$101,0))</f>
        <v>Vellore</v>
      </c>
      <c r="P167" s="46" t="str">
        <f aca="false">INDEX(Customers!$F$2:$F$101,MATCH($B167,Customers!$A$2:$A$101,0))</f>
        <v>Male</v>
      </c>
      <c r="Q167" s="46" t="str">
        <f aca="false">INDEX(Customers!$B$2:$B$101,MATCH($B167,Customers!$A$2:$A$101,0))</f>
        <v>Ira Sarna</v>
      </c>
      <c r="R167" s="46" t="n">
        <f aca="false">MONTH($E167)</f>
        <v>11</v>
      </c>
      <c r="S167" s="46" t="str">
        <f aca="false">INDEX(Lists!$B$2:$B$13,$R167)</f>
        <v>November</v>
      </c>
      <c r="T167" s="46" t="n">
        <f aca="false">HOUR($F167)</f>
        <v>23</v>
      </c>
      <c r="U167" s="46" t="n">
        <f aca="false">WEEKDAY($E167,2)</f>
        <v>2</v>
      </c>
      <c r="V167" s="46" t="str">
        <f aca="false">INDEX(Lists!$F$2:$F$8,$U167)</f>
        <v>Tuesday</v>
      </c>
      <c r="W167" s="85" t="n">
        <f aca="false">($G167+$H167)-($E167+$F167)</f>
        <v>2.29673611111111</v>
      </c>
      <c r="X167" s="46" t="str">
        <f aca="false">LOOKUP($M167,Lists!$G$2:$G$5,Lists!$H$2:$H$5)</f>
        <v>₹1,000 - 1,499</v>
      </c>
      <c r="Y167" s="46" t="str">
        <f aca="false">LOOKUP($W167,Lists!$I$2:$I$7,Lists!$J$2:$J$7)</f>
        <v>2 - 4 days</v>
      </c>
    </row>
    <row r="168" customFormat="false" ht="15" hidden="false" customHeight="false" outlineLevel="0" collapsed="false">
      <c r="A168" s="7" t="n">
        <v>167</v>
      </c>
      <c r="B168" s="7" t="s">
        <v>174</v>
      </c>
      <c r="C168" s="7" t="n">
        <v>37</v>
      </c>
      <c r="D168" s="7" t="n">
        <v>4</v>
      </c>
      <c r="E168" s="77" t="n">
        <v>45234</v>
      </c>
      <c r="F168" s="78" t="n">
        <v>0.0603125</v>
      </c>
      <c r="G168" s="77" t="n">
        <v>45237</v>
      </c>
      <c r="H168" s="78" t="n">
        <v>0.636423611111111</v>
      </c>
      <c r="I168" s="7" t="s">
        <v>505</v>
      </c>
      <c r="J168" s="7" t="s">
        <v>32</v>
      </c>
      <c r="K168" s="79" t="str">
        <f aca="false">INDEX(Products!$B$2:$B$71,MATCH($C168,Products!$A$2:$A$71,0))</f>
        <v>Officiis Pack</v>
      </c>
      <c r="L168" s="79" t="str">
        <f aca="false">INDEX(Products!$C$2:$C$71,MATCH($C168,Products!$A$2:$A$71,0))</f>
        <v>Colors</v>
      </c>
      <c r="M168" s="80" t="n">
        <f aca="false">INDEX(Products!$D$2:$D$71,MATCH($C168,Products!$A$2:$A$71,0))</f>
        <v>1428</v>
      </c>
      <c r="N168" s="80" t="n">
        <f aca="false">$D168*$M168</f>
        <v>5712</v>
      </c>
      <c r="O168" s="79" t="str">
        <f aca="false">INDEX(Customers!$C$2:$C$101,MATCH($B168,Customers!$A$2:$A$101,0))</f>
        <v>Danapur</v>
      </c>
      <c r="P168" s="79" t="str">
        <f aca="false">INDEX(Customers!$F$2:$F$101,MATCH($B168,Customers!$A$2:$A$101,0))</f>
        <v>Male</v>
      </c>
      <c r="Q168" s="79" t="str">
        <f aca="false">INDEX(Customers!$B$2:$B$101,MATCH($B168,Customers!$A$2:$A$101,0))</f>
        <v>Amira Sengupta</v>
      </c>
      <c r="R168" s="79" t="n">
        <f aca="false">MONTH($E168)</f>
        <v>11</v>
      </c>
      <c r="S168" s="79" t="str">
        <f aca="false">INDEX(Lists!$B$2:$B$13,$R168)</f>
        <v>November</v>
      </c>
      <c r="T168" s="79" t="n">
        <f aca="false">HOUR($F168)</f>
        <v>1</v>
      </c>
      <c r="U168" s="79" t="n">
        <f aca="false">WEEKDAY($E168,2)</f>
        <v>6</v>
      </c>
      <c r="V168" s="79" t="str">
        <f aca="false">INDEX(Lists!$F$2:$F$8,$U168)</f>
        <v>Saturday</v>
      </c>
      <c r="W168" s="81" t="n">
        <f aca="false">($G168+$H168)-($E168+$F168)</f>
        <v>3.57611111111111</v>
      </c>
      <c r="X168" s="79" t="str">
        <f aca="false">LOOKUP($M168,Lists!$G$2:$G$5,Lists!$H$2:$H$5)</f>
        <v>₹1,000 - 1,499</v>
      </c>
      <c r="Y168" s="79" t="str">
        <f aca="false">LOOKUP($W168,Lists!$I$2:$I$7,Lists!$J$2:$J$7)</f>
        <v>2 - 4 days</v>
      </c>
    </row>
    <row r="169" customFormat="false" ht="15" hidden="false" customHeight="false" outlineLevel="0" collapsed="false">
      <c r="A169" s="2" t="n">
        <v>168</v>
      </c>
      <c r="B169" s="2" t="s">
        <v>372</v>
      </c>
      <c r="C169" s="2" t="n">
        <v>35</v>
      </c>
      <c r="D169" s="2" t="n">
        <v>2</v>
      </c>
      <c r="E169" s="82" t="n">
        <v>44989</v>
      </c>
      <c r="F169" s="83" t="n">
        <v>0.650034722222222</v>
      </c>
      <c r="G169" s="82" t="n">
        <v>44992</v>
      </c>
      <c r="H169" s="83" t="n">
        <v>0.460208333333333</v>
      </c>
      <c r="I169" s="2" t="s">
        <v>268</v>
      </c>
      <c r="J169" s="2" t="s">
        <v>33</v>
      </c>
      <c r="K169" s="46" t="str">
        <f aca="false">INDEX(Products!$B$2:$B$71,MATCH($C169,Products!$A$2:$A$71,0))</f>
        <v>Nam Gift</v>
      </c>
      <c r="L169" s="46" t="str">
        <f aca="false">INDEX(Products!$C$2:$C$71,MATCH($C169,Products!$A$2:$A$71,0))</f>
        <v>Colors</v>
      </c>
      <c r="M169" s="84" t="n">
        <f aca="false">INDEX(Products!$D$2:$D$71,MATCH($C169,Products!$A$2:$A$71,0))</f>
        <v>1865</v>
      </c>
      <c r="N169" s="84" t="n">
        <f aca="false">$D169*$M169</f>
        <v>3730</v>
      </c>
      <c r="O169" s="46" t="str">
        <f aca="false">INDEX(Customers!$C$2:$C$101,MATCH($B169,Customers!$A$2:$A$101,0))</f>
        <v>Dibrugarh</v>
      </c>
      <c r="P169" s="46" t="str">
        <f aca="false">INDEX(Customers!$F$2:$F$101,MATCH($B169,Customers!$A$2:$A$101,0))</f>
        <v>Male</v>
      </c>
      <c r="Q169" s="46" t="str">
        <f aca="false">INDEX(Customers!$B$2:$B$101,MATCH($B169,Customers!$A$2:$A$101,0))</f>
        <v>Zoya Mani</v>
      </c>
      <c r="R169" s="46" t="n">
        <f aca="false">MONTH($E169)</f>
        <v>3</v>
      </c>
      <c r="S169" s="46" t="str">
        <f aca="false">INDEX(Lists!$B$2:$B$13,$R169)</f>
        <v>March</v>
      </c>
      <c r="T169" s="46" t="n">
        <f aca="false">HOUR($F169)</f>
        <v>15</v>
      </c>
      <c r="U169" s="46" t="n">
        <f aca="false">WEEKDAY($E169,2)</f>
        <v>6</v>
      </c>
      <c r="V169" s="46" t="str">
        <f aca="false">INDEX(Lists!$F$2:$F$8,$U169)</f>
        <v>Saturday</v>
      </c>
      <c r="W169" s="85" t="n">
        <f aca="false">($G169+$H169)-($E169+$F169)</f>
        <v>2.81017361111111</v>
      </c>
      <c r="X169" s="46" t="str">
        <f aca="false">LOOKUP($M169,Lists!$G$2:$G$5,Lists!$H$2:$H$5)</f>
        <v>₹1,500 - 2,000</v>
      </c>
      <c r="Y169" s="46" t="str">
        <f aca="false">LOOKUP($W169,Lists!$I$2:$I$7,Lists!$J$2:$J$7)</f>
        <v>2 - 4 days</v>
      </c>
    </row>
    <row r="170" customFormat="false" ht="15" hidden="false" customHeight="false" outlineLevel="0" collapsed="false">
      <c r="A170" s="7" t="n">
        <v>169</v>
      </c>
      <c r="B170" s="7" t="s">
        <v>257</v>
      </c>
      <c r="C170" s="7" t="n">
        <v>3</v>
      </c>
      <c r="D170" s="7" t="n">
        <v>2</v>
      </c>
      <c r="E170" s="77" t="n">
        <v>44963</v>
      </c>
      <c r="F170" s="78" t="n">
        <v>0.436770833333333</v>
      </c>
      <c r="G170" s="77" t="n">
        <v>44973</v>
      </c>
      <c r="H170" s="78" t="n">
        <v>0.0599421296296296</v>
      </c>
      <c r="I170" s="7" t="s">
        <v>565</v>
      </c>
      <c r="J170" s="7" t="s">
        <v>179</v>
      </c>
      <c r="K170" s="79" t="str">
        <f aca="false">INDEX(Products!$B$2:$B$71,MATCH($C170,Products!$A$2:$A$71,0))</f>
        <v>Eius Gift</v>
      </c>
      <c r="L170" s="79" t="str">
        <f aca="false">INDEX(Products!$C$2:$C$71,MATCH($C170,Products!$A$2:$A$71,0))</f>
        <v>Colors</v>
      </c>
      <c r="M170" s="80" t="n">
        <f aca="false">INDEX(Products!$D$2:$D$71,MATCH($C170,Products!$A$2:$A$71,0))</f>
        <v>1534</v>
      </c>
      <c r="N170" s="80" t="n">
        <f aca="false">$D170*$M170</f>
        <v>3068</v>
      </c>
      <c r="O170" s="79" t="str">
        <f aca="false">INDEX(Customers!$C$2:$C$101,MATCH($B170,Customers!$A$2:$A$101,0))</f>
        <v>Kota</v>
      </c>
      <c r="P170" s="79" t="str">
        <f aca="false">INDEX(Customers!$F$2:$F$101,MATCH($B170,Customers!$A$2:$A$101,0))</f>
        <v>Female</v>
      </c>
      <c r="Q170" s="79" t="str">
        <f aca="false">INDEX(Customers!$B$2:$B$101,MATCH($B170,Customers!$A$2:$A$101,0))</f>
        <v>Aradhya Batta</v>
      </c>
      <c r="R170" s="79" t="n">
        <f aca="false">MONTH($E170)</f>
        <v>2</v>
      </c>
      <c r="S170" s="79" t="str">
        <f aca="false">INDEX(Lists!$B$2:$B$13,$R170)</f>
        <v>February</v>
      </c>
      <c r="T170" s="79" t="n">
        <f aca="false">HOUR($F170)</f>
        <v>10</v>
      </c>
      <c r="U170" s="79" t="n">
        <f aca="false">WEEKDAY($E170,2)</f>
        <v>1</v>
      </c>
      <c r="V170" s="79" t="str">
        <f aca="false">INDEX(Lists!$F$2:$F$8,$U170)</f>
        <v>Monday</v>
      </c>
      <c r="W170" s="81" t="n">
        <f aca="false">($G170+$H170)-($E170+$F170)</f>
        <v>9.6231712962963</v>
      </c>
      <c r="X170" s="79" t="str">
        <f aca="false">LOOKUP($M170,Lists!$G$2:$G$5,Lists!$H$2:$H$5)</f>
        <v>₹1,500 - 2,000</v>
      </c>
      <c r="Y170" s="79" t="str">
        <f aca="false">LOOKUP($W170,Lists!$I$2:$I$7,Lists!$J$2:$J$7)</f>
        <v>8 - 10 days</v>
      </c>
    </row>
    <row r="171" customFormat="false" ht="15" hidden="false" customHeight="false" outlineLevel="0" collapsed="false">
      <c r="A171" s="2" t="n">
        <v>170</v>
      </c>
      <c r="B171" s="2" t="s">
        <v>224</v>
      </c>
      <c r="C171" s="2" t="n">
        <v>32</v>
      </c>
      <c r="D171" s="2" t="n">
        <v>2</v>
      </c>
      <c r="E171" s="82" t="n">
        <v>45006</v>
      </c>
      <c r="F171" s="83" t="n">
        <v>0.498761574074074</v>
      </c>
      <c r="G171" s="82" t="n">
        <v>45012</v>
      </c>
      <c r="H171" s="83" t="n">
        <v>0.218136574074074</v>
      </c>
      <c r="I171" s="2" t="s">
        <v>447</v>
      </c>
      <c r="J171" s="2" t="s">
        <v>31</v>
      </c>
      <c r="K171" s="46" t="str">
        <f aca="false">INDEX(Products!$B$2:$B$71,MATCH($C171,Products!$A$2:$A$71,0))</f>
        <v>Fuga Set</v>
      </c>
      <c r="L171" s="46" t="str">
        <f aca="false">INDEX(Products!$C$2:$C$71,MATCH($C171,Products!$A$2:$A$71,0))</f>
        <v>Soft Toys</v>
      </c>
      <c r="M171" s="84" t="n">
        <f aca="false">INDEX(Products!$D$2:$D$71,MATCH($C171,Products!$A$2:$A$71,0))</f>
        <v>1792</v>
      </c>
      <c r="N171" s="84" t="n">
        <f aca="false">$D171*$M171</f>
        <v>3584</v>
      </c>
      <c r="O171" s="46" t="str">
        <f aca="false">INDEX(Customers!$C$2:$C$101,MATCH($B171,Customers!$A$2:$A$101,0))</f>
        <v>Pallavaram</v>
      </c>
      <c r="P171" s="46" t="str">
        <f aca="false">INDEX(Customers!$F$2:$F$101,MATCH($B171,Customers!$A$2:$A$101,0))</f>
        <v>Female</v>
      </c>
      <c r="Q171" s="46" t="str">
        <f aca="false">INDEX(Customers!$B$2:$B$101,MATCH($B171,Customers!$A$2:$A$101,0))</f>
        <v>Hazel Mangat</v>
      </c>
      <c r="R171" s="46" t="n">
        <f aca="false">MONTH($E171)</f>
        <v>3</v>
      </c>
      <c r="S171" s="46" t="str">
        <f aca="false">INDEX(Lists!$B$2:$B$13,$R171)</f>
        <v>March</v>
      </c>
      <c r="T171" s="46" t="n">
        <f aca="false">HOUR($F171)</f>
        <v>11</v>
      </c>
      <c r="U171" s="46" t="n">
        <f aca="false">WEEKDAY($E171,2)</f>
        <v>2</v>
      </c>
      <c r="V171" s="46" t="str">
        <f aca="false">INDEX(Lists!$F$2:$F$8,$U171)</f>
        <v>Tuesday</v>
      </c>
      <c r="W171" s="85" t="n">
        <f aca="false">($G171+$H171)-($E171+$F171)</f>
        <v>5.719375</v>
      </c>
      <c r="X171" s="46" t="str">
        <f aca="false">LOOKUP($M171,Lists!$G$2:$G$5,Lists!$H$2:$H$5)</f>
        <v>₹1,500 - 2,000</v>
      </c>
      <c r="Y171" s="46" t="str">
        <f aca="false">LOOKUP($W171,Lists!$I$2:$I$7,Lists!$J$2:$J$7)</f>
        <v>4 - 6 days</v>
      </c>
    </row>
    <row r="172" customFormat="false" ht="15" hidden="false" customHeight="false" outlineLevel="0" collapsed="false">
      <c r="A172" s="7" t="n">
        <v>171</v>
      </c>
      <c r="B172" s="7" t="s">
        <v>313</v>
      </c>
      <c r="C172" s="7" t="n">
        <v>54</v>
      </c>
      <c r="D172" s="7" t="n">
        <v>3</v>
      </c>
      <c r="E172" s="77" t="n">
        <v>45107</v>
      </c>
      <c r="F172" s="78" t="n">
        <v>0.491539351851852</v>
      </c>
      <c r="G172" s="77" t="n">
        <v>45115</v>
      </c>
      <c r="H172" s="78" t="n">
        <v>0.518819444444445</v>
      </c>
      <c r="I172" s="7" t="s">
        <v>595</v>
      </c>
      <c r="J172" s="7" t="s">
        <v>168</v>
      </c>
      <c r="K172" s="79" t="str">
        <f aca="false">INDEX(Products!$B$2:$B$71,MATCH($C172,Products!$A$2:$A$71,0))</f>
        <v>Occaecati Gift</v>
      </c>
      <c r="L172" s="79" t="str">
        <f aca="false">INDEX(Products!$C$2:$C$71,MATCH($C172,Products!$A$2:$A$71,0))</f>
        <v>Cake</v>
      </c>
      <c r="M172" s="80" t="n">
        <f aca="false">INDEX(Products!$D$2:$D$71,MATCH($C172,Products!$A$2:$A$71,0))</f>
        <v>1236</v>
      </c>
      <c r="N172" s="80" t="n">
        <f aca="false">$D172*$M172</f>
        <v>3708</v>
      </c>
      <c r="O172" s="79" t="str">
        <f aca="false">INDEX(Customers!$C$2:$C$101,MATCH($B172,Customers!$A$2:$A$101,0))</f>
        <v>Tiruppur</v>
      </c>
      <c r="P172" s="79" t="str">
        <f aca="false">INDEX(Customers!$F$2:$F$101,MATCH($B172,Customers!$A$2:$A$101,0))</f>
        <v>Male</v>
      </c>
      <c r="Q172" s="79" t="str">
        <f aca="false">INDEX(Customers!$B$2:$B$101,MATCH($B172,Customers!$A$2:$A$101,0))</f>
        <v>Purab Sheth</v>
      </c>
      <c r="R172" s="79" t="n">
        <f aca="false">MONTH($E172)</f>
        <v>6</v>
      </c>
      <c r="S172" s="79" t="str">
        <f aca="false">INDEX(Lists!$B$2:$B$13,$R172)</f>
        <v>June</v>
      </c>
      <c r="T172" s="79" t="n">
        <f aca="false">HOUR($F172)</f>
        <v>11</v>
      </c>
      <c r="U172" s="79" t="n">
        <f aca="false">WEEKDAY($E172,2)</f>
        <v>5</v>
      </c>
      <c r="V172" s="79" t="str">
        <f aca="false">INDEX(Lists!$F$2:$F$8,$U172)</f>
        <v>Friday</v>
      </c>
      <c r="W172" s="81" t="n">
        <f aca="false">($G172+$H172)-($E172+$F172)</f>
        <v>8.02728009259259</v>
      </c>
      <c r="X172" s="79" t="str">
        <f aca="false">LOOKUP($M172,Lists!$G$2:$G$5,Lists!$H$2:$H$5)</f>
        <v>₹1,000 - 1,499</v>
      </c>
      <c r="Y172" s="79" t="str">
        <f aca="false">LOOKUP($W172,Lists!$I$2:$I$7,Lists!$J$2:$J$7)</f>
        <v>8 - 10 days</v>
      </c>
    </row>
    <row r="173" customFormat="false" ht="15" hidden="false" customHeight="false" outlineLevel="0" collapsed="false">
      <c r="A173" s="2" t="n">
        <v>172</v>
      </c>
      <c r="B173" s="2" t="s">
        <v>311</v>
      </c>
      <c r="C173" s="2" t="n">
        <v>62</v>
      </c>
      <c r="D173" s="2" t="n">
        <v>4</v>
      </c>
      <c r="E173" s="82" t="n">
        <v>44988</v>
      </c>
      <c r="F173" s="83" t="n">
        <v>0.194490740740741</v>
      </c>
      <c r="G173" s="82" t="n">
        <v>44993</v>
      </c>
      <c r="H173" s="83" t="n">
        <v>0.217210648148148</v>
      </c>
      <c r="I173" s="2" t="s">
        <v>524</v>
      </c>
      <c r="J173" s="2" t="s">
        <v>33</v>
      </c>
      <c r="K173" s="46" t="str">
        <f aca="false">INDEX(Products!$B$2:$B$71,MATCH($C173,Products!$A$2:$A$71,0))</f>
        <v>Sed Set</v>
      </c>
      <c r="L173" s="46" t="str">
        <f aca="false">INDEX(Products!$C$2:$C$71,MATCH($C173,Products!$A$2:$A$71,0))</f>
        <v>Colors</v>
      </c>
      <c r="M173" s="84" t="n">
        <f aca="false">INDEX(Products!$D$2:$D$71,MATCH($C173,Products!$A$2:$A$71,0))</f>
        <v>1356</v>
      </c>
      <c r="N173" s="84" t="n">
        <f aca="false">$D173*$M173</f>
        <v>5424</v>
      </c>
      <c r="O173" s="46" t="str">
        <f aca="false">INDEX(Customers!$C$2:$C$101,MATCH($B173,Customers!$A$2:$A$101,0))</f>
        <v>Bhatpara</v>
      </c>
      <c r="P173" s="46" t="str">
        <f aca="false">INDEX(Customers!$F$2:$F$101,MATCH($B173,Customers!$A$2:$A$101,0))</f>
        <v>Male</v>
      </c>
      <c r="Q173" s="46" t="str">
        <f aca="false">INDEX(Customers!$B$2:$B$101,MATCH($B173,Customers!$A$2:$A$101,0))</f>
        <v>Emir Gokhale</v>
      </c>
      <c r="R173" s="46" t="n">
        <f aca="false">MONTH($E173)</f>
        <v>3</v>
      </c>
      <c r="S173" s="46" t="str">
        <f aca="false">INDEX(Lists!$B$2:$B$13,$R173)</f>
        <v>March</v>
      </c>
      <c r="T173" s="46" t="n">
        <f aca="false">HOUR($F173)</f>
        <v>4</v>
      </c>
      <c r="U173" s="46" t="n">
        <f aca="false">WEEKDAY($E173,2)</f>
        <v>5</v>
      </c>
      <c r="V173" s="46" t="str">
        <f aca="false">INDEX(Lists!$F$2:$F$8,$U173)</f>
        <v>Friday</v>
      </c>
      <c r="W173" s="85" t="n">
        <f aca="false">($G173+$H173)-($E173+$F173)</f>
        <v>5.02271990740741</v>
      </c>
      <c r="X173" s="46" t="str">
        <f aca="false">LOOKUP($M173,Lists!$G$2:$G$5,Lists!$H$2:$H$5)</f>
        <v>₹1,000 - 1,499</v>
      </c>
      <c r="Y173" s="46" t="str">
        <f aca="false">LOOKUP($W173,Lists!$I$2:$I$7,Lists!$J$2:$J$7)</f>
        <v>4 - 6 days</v>
      </c>
    </row>
    <row r="174" customFormat="false" ht="15" hidden="false" customHeight="false" outlineLevel="0" collapsed="false">
      <c r="A174" s="7" t="n">
        <v>173</v>
      </c>
      <c r="B174" s="7" t="s">
        <v>316</v>
      </c>
      <c r="C174" s="7" t="n">
        <v>58</v>
      </c>
      <c r="D174" s="7" t="n">
        <v>2</v>
      </c>
      <c r="E174" s="77" t="n">
        <v>44964</v>
      </c>
      <c r="F174" s="78" t="n">
        <v>0.969178240740741</v>
      </c>
      <c r="G174" s="77" t="n">
        <v>44970</v>
      </c>
      <c r="H174" s="78" t="n">
        <v>0.0776967592592593</v>
      </c>
      <c r="I174" s="7" t="s">
        <v>335</v>
      </c>
      <c r="J174" s="7" t="s">
        <v>179</v>
      </c>
      <c r="K174" s="79" t="str">
        <f aca="false">INDEX(Products!$B$2:$B$71,MATCH($C174,Products!$A$2:$A$71,0))</f>
        <v>Sed Pack</v>
      </c>
      <c r="L174" s="79" t="str">
        <f aca="false">INDEX(Products!$C$2:$C$71,MATCH($C174,Products!$A$2:$A$71,0))</f>
        <v>Cake</v>
      </c>
      <c r="M174" s="80" t="n">
        <f aca="false">INDEX(Products!$D$2:$D$71,MATCH($C174,Products!$A$2:$A$71,0))</f>
        <v>1492</v>
      </c>
      <c r="N174" s="80" t="n">
        <f aca="false">$D174*$M174</f>
        <v>2984</v>
      </c>
      <c r="O174" s="79" t="str">
        <f aca="false">INDEX(Customers!$C$2:$C$101,MATCH($B174,Customers!$A$2:$A$101,0))</f>
        <v>Hyderabad</v>
      </c>
      <c r="P174" s="79" t="str">
        <f aca="false">INDEX(Customers!$F$2:$F$101,MATCH($B174,Customers!$A$2:$A$101,0))</f>
        <v>Male</v>
      </c>
      <c r="Q174" s="79" t="str">
        <f aca="false">INDEX(Customers!$B$2:$B$101,MATCH($B174,Customers!$A$2:$A$101,0))</f>
        <v>Charvi Karnik</v>
      </c>
      <c r="R174" s="79" t="n">
        <f aca="false">MONTH($E174)</f>
        <v>2</v>
      </c>
      <c r="S174" s="79" t="str">
        <f aca="false">INDEX(Lists!$B$2:$B$13,$R174)</f>
        <v>February</v>
      </c>
      <c r="T174" s="79" t="n">
        <f aca="false">HOUR($F174)</f>
        <v>23</v>
      </c>
      <c r="U174" s="79" t="n">
        <f aca="false">WEEKDAY($E174,2)</f>
        <v>2</v>
      </c>
      <c r="V174" s="79" t="str">
        <f aca="false">INDEX(Lists!$F$2:$F$8,$U174)</f>
        <v>Tuesday</v>
      </c>
      <c r="W174" s="81" t="n">
        <f aca="false">($G174+$H174)-($E174+$F174)</f>
        <v>5.10851851851852</v>
      </c>
      <c r="X174" s="79" t="str">
        <f aca="false">LOOKUP($M174,Lists!$G$2:$G$5,Lists!$H$2:$H$5)</f>
        <v>₹1,000 - 1,499</v>
      </c>
      <c r="Y174" s="79" t="str">
        <f aca="false">LOOKUP($W174,Lists!$I$2:$I$7,Lists!$J$2:$J$7)</f>
        <v>4 - 6 days</v>
      </c>
    </row>
    <row r="175" customFormat="false" ht="15" hidden="false" customHeight="false" outlineLevel="0" collapsed="false">
      <c r="A175" s="2" t="n">
        <v>174</v>
      </c>
      <c r="B175" s="2" t="s">
        <v>248</v>
      </c>
      <c r="C175" s="2" t="n">
        <v>4</v>
      </c>
      <c r="D175" s="2" t="n">
        <v>3</v>
      </c>
      <c r="E175" s="82" t="n">
        <v>45233</v>
      </c>
      <c r="F175" s="83" t="n">
        <v>0.652314814814815</v>
      </c>
      <c r="G175" s="82" t="n">
        <v>45243</v>
      </c>
      <c r="H175" s="83" t="n">
        <v>0.754699074074074</v>
      </c>
      <c r="I175" s="2" t="s">
        <v>480</v>
      </c>
      <c r="J175" s="2" t="s">
        <v>32</v>
      </c>
      <c r="K175" s="46" t="str">
        <f aca="false">INDEX(Products!$B$2:$B$71,MATCH($C175,Products!$A$2:$A$71,0))</f>
        <v>Accusantium Set</v>
      </c>
      <c r="L175" s="46" t="str">
        <f aca="false">INDEX(Products!$C$2:$C$71,MATCH($C175,Products!$A$2:$A$71,0))</f>
        <v>Sweets</v>
      </c>
      <c r="M175" s="84" t="n">
        <f aca="false">INDEX(Products!$D$2:$D$71,MATCH($C175,Products!$A$2:$A$71,0))</f>
        <v>1199</v>
      </c>
      <c r="N175" s="84" t="n">
        <f aca="false">$D175*$M175</f>
        <v>3597</v>
      </c>
      <c r="O175" s="46" t="str">
        <f aca="false">INDEX(Customers!$C$2:$C$101,MATCH($B175,Customers!$A$2:$A$101,0))</f>
        <v>Guntakal</v>
      </c>
      <c r="P175" s="46" t="str">
        <f aca="false">INDEX(Customers!$F$2:$F$101,MATCH($B175,Customers!$A$2:$A$101,0))</f>
        <v>Male</v>
      </c>
      <c r="Q175" s="46" t="str">
        <f aca="false">INDEX(Customers!$B$2:$B$101,MATCH($B175,Customers!$A$2:$A$101,0))</f>
        <v>Aradhya Kale</v>
      </c>
      <c r="R175" s="46" t="n">
        <f aca="false">MONTH($E175)</f>
        <v>11</v>
      </c>
      <c r="S175" s="46" t="str">
        <f aca="false">INDEX(Lists!$B$2:$B$13,$R175)</f>
        <v>November</v>
      </c>
      <c r="T175" s="46" t="n">
        <f aca="false">HOUR($F175)</f>
        <v>15</v>
      </c>
      <c r="U175" s="46" t="n">
        <f aca="false">WEEKDAY($E175,2)</f>
        <v>5</v>
      </c>
      <c r="V175" s="46" t="str">
        <f aca="false">INDEX(Lists!$F$2:$F$8,$U175)</f>
        <v>Friday</v>
      </c>
      <c r="W175" s="85" t="n">
        <f aca="false">($G175+$H175)-($E175+$F175)</f>
        <v>10.1023842592593</v>
      </c>
      <c r="X175" s="46" t="str">
        <f aca="false">LOOKUP($M175,Lists!$G$2:$G$5,Lists!$H$2:$H$5)</f>
        <v>₹1,000 - 1,499</v>
      </c>
      <c r="Y175" s="46" t="str">
        <f aca="false">LOOKUP($W175,Lists!$I$2:$I$7,Lists!$J$2:$J$7)</f>
        <v>Over 10 days</v>
      </c>
    </row>
    <row r="176" customFormat="false" ht="15" hidden="false" customHeight="false" outlineLevel="0" collapsed="false">
      <c r="A176" s="7" t="n">
        <v>175</v>
      </c>
      <c r="B176" s="7" t="s">
        <v>230</v>
      </c>
      <c r="C176" s="7" t="n">
        <v>31</v>
      </c>
      <c r="D176" s="7" t="n">
        <v>1</v>
      </c>
      <c r="E176" s="77" t="n">
        <v>45212</v>
      </c>
      <c r="F176" s="78" t="n">
        <v>0.0540162037037037</v>
      </c>
      <c r="G176" s="77" t="n">
        <v>45219</v>
      </c>
      <c r="H176" s="78" t="n">
        <v>0.307546296296296</v>
      </c>
      <c r="I176" s="7" t="s">
        <v>508</v>
      </c>
      <c r="J176" s="7" t="s">
        <v>165</v>
      </c>
      <c r="K176" s="79" t="str">
        <f aca="false">INDEX(Products!$B$2:$B$71,MATCH($C176,Products!$A$2:$A$71,0))</f>
        <v>Nihil Box</v>
      </c>
      <c r="L176" s="79" t="str">
        <f aca="false">INDEX(Products!$C$2:$C$71,MATCH($C176,Products!$A$2:$A$71,0))</f>
        <v>Colors</v>
      </c>
      <c r="M176" s="80" t="n">
        <f aca="false">INDEX(Products!$D$2:$D$71,MATCH($C176,Products!$A$2:$A$71,0))</f>
        <v>1804</v>
      </c>
      <c r="N176" s="80" t="n">
        <f aca="false">$D176*$M176</f>
        <v>1804</v>
      </c>
      <c r="O176" s="79" t="str">
        <f aca="false">INDEX(Customers!$C$2:$C$101,MATCH($B176,Customers!$A$2:$A$101,0))</f>
        <v>Ajmer</v>
      </c>
      <c r="P176" s="79" t="str">
        <f aca="false">INDEX(Customers!$F$2:$F$101,MATCH($B176,Customers!$A$2:$A$101,0))</f>
        <v>Male</v>
      </c>
      <c r="Q176" s="79" t="str">
        <f aca="false">INDEX(Customers!$B$2:$B$101,MATCH($B176,Customers!$A$2:$A$101,0))</f>
        <v>Eshani Sharma</v>
      </c>
      <c r="R176" s="79" t="n">
        <f aca="false">MONTH($E176)</f>
        <v>10</v>
      </c>
      <c r="S176" s="79" t="str">
        <f aca="false">INDEX(Lists!$B$2:$B$13,$R176)</f>
        <v>October</v>
      </c>
      <c r="T176" s="79" t="n">
        <f aca="false">HOUR($F176)</f>
        <v>1</v>
      </c>
      <c r="U176" s="79" t="n">
        <f aca="false">WEEKDAY($E176,2)</f>
        <v>5</v>
      </c>
      <c r="V176" s="79" t="str">
        <f aca="false">INDEX(Lists!$F$2:$F$8,$U176)</f>
        <v>Friday</v>
      </c>
      <c r="W176" s="81" t="n">
        <f aca="false">($G176+$H176)-($E176+$F176)</f>
        <v>7.25353009259259</v>
      </c>
      <c r="X176" s="79" t="str">
        <f aca="false">LOOKUP($M176,Lists!$G$2:$G$5,Lists!$H$2:$H$5)</f>
        <v>₹1,500 - 2,000</v>
      </c>
      <c r="Y176" s="79" t="str">
        <f aca="false">LOOKUP($W176,Lists!$I$2:$I$7,Lists!$J$2:$J$7)</f>
        <v>6 - 8 days</v>
      </c>
    </row>
    <row r="177" customFormat="false" ht="15" hidden="false" customHeight="false" outlineLevel="0" collapsed="false">
      <c r="A177" s="2" t="n">
        <v>176</v>
      </c>
      <c r="B177" s="2" t="s">
        <v>221</v>
      </c>
      <c r="C177" s="2" t="n">
        <v>17</v>
      </c>
      <c r="D177" s="2" t="n">
        <v>2</v>
      </c>
      <c r="E177" s="82" t="n">
        <v>44995</v>
      </c>
      <c r="F177" s="83" t="n">
        <v>0.149143518518519</v>
      </c>
      <c r="G177" s="82" t="n">
        <v>45001</v>
      </c>
      <c r="H177" s="83" t="n">
        <v>0.725590277777778</v>
      </c>
      <c r="I177" s="2" t="s">
        <v>492</v>
      </c>
      <c r="J177" s="2" t="s">
        <v>168</v>
      </c>
      <c r="K177" s="46" t="str">
        <f aca="false">INDEX(Products!$B$2:$B$71,MATCH($C177,Products!$A$2:$A$71,0))</f>
        <v>Delectus Gift</v>
      </c>
      <c r="L177" s="46" t="str">
        <f aca="false">INDEX(Products!$C$2:$C$71,MATCH($C177,Products!$A$2:$A$71,0))</f>
        <v>Soft Toys</v>
      </c>
      <c r="M177" s="84" t="n">
        <f aca="false">INDEX(Products!$D$2:$D$71,MATCH($C177,Products!$A$2:$A$71,0))</f>
        <v>1899</v>
      </c>
      <c r="N177" s="84" t="n">
        <f aca="false">$D177*$M177</f>
        <v>3798</v>
      </c>
      <c r="O177" s="46" t="str">
        <f aca="false">INDEX(Customers!$C$2:$C$101,MATCH($B177,Customers!$A$2:$A$101,0))</f>
        <v>Kamarhati</v>
      </c>
      <c r="P177" s="46" t="str">
        <f aca="false">INDEX(Customers!$F$2:$F$101,MATCH($B177,Customers!$A$2:$A$101,0))</f>
        <v>Male</v>
      </c>
      <c r="Q177" s="46" t="str">
        <f aca="false">INDEX(Customers!$B$2:$B$101,MATCH($B177,Customers!$A$2:$A$101,0))</f>
        <v>Kaira Bahl</v>
      </c>
      <c r="R177" s="46" t="n">
        <f aca="false">MONTH($E177)</f>
        <v>3</v>
      </c>
      <c r="S177" s="46" t="str">
        <f aca="false">INDEX(Lists!$B$2:$B$13,$R177)</f>
        <v>March</v>
      </c>
      <c r="T177" s="46" t="n">
        <f aca="false">HOUR($F177)</f>
        <v>3</v>
      </c>
      <c r="U177" s="46" t="n">
        <f aca="false">WEEKDAY($E177,2)</f>
        <v>5</v>
      </c>
      <c r="V177" s="46" t="str">
        <f aca="false">INDEX(Lists!$F$2:$F$8,$U177)</f>
        <v>Friday</v>
      </c>
      <c r="W177" s="85" t="n">
        <f aca="false">($G177+$H177)-($E177+$F177)</f>
        <v>6.57644675925926</v>
      </c>
      <c r="X177" s="46" t="str">
        <f aca="false">LOOKUP($M177,Lists!$G$2:$G$5,Lists!$H$2:$H$5)</f>
        <v>₹1,500 - 2,000</v>
      </c>
      <c r="Y177" s="46" t="str">
        <f aca="false">LOOKUP($W177,Lists!$I$2:$I$7,Lists!$J$2:$J$7)</f>
        <v>6 - 8 days</v>
      </c>
    </row>
    <row r="178" customFormat="false" ht="15" hidden="false" customHeight="false" outlineLevel="0" collapsed="false">
      <c r="A178" s="7" t="n">
        <v>177</v>
      </c>
      <c r="B178" s="7" t="s">
        <v>353</v>
      </c>
      <c r="C178" s="7" t="n">
        <v>62</v>
      </c>
      <c r="D178" s="7" t="n">
        <v>4</v>
      </c>
      <c r="E178" s="77" t="n">
        <v>44990</v>
      </c>
      <c r="F178" s="78" t="n">
        <v>0.0758333333333333</v>
      </c>
      <c r="G178" s="77" t="n">
        <v>44992</v>
      </c>
      <c r="H178" s="78" t="n">
        <v>0.618541666666667</v>
      </c>
      <c r="I178" s="7" t="s">
        <v>558</v>
      </c>
      <c r="J178" s="7" t="s">
        <v>33</v>
      </c>
      <c r="K178" s="79" t="str">
        <f aca="false">INDEX(Products!$B$2:$B$71,MATCH($C178,Products!$A$2:$A$71,0))</f>
        <v>Sed Set</v>
      </c>
      <c r="L178" s="79" t="str">
        <f aca="false">INDEX(Products!$C$2:$C$71,MATCH($C178,Products!$A$2:$A$71,0))</f>
        <v>Colors</v>
      </c>
      <c r="M178" s="80" t="n">
        <f aca="false">INDEX(Products!$D$2:$D$71,MATCH($C178,Products!$A$2:$A$71,0))</f>
        <v>1356</v>
      </c>
      <c r="N178" s="80" t="n">
        <f aca="false">$D178*$M178</f>
        <v>5424</v>
      </c>
      <c r="O178" s="79" t="str">
        <f aca="false">INDEX(Customers!$C$2:$C$101,MATCH($B178,Customers!$A$2:$A$101,0))</f>
        <v>Raipur</v>
      </c>
      <c r="P178" s="79" t="str">
        <f aca="false">INDEX(Customers!$F$2:$F$101,MATCH($B178,Customers!$A$2:$A$101,0))</f>
        <v>Male</v>
      </c>
      <c r="Q178" s="79" t="str">
        <f aca="false">INDEX(Customers!$B$2:$B$101,MATCH($B178,Customers!$A$2:$A$101,0))</f>
        <v>Bhamini Johal</v>
      </c>
      <c r="R178" s="79" t="n">
        <f aca="false">MONTH($E178)</f>
        <v>3</v>
      </c>
      <c r="S178" s="79" t="str">
        <f aca="false">INDEX(Lists!$B$2:$B$13,$R178)</f>
        <v>March</v>
      </c>
      <c r="T178" s="79" t="n">
        <f aca="false">HOUR($F178)</f>
        <v>1</v>
      </c>
      <c r="U178" s="79" t="n">
        <f aca="false">WEEKDAY($E178,2)</f>
        <v>7</v>
      </c>
      <c r="V178" s="79" t="str">
        <f aca="false">INDEX(Lists!$F$2:$F$8,$U178)</f>
        <v>Sunday</v>
      </c>
      <c r="W178" s="81" t="n">
        <f aca="false">($G178+$H178)-($E178+$F178)</f>
        <v>2.54270833333333</v>
      </c>
      <c r="X178" s="79" t="str">
        <f aca="false">LOOKUP($M178,Lists!$G$2:$G$5,Lists!$H$2:$H$5)</f>
        <v>₹1,000 - 1,499</v>
      </c>
      <c r="Y178" s="79" t="str">
        <f aca="false">LOOKUP($W178,Lists!$I$2:$I$7,Lists!$J$2:$J$7)</f>
        <v>2 - 4 days</v>
      </c>
    </row>
    <row r="179" customFormat="false" ht="15" hidden="false" customHeight="false" outlineLevel="0" collapsed="false">
      <c r="A179" s="2" t="n">
        <v>178</v>
      </c>
      <c r="B179" s="2" t="s">
        <v>385</v>
      </c>
      <c r="C179" s="2" t="n">
        <v>61</v>
      </c>
      <c r="D179" s="2" t="n">
        <v>1</v>
      </c>
      <c r="E179" s="82" t="n">
        <v>45244</v>
      </c>
      <c r="F179" s="83" t="n">
        <v>0.961469907407408</v>
      </c>
      <c r="G179" s="82" t="n">
        <v>45246</v>
      </c>
      <c r="H179" s="83" t="n">
        <v>0.0933217592592593</v>
      </c>
      <c r="I179" s="2" t="s">
        <v>241</v>
      </c>
      <c r="J179" s="2" t="s">
        <v>168</v>
      </c>
      <c r="K179" s="46" t="str">
        <f aca="false">INDEX(Products!$B$2:$B$71,MATCH($C179,Products!$A$2:$A$71,0))</f>
        <v>Iusto Box</v>
      </c>
      <c r="L179" s="46" t="str">
        <f aca="false">INDEX(Products!$C$2:$C$71,MATCH($C179,Products!$A$2:$A$71,0))</f>
        <v>Plants</v>
      </c>
      <c r="M179" s="84" t="n">
        <f aca="false">INDEX(Products!$D$2:$D$71,MATCH($C179,Products!$A$2:$A$71,0))</f>
        <v>810</v>
      </c>
      <c r="N179" s="84" t="n">
        <f aca="false">$D179*$M179</f>
        <v>810</v>
      </c>
      <c r="O179" s="46" t="str">
        <f aca="false">INDEX(Customers!$C$2:$C$101,MATCH($B179,Customers!$A$2:$A$101,0))</f>
        <v>Sri Ganganagar</v>
      </c>
      <c r="P179" s="46" t="str">
        <f aca="false">INDEX(Customers!$F$2:$F$101,MATCH($B179,Customers!$A$2:$A$101,0))</f>
        <v>Female</v>
      </c>
      <c r="Q179" s="46" t="str">
        <f aca="false">INDEX(Customers!$B$2:$B$101,MATCH($B179,Customers!$A$2:$A$101,0))</f>
        <v>Nakul Randhawa</v>
      </c>
      <c r="R179" s="46" t="n">
        <f aca="false">MONTH($E179)</f>
        <v>11</v>
      </c>
      <c r="S179" s="46" t="str">
        <f aca="false">INDEX(Lists!$B$2:$B$13,$R179)</f>
        <v>November</v>
      </c>
      <c r="T179" s="46" t="n">
        <f aca="false">HOUR($F179)</f>
        <v>23</v>
      </c>
      <c r="U179" s="46" t="n">
        <f aca="false">WEEKDAY($E179,2)</f>
        <v>2</v>
      </c>
      <c r="V179" s="46" t="str">
        <f aca="false">INDEX(Lists!$F$2:$F$8,$U179)</f>
        <v>Tuesday</v>
      </c>
      <c r="W179" s="85" t="n">
        <f aca="false">($G179+$H179)-($E179+$F179)</f>
        <v>1.13185185185185</v>
      </c>
      <c r="X179" s="46" t="str">
        <f aca="false">LOOKUP($M179,Lists!$G$2:$G$5,Lists!$H$2:$H$5)</f>
        <v>₹500 - 999</v>
      </c>
      <c r="Y179" s="46" t="str">
        <f aca="false">LOOKUP($W179,Lists!$I$2:$I$7,Lists!$J$2:$J$7)</f>
        <v>0 - 2 days</v>
      </c>
    </row>
    <row r="180" customFormat="false" ht="15" hidden="false" customHeight="false" outlineLevel="0" collapsed="false">
      <c r="A180" s="7" t="n">
        <v>179</v>
      </c>
      <c r="B180" s="7" t="s">
        <v>334</v>
      </c>
      <c r="C180" s="7" t="n">
        <v>47</v>
      </c>
      <c r="D180" s="7" t="n">
        <v>3</v>
      </c>
      <c r="E180" s="77" t="n">
        <v>44985</v>
      </c>
      <c r="F180" s="78" t="n">
        <v>0.636134259259259</v>
      </c>
      <c r="G180" s="77" t="n">
        <v>44995</v>
      </c>
      <c r="H180" s="78" t="n">
        <v>0.60494212962963</v>
      </c>
      <c r="I180" s="7" t="s">
        <v>606</v>
      </c>
      <c r="J180" s="7" t="s">
        <v>33</v>
      </c>
      <c r="K180" s="79" t="str">
        <f aca="false">INDEX(Products!$B$2:$B$71,MATCH($C180,Products!$A$2:$A$71,0))</f>
        <v>Harum Pack</v>
      </c>
      <c r="L180" s="79" t="str">
        <f aca="false">INDEX(Products!$C$2:$C$71,MATCH($C180,Products!$A$2:$A$71,0))</f>
        <v>Colors</v>
      </c>
      <c r="M180" s="80" t="n">
        <f aca="false">INDEX(Products!$D$2:$D$71,MATCH($C180,Products!$A$2:$A$71,0))</f>
        <v>1638</v>
      </c>
      <c r="N180" s="80" t="n">
        <f aca="false">$D180*$M180</f>
        <v>4914</v>
      </c>
      <c r="O180" s="79" t="str">
        <f aca="false">INDEX(Customers!$C$2:$C$101,MATCH($B180,Customers!$A$2:$A$101,0))</f>
        <v>Bhubaneswar</v>
      </c>
      <c r="P180" s="79" t="str">
        <f aca="false">INDEX(Customers!$F$2:$F$101,MATCH($B180,Customers!$A$2:$A$101,0))</f>
        <v>Female</v>
      </c>
      <c r="Q180" s="79" t="str">
        <f aca="false">INDEX(Customers!$B$2:$B$101,MATCH($B180,Customers!$A$2:$A$101,0))</f>
        <v>Jivika Rajan</v>
      </c>
      <c r="R180" s="79" t="n">
        <f aca="false">MONTH($E180)</f>
        <v>2</v>
      </c>
      <c r="S180" s="79" t="str">
        <f aca="false">INDEX(Lists!$B$2:$B$13,$R180)</f>
        <v>February</v>
      </c>
      <c r="T180" s="79" t="n">
        <f aca="false">HOUR($F180)</f>
        <v>15</v>
      </c>
      <c r="U180" s="79" t="n">
        <f aca="false">WEEKDAY($E180,2)</f>
        <v>2</v>
      </c>
      <c r="V180" s="79" t="str">
        <f aca="false">INDEX(Lists!$F$2:$F$8,$U180)</f>
        <v>Tuesday</v>
      </c>
      <c r="W180" s="81" t="n">
        <f aca="false">($G180+$H180)-($E180+$F180)</f>
        <v>9.96880787037037</v>
      </c>
      <c r="X180" s="79" t="str">
        <f aca="false">LOOKUP($M180,Lists!$G$2:$G$5,Lists!$H$2:$H$5)</f>
        <v>₹1,500 - 2,000</v>
      </c>
      <c r="Y180" s="79" t="str">
        <f aca="false">LOOKUP($W180,Lists!$I$2:$I$7,Lists!$J$2:$J$7)</f>
        <v>8 - 10 days</v>
      </c>
    </row>
    <row r="181" customFormat="false" ht="15" hidden="false" customHeight="false" outlineLevel="0" collapsed="false">
      <c r="A181" s="2" t="n">
        <v>180</v>
      </c>
      <c r="B181" s="2" t="s">
        <v>278</v>
      </c>
      <c r="C181" s="2" t="n">
        <v>55</v>
      </c>
      <c r="D181" s="2" t="n">
        <v>2</v>
      </c>
      <c r="E181" s="82" t="n">
        <v>45162</v>
      </c>
      <c r="F181" s="83" t="n">
        <v>0.694826388888889</v>
      </c>
      <c r="G181" s="82" t="n">
        <v>45165</v>
      </c>
      <c r="H181" s="83" t="n">
        <v>0.36474537037037</v>
      </c>
      <c r="I181" s="2" t="s">
        <v>509</v>
      </c>
      <c r="J181" s="2" t="s">
        <v>40</v>
      </c>
      <c r="K181" s="46" t="str">
        <f aca="false">INDEX(Products!$B$2:$B$71,MATCH($C181,Products!$A$2:$A$71,0))</f>
        <v>Dolores Gift</v>
      </c>
      <c r="L181" s="46" t="str">
        <f aca="false">INDEX(Products!$C$2:$C$71,MATCH($C181,Products!$A$2:$A$71,0))</f>
        <v>Soft Toys</v>
      </c>
      <c r="M181" s="84" t="n">
        <f aca="false">INDEX(Products!$D$2:$D$71,MATCH($C181,Products!$A$2:$A$71,0))</f>
        <v>1904</v>
      </c>
      <c r="N181" s="84" t="n">
        <f aca="false">$D181*$M181</f>
        <v>3808</v>
      </c>
      <c r="O181" s="46" t="str">
        <f aca="false">INDEX(Customers!$C$2:$C$101,MATCH($B181,Customers!$A$2:$A$101,0))</f>
        <v>Guntakal</v>
      </c>
      <c r="P181" s="46" t="str">
        <f aca="false">INDEX(Customers!$F$2:$F$101,MATCH($B181,Customers!$A$2:$A$101,0))</f>
        <v>Male</v>
      </c>
      <c r="Q181" s="46" t="str">
        <f aca="false">INDEX(Customers!$B$2:$B$101,MATCH($B181,Customers!$A$2:$A$101,0))</f>
        <v>Charvi Kanda</v>
      </c>
      <c r="R181" s="46" t="n">
        <f aca="false">MONTH($E181)</f>
        <v>8</v>
      </c>
      <c r="S181" s="46" t="str">
        <f aca="false">INDEX(Lists!$B$2:$B$13,$R181)</f>
        <v>August</v>
      </c>
      <c r="T181" s="46" t="n">
        <f aca="false">HOUR($F181)</f>
        <v>16</v>
      </c>
      <c r="U181" s="46" t="n">
        <f aca="false">WEEKDAY($E181,2)</f>
        <v>4</v>
      </c>
      <c r="V181" s="46" t="str">
        <f aca="false">INDEX(Lists!$F$2:$F$8,$U181)</f>
        <v>Thursday</v>
      </c>
      <c r="W181" s="85" t="n">
        <f aca="false">($G181+$H181)-($E181+$F181)</f>
        <v>2.66991898148148</v>
      </c>
      <c r="X181" s="46" t="str">
        <f aca="false">LOOKUP($M181,Lists!$G$2:$G$5,Lists!$H$2:$H$5)</f>
        <v>₹1,500 - 2,000</v>
      </c>
      <c r="Y181" s="46" t="str">
        <f aca="false">LOOKUP($W181,Lists!$I$2:$I$7,Lists!$J$2:$J$7)</f>
        <v>2 - 4 days</v>
      </c>
    </row>
    <row r="182" customFormat="false" ht="15" hidden="false" customHeight="false" outlineLevel="0" collapsed="false">
      <c r="A182" s="7" t="n">
        <v>181</v>
      </c>
      <c r="B182" s="7" t="s">
        <v>294</v>
      </c>
      <c r="C182" s="7" t="n">
        <v>10</v>
      </c>
      <c r="D182" s="7" t="n">
        <v>4</v>
      </c>
      <c r="E182" s="77" t="n">
        <v>45166</v>
      </c>
      <c r="F182" s="78" t="n">
        <v>0.246782407407407</v>
      </c>
      <c r="G182" s="77" t="n">
        <v>45175</v>
      </c>
      <c r="H182" s="78" t="n">
        <v>0.203796296296296</v>
      </c>
      <c r="I182" s="7" t="s">
        <v>416</v>
      </c>
      <c r="J182" s="7" t="s">
        <v>31</v>
      </c>
      <c r="K182" s="79" t="str">
        <f aca="false">INDEX(Products!$B$2:$B$71,MATCH($C182,Products!$A$2:$A$71,0))</f>
        <v>Accusantium Gift</v>
      </c>
      <c r="L182" s="79" t="str">
        <f aca="false">INDEX(Products!$C$2:$C$71,MATCH($C182,Products!$A$2:$A$71,0))</f>
        <v>Cake</v>
      </c>
      <c r="M182" s="80" t="n">
        <f aca="false">INDEX(Products!$D$2:$D$71,MATCH($C182,Products!$A$2:$A$71,0))</f>
        <v>259</v>
      </c>
      <c r="N182" s="80" t="n">
        <f aca="false">$D182*$M182</f>
        <v>1036</v>
      </c>
      <c r="O182" s="79" t="str">
        <f aca="false">INDEX(Customers!$C$2:$C$101,MATCH($B182,Customers!$A$2:$A$101,0))</f>
        <v>Srikakulam</v>
      </c>
      <c r="P182" s="79" t="str">
        <f aca="false">INDEX(Customers!$F$2:$F$101,MATCH($B182,Customers!$A$2:$A$101,0))</f>
        <v>Male</v>
      </c>
      <c r="Q182" s="79" t="str">
        <f aca="false">INDEX(Customers!$B$2:$B$101,MATCH($B182,Customers!$A$2:$A$101,0))</f>
        <v>Indrajit Kale</v>
      </c>
      <c r="R182" s="79" t="n">
        <f aca="false">MONTH($E182)</f>
        <v>8</v>
      </c>
      <c r="S182" s="79" t="str">
        <f aca="false">INDEX(Lists!$B$2:$B$13,$R182)</f>
        <v>August</v>
      </c>
      <c r="T182" s="79" t="n">
        <f aca="false">HOUR($F182)</f>
        <v>5</v>
      </c>
      <c r="U182" s="79" t="n">
        <f aca="false">WEEKDAY($E182,2)</f>
        <v>1</v>
      </c>
      <c r="V182" s="79" t="str">
        <f aca="false">INDEX(Lists!$F$2:$F$8,$U182)</f>
        <v>Monday</v>
      </c>
      <c r="W182" s="81" t="n">
        <f aca="false">($G182+$H182)-($E182+$F182)</f>
        <v>8.95701388888889</v>
      </c>
      <c r="X182" s="79" t="str">
        <f aca="false">LOOKUP($M182,Lists!$G$2:$G$5,Lists!$H$2:$H$5)</f>
        <v>₹0 - 499</v>
      </c>
      <c r="Y182" s="79" t="str">
        <f aca="false">LOOKUP($W182,Lists!$I$2:$I$7,Lists!$J$2:$J$7)</f>
        <v>8 - 10 days</v>
      </c>
    </row>
    <row r="183" customFormat="false" ht="15" hidden="false" customHeight="false" outlineLevel="0" collapsed="false">
      <c r="A183" s="2" t="n">
        <v>182</v>
      </c>
      <c r="B183" s="2" t="s">
        <v>311</v>
      </c>
      <c r="C183" s="2" t="n">
        <v>2</v>
      </c>
      <c r="D183" s="2" t="n">
        <v>1</v>
      </c>
      <c r="E183" s="82" t="n">
        <v>44965</v>
      </c>
      <c r="F183" s="83" t="n">
        <v>0.973263888888889</v>
      </c>
      <c r="G183" s="82" t="n">
        <v>44972</v>
      </c>
      <c r="H183" s="83" t="n">
        <v>0.255243055555556</v>
      </c>
      <c r="I183" s="2" t="s">
        <v>308</v>
      </c>
      <c r="J183" s="2" t="s">
        <v>179</v>
      </c>
      <c r="K183" s="46" t="str">
        <f aca="false">INDEX(Products!$B$2:$B$71,MATCH($C183,Products!$A$2:$A$71,0))</f>
        <v>Voluptas Box</v>
      </c>
      <c r="L183" s="46" t="str">
        <f aca="false">INDEX(Products!$C$2:$C$71,MATCH($C183,Products!$A$2:$A$71,0))</f>
        <v>Plants</v>
      </c>
      <c r="M183" s="84" t="n">
        <f aca="false">INDEX(Products!$D$2:$D$71,MATCH($C183,Products!$A$2:$A$71,0))</f>
        <v>441</v>
      </c>
      <c r="N183" s="84" t="n">
        <f aca="false">$D183*$M183</f>
        <v>441</v>
      </c>
      <c r="O183" s="46" t="str">
        <f aca="false">INDEX(Customers!$C$2:$C$101,MATCH($B183,Customers!$A$2:$A$101,0))</f>
        <v>Bhatpara</v>
      </c>
      <c r="P183" s="46" t="str">
        <f aca="false">INDEX(Customers!$F$2:$F$101,MATCH($B183,Customers!$A$2:$A$101,0))</f>
        <v>Male</v>
      </c>
      <c r="Q183" s="46" t="str">
        <f aca="false">INDEX(Customers!$B$2:$B$101,MATCH($B183,Customers!$A$2:$A$101,0))</f>
        <v>Emir Gokhale</v>
      </c>
      <c r="R183" s="46" t="n">
        <f aca="false">MONTH($E183)</f>
        <v>2</v>
      </c>
      <c r="S183" s="46" t="str">
        <f aca="false">INDEX(Lists!$B$2:$B$13,$R183)</f>
        <v>February</v>
      </c>
      <c r="T183" s="46" t="n">
        <f aca="false">HOUR($F183)</f>
        <v>23</v>
      </c>
      <c r="U183" s="46" t="n">
        <f aca="false">WEEKDAY($E183,2)</f>
        <v>3</v>
      </c>
      <c r="V183" s="46" t="str">
        <f aca="false">INDEX(Lists!$F$2:$F$8,$U183)</f>
        <v>Wednesday</v>
      </c>
      <c r="W183" s="85" t="n">
        <f aca="false">($G183+$H183)-($E183+$F183)</f>
        <v>6.28197916666667</v>
      </c>
      <c r="X183" s="46" t="str">
        <f aca="false">LOOKUP($M183,Lists!$G$2:$G$5,Lists!$H$2:$H$5)</f>
        <v>₹0 - 499</v>
      </c>
      <c r="Y183" s="46" t="str">
        <f aca="false">LOOKUP($W183,Lists!$I$2:$I$7,Lists!$J$2:$J$7)</f>
        <v>6 - 8 days</v>
      </c>
    </row>
    <row r="184" customFormat="false" ht="15" hidden="false" customHeight="false" outlineLevel="0" collapsed="false">
      <c r="A184" s="7" t="n">
        <v>183</v>
      </c>
      <c r="B184" s="7" t="s">
        <v>344</v>
      </c>
      <c r="C184" s="7" t="n">
        <v>48</v>
      </c>
      <c r="D184" s="7" t="n">
        <v>3</v>
      </c>
      <c r="E184" s="77" t="n">
        <v>45239</v>
      </c>
      <c r="F184" s="78" t="n">
        <v>0.758113425925926</v>
      </c>
      <c r="G184" s="77" t="n">
        <v>45241</v>
      </c>
      <c r="H184" s="78" t="n">
        <v>0.645439814814815</v>
      </c>
      <c r="I184" s="7" t="s">
        <v>191</v>
      </c>
      <c r="J184" s="7" t="s">
        <v>32</v>
      </c>
      <c r="K184" s="79" t="str">
        <f aca="false">INDEX(Products!$B$2:$B$71,MATCH($C184,Products!$A$2:$A$71,0))</f>
        <v>Maiores Gift</v>
      </c>
      <c r="L184" s="79" t="str">
        <f aca="false">INDEX(Products!$C$2:$C$71,MATCH($C184,Products!$A$2:$A$71,0))</f>
        <v>Colors</v>
      </c>
      <c r="M184" s="80" t="n">
        <f aca="false">INDEX(Products!$D$2:$D$71,MATCH($C184,Products!$A$2:$A$71,0))</f>
        <v>433</v>
      </c>
      <c r="N184" s="80" t="n">
        <f aca="false">$D184*$M184</f>
        <v>1299</v>
      </c>
      <c r="O184" s="79" t="str">
        <f aca="false">INDEX(Customers!$C$2:$C$101,MATCH($B184,Customers!$A$2:$A$101,0))</f>
        <v>Ahmednagar</v>
      </c>
      <c r="P184" s="79" t="str">
        <f aca="false">INDEX(Customers!$F$2:$F$101,MATCH($B184,Customers!$A$2:$A$101,0))</f>
        <v>Female</v>
      </c>
      <c r="Q184" s="79" t="str">
        <f aca="false">INDEX(Customers!$B$2:$B$101,MATCH($B184,Customers!$A$2:$A$101,0))</f>
        <v>Anya Chaudhari</v>
      </c>
      <c r="R184" s="79" t="n">
        <f aca="false">MONTH($E184)</f>
        <v>11</v>
      </c>
      <c r="S184" s="79" t="str">
        <f aca="false">INDEX(Lists!$B$2:$B$13,$R184)</f>
        <v>November</v>
      </c>
      <c r="T184" s="79" t="n">
        <f aca="false">HOUR($F184)</f>
        <v>18</v>
      </c>
      <c r="U184" s="79" t="n">
        <f aca="false">WEEKDAY($E184,2)</f>
        <v>4</v>
      </c>
      <c r="V184" s="79" t="str">
        <f aca="false">INDEX(Lists!$F$2:$F$8,$U184)</f>
        <v>Thursday</v>
      </c>
      <c r="W184" s="81" t="n">
        <f aca="false">($G184+$H184)-($E184+$F184)</f>
        <v>1.88732638888889</v>
      </c>
      <c r="X184" s="79" t="str">
        <f aca="false">LOOKUP($M184,Lists!$G$2:$G$5,Lists!$H$2:$H$5)</f>
        <v>₹0 - 499</v>
      </c>
      <c r="Y184" s="79" t="str">
        <f aca="false">LOOKUP($W184,Lists!$I$2:$I$7,Lists!$J$2:$J$7)</f>
        <v>0 - 2 days</v>
      </c>
    </row>
    <row r="185" customFormat="false" ht="15" hidden="false" customHeight="false" outlineLevel="0" collapsed="false">
      <c r="A185" s="2" t="n">
        <v>184</v>
      </c>
      <c r="B185" s="2" t="s">
        <v>192</v>
      </c>
      <c r="C185" s="2" t="n">
        <v>52</v>
      </c>
      <c r="D185" s="2" t="n">
        <v>3</v>
      </c>
      <c r="E185" s="82" t="n">
        <v>44968</v>
      </c>
      <c r="F185" s="83" t="n">
        <v>0.899224537037037</v>
      </c>
      <c r="G185" s="82" t="n">
        <v>44977</v>
      </c>
      <c r="H185" s="83" t="n">
        <v>0.208668981481482</v>
      </c>
      <c r="I185" s="2" t="s">
        <v>343</v>
      </c>
      <c r="J185" s="2" t="s">
        <v>179</v>
      </c>
      <c r="K185" s="46" t="str">
        <f aca="false">INDEX(Products!$B$2:$B$71,MATCH($C185,Products!$A$2:$A$71,0))</f>
        <v>Dolorum Box</v>
      </c>
      <c r="L185" s="46" t="str">
        <f aca="false">INDEX(Products!$C$2:$C$71,MATCH($C185,Products!$A$2:$A$71,0))</f>
        <v>Raksha Bandhan</v>
      </c>
      <c r="M185" s="84" t="n">
        <f aca="false">INDEX(Products!$D$2:$D$71,MATCH($C185,Products!$A$2:$A$71,0))</f>
        <v>236</v>
      </c>
      <c r="N185" s="84" t="n">
        <f aca="false">$D185*$M185</f>
        <v>708</v>
      </c>
      <c r="O185" s="46" t="str">
        <f aca="false">INDEX(Customers!$C$2:$C$101,MATCH($B185,Customers!$A$2:$A$101,0))</f>
        <v>Serampore</v>
      </c>
      <c r="P185" s="46" t="str">
        <f aca="false">INDEX(Customers!$F$2:$F$101,MATCH($B185,Customers!$A$2:$A$101,0))</f>
        <v>Female</v>
      </c>
      <c r="Q185" s="46" t="str">
        <f aca="false">INDEX(Customers!$B$2:$B$101,MATCH($B185,Customers!$A$2:$A$101,0))</f>
        <v>Kashvi Sur</v>
      </c>
      <c r="R185" s="46" t="n">
        <f aca="false">MONTH($E185)</f>
        <v>2</v>
      </c>
      <c r="S185" s="46" t="str">
        <f aca="false">INDEX(Lists!$B$2:$B$13,$R185)</f>
        <v>February</v>
      </c>
      <c r="T185" s="46" t="n">
        <f aca="false">HOUR($F185)</f>
        <v>21</v>
      </c>
      <c r="U185" s="46" t="n">
        <f aca="false">WEEKDAY($E185,2)</f>
        <v>6</v>
      </c>
      <c r="V185" s="46" t="str">
        <f aca="false">INDEX(Lists!$F$2:$F$8,$U185)</f>
        <v>Saturday</v>
      </c>
      <c r="W185" s="85" t="n">
        <f aca="false">($G185+$H185)-($E185+$F185)</f>
        <v>8.30944444444445</v>
      </c>
      <c r="X185" s="46" t="str">
        <f aca="false">LOOKUP($M185,Lists!$G$2:$G$5,Lists!$H$2:$H$5)</f>
        <v>₹0 - 499</v>
      </c>
      <c r="Y185" s="46" t="str">
        <f aca="false">LOOKUP($W185,Lists!$I$2:$I$7,Lists!$J$2:$J$7)</f>
        <v>8 - 10 days</v>
      </c>
    </row>
    <row r="186" customFormat="false" ht="15" hidden="false" customHeight="false" outlineLevel="0" collapsed="false">
      <c r="A186" s="7" t="n">
        <v>185</v>
      </c>
      <c r="B186" s="7" t="s">
        <v>306</v>
      </c>
      <c r="C186" s="7" t="n">
        <v>18</v>
      </c>
      <c r="D186" s="7" t="n">
        <v>1</v>
      </c>
      <c r="E186" s="77" t="n">
        <v>45053</v>
      </c>
      <c r="F186" s="78" t="n">
        <v>0.299131944444445</v>
      </c>
      <c r="G186" s="77" t="n">
        <v>45063</v>
      </c>
      <c r="H186" s="78" t="n">
        <v>0.833831018518519</v>
      </c>
      <c r="I186" s="7" t="s">
        <v>546</v>
      </c>
      <c r="J186" s="7" t="s">
        <v>31</v>
      </c>
      <c r="K186" s="79" t="str">
        <f aca="false">INDEX(Products!$B$2:$B$71,MATCH($C186,Products!$A$2:$A$71,0))</f>
        <v>Nemo Set</v>
      </c>
      <c r="L186" s="79" t="str">
        <f aca="false">INDEX(Products!$C$2:$C$71,MATCH($C186,Products!$A$2:$A$71,0))</f>
        <v>Plants</v>
      </c>
      <c r="M186" s="80" t="n">
        <f aca="false">INDEX(Products!$D$2:$D$71,MATCH($C186,Products!$A$2:$A$71,0))</f>
        <v>781</v>
      </c>
      <c r="N186" s="80" t="n">
        <f aca="false">$D186*$M186</f>
        <v>781</v>
      </c>
      <c r="O186" s="79" t="str">
        <f aca="false">INDEX(Customers!$C$2:$C$101,MATCH($B186,Customers!$A$2:$A$101,0))</f>
        <v>Kalyan-Dombivli</v>
      </c>
      <c r="P186" s="79" t="str">
        <f aca="false">INDEX(Customers!$F$2:$F$101,MATCH($B186,Customers!$A$2:$A$101,0))</f>
        <v>Male</v>
      </c>
      <c r="Q186" s="79" t="str">
        <f aca="false">INDEX(Customers!$B$2:$B$101,MATCH($B186,Customers!$A$2:$A$101,0))</f>
        <v>Ritvik Garde</v>
      </c>
      <c r="R186" s="79" t="n">
        <f aca="false">MONTH($E186)</f>
        <v>5</v>
      </c>
      <c r="S186" s="79" t="str">
        <f aca="false">INDEX(Lists!$B$2:$B$13,$R186)</f>
        <v>May</v>
      </c>
      <c r="T186" s="79" t="n">
        <f aca="false">HOUR($F186)</f>
        <v>7</v>
      </c>
      <c r="U186" s="79" t="n">
        <f aca="false">WEEKDAY($E186,2)</f>
        <v>7</v>
      </c>
      <c r="V186" s="79" t="str">
        <f aca="false">INDEX(Lists!$F$2:$F$8,$U186)</f>
        <v>Sunday</v>
      </c>
      <c r="W186" s="81" t="n">
        <f aca="false">($G186+$H186)-($E186+$F186)</f>
        <v>10.5346990740741</v>
      </c>
      <c r="X186" s="79" t="str">
        <f aca="false">LOOKUP($M186,Lists!$G$2:$G$5,Lists!$H$2:$H$5)</f>
        <v>₹500 - 999</v>
      </c>
      <c r="Y186" s="79" t="str">
        <f aca="false">LOOKUP($W186,Lists!$I$2:$I$7,Lists!$J$2:$J$7)</f>
        <v>Over 10 days</v>
      </c>
    </row>
    <row r="187" customFormat="false" ht="15" hidden="false" customHeight="false" outlineLevel="0" collapsed="false">
      <c r="A187" s="2" t="n">
        <v>186</v>
      </c>
      <c r="B187" s="2" t="s">
        <v>248</v>
      </c>
      <c r="C187" s="2" t="n">
        <v>61</v>
      </c>
      <c r="D187" s="2" t="n">
        <v>1</v>
      </c>
      <c r="E187" s="82" t="n">
        <v>45055</v>
      </c>
      <c r="F187" s="83" t="n">
        <v>0.381759259259259</v>
      </c>
      <c r="G187" s="82" t="n">
        <v>45057</v>
      </c>
      <c r="H187" s="83" t="n">
        <v>0.0113773148148148</v>
      </c>
      <c r="I187" s="2" t="s">
        <v>463</v>
      </c>
      <c r="J187" s="2" t="s">
        <v>168</v>
      </c>
      <c r="K187" s="46" t="str">
        <f aca="false">INDEX(Products!$B$2:$B$71,MATCH($C187,Products!$A$2:$A$71,0))</f>
        <v>Iusto Box</v>
      </c>
      <c r="L187" s="46" t="str">
        <f aca="false">INDEX(Products!$C$2:$C$71,MATCH($C187,Products!$A$2:$A$71,0))</f>
        <v>Plants</v>
      </c>
      <c r="M187" s="84" t="n">
        <f aca="false">INDEX(Products!$D$2:$D$71,MATCH($C187,Products!$A$2:$A$71,0))</f>
        <v>810</v>
      </c>
      <c r="N187" s="84" t="n">
        <f aca="false">$D187*$M187</f>
        <v>810</v>
      </c>
      <c r="O187" s="46" t="str">
        <f aca="false">INDEX(Customers!$C$2:$C$101,MATCH($B187,Customers!$A$2:$A$101,0))</f>
        <v>Guntakal</v>
      </c>
      <c r="P187" s="46" t="str">
        <f aca="false">INDEX(Customers!$F$2:$F$101,MATCH($B187,Customers!$A$2:$A$101,0))</f>
        <v>Male</v>
      </c>
      <c r="Q187" s="46" t="str">
        <f aca="false">INDEX(Customers!$B$2:$B$101,MATCH($B187,Customers!$A$2:$A$101,0))</f>
        <v>Aradhya Kale</v>
      </c>
      <c r="R187" s="46" t="n">
        <f aca="false">MONTH($E187)</f>
        <v>5</v>
      </c>
      <c r="S187" s="46" t="str">
        <f aca="false">INDEX(Lists!$B$2:$B$13,$R187)</f>
        <v>May</v>
      </c>
      <c r="T187" s="46" t="n">
        <f aca="false">HOUR($F187)</f>
        <v>9</v>
      </c>
      <c r="U187" s="46" t="n">
        <f aca="false">WEEKDAY($E187,2)</f>
        <v>2</v>
      </c>
      <c r="V187" s="46" t="str">
        <f aca="false">INDEX(Lists!$F$2:$F$8,$U187)</f>
        <v>Tuesday</v>
      </c>
      <c r="W187" s="85" t="n">
        <f aca="false">($G187+$H187)-($E187+$F187)</f>
        <v>1.62961805555556</v>
      </c>
      <c r="X187" s="46" t="str">
        <f aca="false">LOOKUP($M187,Lists!$G$2:$G$5,Lists!$H$2:$H$5)</f>
        <v>₹500 - 999</v>
      </c>
      <c r="Y187" s="46" t="str">
        <f aca="false">LOOKUP($W187,Lists!$I$2:$I$7,Lists!$J$2:$J$7)</f>
        <v>0 - 2 days</v>
      </c>
    </row>
    <row r="188" customFormat="false" ht="15" hidden="false" customHeight="false" outlineLevel="0" collapsed="false">
      <c r="A188" s="7" t="n">
        <v>187</v>
      </c>
      <c r="B188" s="7" t="s">
        <v>145</v>
      </c>
      <c r="C188" s="7" t="n">
        <v>49</v>
      </c>
      <c r="D188" s="7" t="n">
        <v>5</v>
      </c>
      <c r="E188" s="77" t="n">
        <v>44968</v>
      </c>
      <c r="F188" s="78" t="n">
        <v>0.882418981481482</v>
      </c>
      <c r="G188" s="77" t="n">
        <v>44973</v>
      </c>
      <c r="H188" s="78" t="n">
        <v>0.398715277777778</v>
      </c>
      <c r="I188" s="7" t="s">
        <v>177</v>
      </c>
      <c r="J188" s="7" t="s">
        <v>179</v>
      </c>
      <c r="K188" s="79" t="str">
        <f aca="false">INDEX(Products!$B$2:$B$71,MATCH($C188,Products!$A$2:$A$71,0))</f>
        <v>Voluptate Pack</v>
      </c>
      <c r="L188" s="79" t="str">
        <f aca="false">INDEX(Products!$C$2:$C$71,MATCH($C188,Products!$A$2:$A$71,0))</f>
        <v>Colors</v>
      </c>
      <c r="M188" s="80" t="n">
        <f aca="false">INDEX(Products!$D$2:$D$71,MATCH($C188,Products!$A$2:$A$71,0))</f>
        <v>903</v>
      </c>
      <c r="N188" s="80" t="n">
        <f aca="false">$D188*$M188</f>
        <v>4515</v>
      </c>
      <c r="O188" s="79" t="str">
        <f aca="false">INDEX(Customers!$C$2:$C$101,MATCH($B188,Customers!$A$2:$A$101,0))</f>
        <v>Chinsurah</v>
      </c>
      <c r="P188" s="79" t="str">
        <f aca="false">INDEX(Customers!$F$2:$F$101,MATCH($B188,Customers!$A$2:$A$101,0))</f>
        <v>Female</v>
      </c>
      <c r="Q188" s="79" t="str">
        <f aca="false">INDEX(Customers!$B$2:$B$101,MATCH($B188,Customers!$A$2:$A$101,0))</f>
        <v>Veer Ray</v>
      </c>
      <c r="R188" s="79" t="n">
        <f aca="false">MONTH($E188)</f>
        <v>2</v>
      </c>
      <c r="S188" s="79" t="str">
        <f aca="false">INDEX(Lists!$B$2:$B$13,$R188)</f>
        <v>February</v>
      </c>
      <c r="T188" s="79" t="n">
        <f aca="false">HOUR($F188)</f>
        <v>21</v>
      </c>
      <c r="U188" s="79" t="n">
        <f aca="false">WEEKDAY($E188,2)</f>
        <v>6</v>
      </c>
      <c r="V188" s="79" t="str">
        <f aca="false">INDEX(Lists!$F$2:$F$8,$U188)</f>
        <v>Saturday</v>
      </c>
      <c r="W188" s="81" t="n">
        <f aca="false">($G188+$H188)-($E188+$F188)</f>
        <v>4.5162962962963</v>
      </c>
      <c r="X188" s="79" t="str">
        <f aca="false">LOOKUP($M188,Lists!$G$2:$G$5,Lists!$H$2:$H$5)</f>
        <v>₹500 - 999</v>
      </c>
      <c r="Y188" s="79" t="str">
        <f aca="false">LOOKUP($W188,Lists!$I$2:$I$7,Lists!$J$2:$J$7)</f>
        <v>4 - 6 days</v>
      </c>
    </row>
    <row r="189" customFormat="false" ht="15" hidden="false" customHeight="false" outlineLevel="0" collapsed="false">
      <c r="A189" s="2" t="n">
        <v>188</v>
      </c>
      <c r="B189" s="2" t="s">
        <v>303</v>
      </c>
      <c r="C189" s="2" t="n">
        <v>22</v>
      </c>
      <c r="D189" s="2" t="n">
        <v>5</v>
      </c>
      <c r="E189" s="82" t="n">
        <v>45187</v>
      </c>
      <c r="F189" s="83" t="n">
        <v>0.0684375</v>
      </c>
      <c r="G189" s="82" t="n">
        <v>45194</v>
      </c>
      <c r="H189" s="83" t="n">
        <v>0.584861111111111</v>
      </c>
      <c r="I189" s="2" t="s">
        <v>561</v>
      </c>
      <c r="J189" s="2" t="s">
        <v>165</v>
      </c>
      <c r="K189" s="46" t="str">
        <f aca="false">INDEX(Products!$B$2:$B$71,MATCH($C189,Products!$A$2:$A$71,0))</f>
        <v>Exercitationem Pack</v>
      </c>
      <c r="L189" s="46" t="str">
        <f aca="false">INDEX(Products!$C$2:$C$71,MATCH($C189,Products!$A$2:$A$71,0))</f>
        <v>Soft Toys</v>
      </c>
      <c r="M189" s="84" t="n">
        <f aca="false">INDEX(Products!$D$2:$D$71,MATCH($C189,Products!$A$2:$A$71,0))</f>
        <v>1639</v>
      </c>
      <c r="N189" s="84" t="n">
        <f aca="false">$D189*$M189</f>
        <v>8195</v>
      </c>
      <c r="O189" s="46" t="str">
        <f aca="false">INDEX(Customers!$C$2:$C$101,MATCH($B189,Customers!$A$2:$A$101,0))</f>
        <v>Anand</v>
      </c>
      <c r="P189" s="46" t="str">
        <f aca="false">INDEX(Customers!$F$2:$F$101,MATCH($B189,Customers!$A$2:$A$101,0))</f>
        <v>Male</v>
      </c>
      <c r="Q189" s="46" t="str">
        <f aca="false">INDEX(Customers!$B$2:$B$101,MATCH($B189,Customers!$A$2:$A$101,0))</f>
        <v>Eva Sankaran</v>
      </c>
      <c r="R189" s="46" t="n">
        <f aca="false">MONTH($E189)</f>
        <v>9</v>
      </c>
      <c r="S189" s="46" t="str">
        <f aca="false">INDEX(Lists!$B$2:$B$13,$R189)</f>
        <v>September</v>
      </c>
      <c r="T189" s="46" t="n">
        <f aca="false">HOUR($F189)</f>
        <v>1</v>
      </c>
      <c r="U189" s="46" t="n">
        <f aca="false">WEEKDAY($E189,2)</f>
        <v>1</v>
      </c>
      <c r="V189" s="46" t="str">
        <f aca="false">INDEX(Lists!$F$2:$F$8,$U189)</f>
        <v>Monday</v>
      </c>
      <c r="W189" s="85" t="n">
        <f aca="false">($G189+$H189)-($E189+$F189)</f>
        <v>7.51642361111111</v>
      </c>
      <c r="X189" s="46" t="str">
        <f aca="false">LOOKUP($M189,Lists!$G$2:$G$5,Lists!$H$2:$H$5)</f>
        <v>₹1,500 - 2,000</v>
      </c>
      <c r="Y189" s="46" t="str">
        <f aca="false">LOOKUP($W189,Lists!$I$2:$I$7,Lists!$J$2:$J$7)</f>
        <v>6 - 8 days</v>
      </c>
    </row>
    <row r="190" customFormat="false" ht="15" hidden="false" customHeight="false" outlineLevel="0" collapsed="false">
      <c r="A190" s="7" t="n">
        <v>189</v>
      </c>
      <c r="B190" s="7" t="s">
        <v>167</v>
      </c>
      <c r="C190" s="7" t="n">
        <v>57</v>
      </c>
      <c r="D190" s="7" t="n">
        <v>1</v>
      </c>
      <c r="E190" s="77" t="n">
        <v>45249</v>
      </c>
      <c r="F190" s="78" t="n">
        <v>0.723831018518519</v>
      </c>
      <c r="G190" s="77" t="n">
        <v>45252</v>
      </c>
      <c r="H190" s="78" t="n">
        <v>0.556875</v>
      </c>
      <c r="I190" s="7" t="s">
        <v>576</v>
      </c>
      <c r="J190" s="7" t="s">
        <v>31</v>
      </c>
      <c r="K190" s="79" t="str">
        <f aca="false">INDEX(Products!$B$2:$B$71,MATCH($C190,Products!$A$2:$A$71,0))</f>
        <v>Voluptatem Box</v>
      </c>
      <c r="L190" s="79" t="str">
        <f aca="false">INDEX(Products!$C$2:$C$71,MATCH($C190,Products!$A$2:$A$71,0))</f>
        <v>Colors</v>
      </c>
      <c r="M190" s="80" t="n">
        <f aca="false">INDEX(Products!$D$2:$D$71,MATCH($C190,Products!$A$2:$A$71,0))</f>
        <v>1582</v>
      </c>
      <c r="N190" s="80" t="n">
        <f aca="false">$D190*$M190</f>
        <v>1582</v>
      </c>
      <c r="O190" s="79" t="str">
        <f aca="false">INDEX(Customers!$C$2:$C$101,MATCH($B190,Customers!$A$2:$A$101,0))</f>
        <v>Tenali</v>
      </c>
      <c r="P190" s="79" t="str">
        <f aca="false">INDEX(Customers!$F$2:$F$101,MATCH($B190,Customers!$A$2:$A$101,0))</f>
        <v>Male</v>
      </c>
      <c r="Q190" s="79" t="str">
        <f aca="false">INDEX(Customers!$B$2:$B$101,MATCH($B190,Customers!$A$2:$A$101,0))</f>
        <v>Amani Ganesh</v>
      </c>
      <c r="R190" s="79" t="n">
        <f aca="false">MONTH($E190)</f>
        <v>11</v>
      </c>
      <c r="S190" s="79" t="str">
        <f aca="false">INDEX(Lists!$B$2:$B$13,$R190)</f>
        <v>November</v>
      </c>
      <c r="T190" s="79" t="n">
        <f aca="false">HOUR($F190)</f>
        <v>17</v>
      </c>
      <c r="U190" s="79" t="n">
        <f aca="false">WEEKDAY($E190,2)</f>
        <v>7</v>
      </c>
      <c r="V190" s="79" t="str">
        <f aca="false">INDEX(Lists!$F$2:$F$8,$U190)</f>
        <v>Sunday</v>
      </c>
      <c r="W190" s="81" t="n">
        <f aca="false">($G190+$H190)-($E190+$F190)</f>
        <v>2.83304398148148</v>
      </c>
      <c r="X190" s="79" t="str">
        <f aca="false">LOOKUP($M190,Lists!$G$2:$G$5,Lists!$H$2:$H$5)</f>
        <v>₹1,500 - 2,000</v>
      </c>
      <c r="Y190" s="79" t="str">
        <f aca="false">LOOKUP($W190,Lists!$I$2:$I$7,Lists!$J$2:$J$7)</f>
        <v>2 - 4 days</v>
      </c>
    </row>
    <row r="191" customFormat="false" ht="15" hidden="false" customHeight="false" outlineLevel="0" collapsed="false">
      <c r="A191" s="2" t="n">
        <v>190</v>
      </c>
      <c r="B191" s="2" t="s">
        <v>382</v>
      </c>
      <c r="C191" s="2" t="n">
        <v>60</v>
      </c>
      <c r="D191" s="2" t="n">
        <v>5</v>
      </c>
      <c r="E191" s="82" t="n">
        <v>45239</v>
      </c>
      <c r="F191" s="83" t="n">
        <v>0.523483796296296</v>
      </c>
      <c r="G191" s="82" t="n">
        <v>45243</v>
      </c>
      <c r="H191" s="83" t="n">
        <v>0.570416666666667</v>
      </c>
      <c r="I191" s="2" t="s">
        <v>321</v>
      </c>
      <c r="J191" s="2" t="s">
        <v>32</v>
      </c>
      <c r="K191" s="46" t="str">
        <f aca="false">INDEX(Products!$B$2:$B$71,MATCH($C191,Products!$A$2:$A$71,0))</f>
        <v>Ea Set</v>
      </c>
      <c r="L191" s="46" t="str">
        <f aca="false">INDEX(Products!$C$2:$C$71,MATCH($C191,Products!$A$2:$A$71,0))</f>
        <v>Sweets</v>
      </c>
      <c r="M191" s="84" t="n">
        <f aca="false">INDEX(Products!$D$2:$D$71,MATCH($C191,Products!$A$2:$A$71,0))</f>
        <v>827</v>
      </c>
      <c r="N191" s="84" t="n">
        <f aca="false">$D191*$M191</f>
        <v>4135</v>
      </c>
      <c r="O191" s="46" t="str">
        <f aca="false">INDEX(Customers!$C$2:$C$101,MATCH($B191,Customers!$A$2:$A$101,0))</f>
        <v>Medininagar</v>
      </c>
      <c r="P191" s="46" t="str">
        <f aca="false">INDEX(Customers!$F$2:$F$101,MATCH($B191,Customers!$A$2:$A$101,0))</f>
        <v>Male</v>
      </c>
      <c r="Q191" s="46" t="str">
        <f aca="false">INDEX(Customers!$B$2:$B$101,MATCH($B191,Customers!$A$2:$A$101,0))</f>
        <v>Kavya Reddy</v>
      </c>
      <c r="R191" s="46" t="n">
        <f aca="false">MONTH($E191)</f>
        <v>11</v>
      </c>
      <c r="S191" s="46" t="str">
        <f aca="false">INDEX(Lists!$B$2:$B$13,$R191)</f>
        <v>November</v>
      </c>
      <c r="T191" s="46" t="n">
        <f aca="false">HOUR($F191)</f>
        <v>12</v>
      </c>
      <c r="U191" s="46" t="n">
        <f aca="false">WEEKDAY($E191,2)</f>
        <v>4</v>
      </c>
      <c r="V191" s="46" t="str">
        <f aca="false">INDEX(Lists!$F$2:$F$8,$U191)</f>
        <v>Thursday</v>
      </c>
      <c r="W191" s="85" t="n">
        <f aca="false">($G191+$H191)-($E191+$F191)</f>
        <v>4.04693287037037</v>
      </c>
      <c r="X191" s="46" t="str">
        <f aca="false">LOOKUP($M191,Lists!$G$2:$G$5,Lists!$H$2:$H$5)</f>
        <v>₹500 - 999</v>
      </c>
      <c r="Y191" s="46" t="str">
        <f aca="false">LOOKUP($W191,Lists!$I$2:$I$7,Lists!$J$2:$J$7)</f>
        <v>4 - 6 days</v>
      </c>
    </row>
    <row r="192" customFormat="false" ht="15" hidden="false" customHeight="false" outlineLevel="0" collapsed="false">
      <c r="A192" s="7" t="n">
        <v>191</v>
      </c>
      <c r="B192" s="7" t="s">
        <v>157</v>
      </c>
      <c r="C192" s="7" t="n">
        <v>24</v>
      </c>
      <c r="D192" s="7" t="n">
        <v>3</v>
      </c>
      <c r="E192" s="77" t="n">
        <v>45211</v>
      </c>
      <c r="F192" s="78" t="n">
        <v>0.759097222222222</v>
      </c>
      <c r="G192" s="77" t="n">
        <v>45216</v>
      </c>
      <c r="H192" s="78" t="n">
        <v>0.368078703703704</v>
      </c>
      <c r="I192" s="7" t="s">
        <v>365</v>
      </c>
      <c r="J192" s="7" t="s">
        <v>31</v>
      </c>
      <c r="K192" s="79" t="str">
        <f aca="false">INDEX(Products!$B$2:$B$71,MATCH($C192,Products!$A$2:$A$71,0))</f>
        <v>Ad Box</v>
      </c>
      <c r="L192" s="79" t="str">
        <f aca="false">INDEX(Products!$C$2:$C$71,MATCH($C192,Products!$A$2:$A$71,0))</f>
        <v>Mugs</v>
      </c>
      <c r="M192" s="80" t="n">
        <f aca="false">INDEX(Products!$D$2:$D$71,MATCH($C192,Products!$A$2:$A$71,0))</f>
        <v>535</v>
      </c>
      <c r="N192" s="80" t="n">
        <f aca="false">$D192*$M192</f>
        <v>1605</v>
      </c>
      <c r="O192" s="79" t="str">
        <f aca="false">INDEX(Customers!$C$2:$C$101,MATCH($B192,Customers!$A$2:$A$101,0))</f>
        <v>Bilaspur</v>
      </c>
      <c r="P192" s="79" t="str">
        <f aca="false">INDEX(Customers!$F$2:$F$101,MATCH($B192,Customers!$A$2:$A$101,0))</f>
        <v>Male</v>
      </c>
      <c r="Q192" s="79" t="str">
        <f aca="false">INDEX(Customers!$B$2:$B$101,MATCH($B192,Customers!$A$2:$A$101,0))</f>
        <v>Onkar Mangat</v>
      </c>
      <c r="R192" s="79" t="n">
        <f aca="false">MONTH($E192)</f>
        <v>10</v>
      </c>
      <c r="S192" s="79" t="str">
        <f aca="false">INDEX(Lists!$B$2:$B$13,$R192)</f>
        <v>October</v>
      </c>
      <c r="T192" s="79" t="n">
        <f aca="false">HOUR($F192)</f>
        <v>18</v>
      </c>
      <c r="U192" s="79" t="n">
        <f aca="false">WEEKDAY($E192,2)</f>
        <v>4</v>
      </c>
      <c r="V192" s="79" t="str">
        <f aca="false">INDEX(Lists!$F$2:$F$8,$U192)</f>
        <v>Thursday</v>
      </c>
      <c r="W192" s="81" t="n">
        <f aca="false">($G192+$H192)-($E192+$F192)</f>
        <v>4.60898148148148</v>
      </c>
      <c r="X192" s="79" t="str">
        <f aca="false">LOOKUP($M192,Lists!$G$2:$G$5,Lists!$H$2:$H$5)</f>
        <v>₹500 - 999</v>
      </c>
      <c r="Y192" s="79" t="str">
        <f aca="false">LOOKUP($W192,Lists!$I$2:$I$7,Lists!$J$2:$J$7)</f>
        <v>4 - 6 days</v>
      </c>
    </row>
    <row r="193" customFormat="false" ht="15" hidden="false" customHeight="false" outlineLevel="0" collapsed="false">
      <c r="A193" s="2" t="n">
        <v>192</v>
      </c>
      <c r="B193" s="2" t="s">
        <v>283</v>
      </c>
      <c r="C193" s="2" t="n">
        <v>64</v>
      </c>
      <c r="D193" s="2" t="n">
        <v>5</v>
      </c>
      <c r="E193" s="82" t="n">
        <v>45158</v>
      </c>
      <c r="F193" s="83" t="n">
        <v>0.519814814814815</v>
      </c>
      <c r="G193" s="82" t="n">
        <v>45159</v>
      </c>
      <c r="H193" s="83" t="n">
        <v>0.0911805555555556</v>
      </c>
      <c r="I193" s="2" t="s">
        <v>606</v>
      </c>
      <c r="J193" s="2" t="s">
        <v>40</v>
      </c>
      <c r="K193" s="46" t="str">
        <f aca="false">INDEX(Products!$B$2:$B$71,MATCH($C193,Products!$A$2:$A$71,0))</f>
        <v>Nostrum Box</v>
      </c>
      <c r="L193" s="46" t="str">
        <f aca="false">INDEX(Products!$C$2:$C$71,MATCH($C193,Products!$A$2:$A$71,0))</f>
        <v>Soft Toys</v>
      </c>
      <c r="M193" s="84" t="n">
        <f aca="false">INDEX(Products!$D$2:$D$71,MATCH($C193,Products!$A$2:$A$71,0))</f>
        <v>1878</v>
      </c>
      <c r="N193" s="84" t="n">
        <f aca="false">$D193*$M193</f>
        <v>9390</v>
      </c>
      <c r="O193" s="46" t="str">
        <f aca="false">INDEX(Customers!$C$2:$C$101,MATCH($B193,Customers!$A$2:$A$101,0))</f>
        <v>Satara</v>
      </c>
      <c r="P193" s="46" t="str">
        <f aca="false">INDEX(Customers!$F$2:$F$101,MATCH($B193,Customers!$A$2:$A$101,0))</f>
        <v>Male</v>
      </c>
      <c r="Q193" s="46" t="str">
        <f aca="false">INDEX(Customers!$B$2:$B$101,MATCH($B193,Customers!$A$2:$A$101,0))</f>
        <v>Riya Wagle</v>
      </c>
      <c r="R193" s="46" t="n">
        <f aca="false">MONTH($E193)</f>
        <v>8</v>
      </c>
      <c r="S193" s="46" t="str">
        <f aca="false">INDEX(Lists!$B$2:$B$13,$R193)</f>
        <v>August</v>
      </c>
      <c r="T193" s="46" t="n">
        <f aca="false">HOUR($F193)</f>
        <v>12</v>
      </c>
      <c r="U193" s="46" t="n">
        <f aca="false">WEEKDAY($E193,2)</f>
        <v>7</v>
      </c>
      <c r="V193" s="46" t="str">
        <f aca="false">INDEX(Lists!$F$2:$F$8,$U193)</f>
        <v>Sunday</v>
      </c>
      <c r="W193" s="85" t="n">
        <f aca="false">($G193+$H193)-($E193+$F193)</f>
        <v>0.571365740740741</v>
      </c>
      <c r="X193" s="46" t="str">
        <f aca="false">LOOKUP($M193,Lists!$G$2:$G$5,Lists!$H$2:$H$5)</f>
        <v>₹1,500 - 2,000</v>
      </c>
      <c r="Y193" s="46" t="str">
        <f aca="false">LOOKUP($W193,Lists!$I$2:$I$7,Lists!$J$2:$J$7)</f>
        <v>0 - 2 days</v>
      </c>
    </row>
    <row r="194" customFormat="false" ht="15" hidden="false" customHeight="false" outlineLevel="0" collapsed="false">
      <c r="A194" s="7" t="n">
        <v>193</v>
      </c>
      <c r="B194" s="7" t="s">
        <v>218</v>
      </c>
      <c r="C194" s="7" t="n">
        <v>42</v>
      </c>
      <c r="D194" s="7" t="n">
        <v>4</v>
      </c>
      <c r="E194" s="77" t="n">
        <v>45154</v>
      </c>
      <c r="F194" s="78" t="n">
        <v>0.989224537037037</v>
      </c>
      <c r="G194" s="77" t="n">
        <v>45157</v>
      </c>
      <c r="H194" s="78" t="n">
        <v>0.106967592592593</v>
      </c>
      <c r="I194" s="7" t="s">
        <v>503</v>
      </c>
      <c r="J194" s="7" t="s">
        <v>165</v>
      </c>
      <c r="K194" s="79" t="str">
        <f aca="false">INDEX(Products!$B$2:$B$71,MATCH($C194,Products!$A$2:$A$71,0))</f>
        <v>Expedita Gift</v>
      </c>
      <c r="L194" s="79" t="str">
        <f aca="false">INDEX(Products!$C$2:$C$71,MATCH($C194,Products!$A$2:$A$71,0))</f>
        <v>Sweets</v>
      </c>
      <c r="M194" s="80" t="n">
        <f aca="false">INDEX(Products!$D$2:$D$71,MATCH($C194,Products!$A$2:$A$71,0))</f>
        <v>1744</v>
      </c>
      <c r="N194" s="80" t="n">
        <f aca="false">$D194*$M194</f>
        <v>6976</v>
      </c>
      <c r="O194" s="79" t="str">
        <f aca="false">INDEX(Customers!$C$2:$C$101,MATCH($B194,Customers!$A$2:$A$101,0))</f>
        <v>Aizawl</v>
      </c>
      <c r="P194" s="79" t="str">
        <f aca="false">INDEX(Customers!$F$2:$F$101,MATCH($B194,Customers!$A$2:$A$101,0))</f>
        <v>Female</v>
      </c>
      <c r="Q194" s="79" t="str">
        <f aca="false">INDEX(Customers!$B$2:$B$101,MATCH($B194,Customers!$A$2:$A$101,0))</f>
        <v>Yakshit Shah</v>
      </c>
      <c r="R194" s="79" t="n">
        <f aca="false">MONTH($E194)</f>
        <v>8</v>
      </c>
      <c r="S194" s="79" t="str">
        <f aca="false">INDEX(Lists!$B$2:$B$13,$R194)</f>
        <v>August</v>
      </c>
      <c r="T194" s="79" t="n">
        <f aca="false">HOUR($F194)</f>
        <v>23</v>
      </c>
      <c r="U194" s="79" t="n">
        <f aca="false">WEEKDAY($E194,2)</f>
        <v>3</v>
      </c>
      <c r="V194" s="79" t="str">
        <f aca="false">INDEX(Lists!$F$2:$F$8,$U194)</f>
        <v>Wednesday</v>
      </c>
      <c r="W194" s="81" t="n">
        <f aca="false">($G194+$H194)-($E194+$F194)</f>
        <v>2.11774305555556</v>
      </c>
      <c r="X194" s="79" t="str">
        <f aca="false">LOOKUP($M194,Lists!$G$2:$G$5,Lists!$H$2:$H$5)</f>
        <v>₹1,500 - 2,000</v>
      </c>
      <c r="Y194" s="79" t="str">
        <f aca="false">LOOKUP($W194,Lists!$I$2:$I$7,Lists!$J$2:$J$7)</f>
        <v>2 - 4 days</v>
      </c>
    </row>
    <row r="195" customFormat="false" ht="15" hidden="false" customHeight="false" outlineLevel="0" collapsed="false">
      <c r="A195" s="2" t="n">
        <v>194</v>
      </c>
      <c r="B195" s="2" t="s">
        <v>198</v>
      </c>
      <c r="C195" s="2" t="n">
        <v>58</v>
      </c>
      <c r="D195" s="2" t="n">
        <v>4</v>
      </c>
      <c r="E195" s="82" t="n">
        <v>44965</v>
      </c>
      <c r="F195" s="83" t="n">
        <v>0.487141203703704</v>
      </c>
      <c r="G195" s="82" t="n">
        <v>44966</v>
      </c>
      <c r="H195" s="83" t="n">
        <v>0.204513888888889</v>
      </c>
      <c r="I195" s="2" t="s">
        <v>529</v>
      </c>
      <c r="J195" s="2" t="s">
        <v>179</v>
      </c>
      <c r="K195" s="46" t="str">
        <f aca="false">INDEX(Products!$B$2:$B$71,MATCH($C195,Products!$A$2:$A$71,0))</f>
        <v>Sed Pack</v>
      </c>
      <c r="L195" s="46" t="str">
        <f aca="false">INDEX(Products!$C$2:$C$71,MATCH($C195,Products!$A$2:$A$71,0))</f>
        <v>Cake</v>
      </c>
      <c r="M195" s="84" t="n">
        <f aca="false">INDEX(Products!$D$2:$D$71,MATCH($C195,Products!$A$2:$A$71,0))</f>
        <v>1492</v>
      </c>
      <c r="N195" s="84" t="n">
        <f aca="false">$D195*$M195</f>
        <v>5968</v>
      </c>
      <c r="O195" s="46" t="str">
        <f aca="false">INDEX(Customers!$C$2:$C$101,MATCH($B195,Customers!$A$2:$A$101,0))</f>
        <v>Sambhal</v>
      </c>
      <c r="P195" s="46" t="str">
        <f aca="false">INDEX(Customers!$F$2:$F$101,MATCH($B195,Customers!$A$2:$A$101,0))</f>
        <v>Male</v>
      </c>
      <c r="Q195" s="46" t="str">
        <f aca="false">INDEX(Customers!$B$2:$B$101,MATCH($B195,Customers!$A$2:$A$101,0))</f>
        <v>Vardaniya Contractor</v>
      </c>
      <c r="R195" s="46" t="n">
        <f aca="false">MONTH($E195)</f>
        <v>2</v>
      </c>
      <c r="S195" s="46" t="str">
        <f aca="false">INDEX(Lists!$B$2:$B$13,$R195)</f>
        <v>February</v>
      </c>
      <c r="T195" s="46" t="n">
        <f aca="false">HOUR($F195)</f>
        <v>11</v>
      </c>
      <c r="U195" s="46" t="n">
        <f aca="false">WEEKDAY($E195,2)</f>
        <v>3</v>
      </c>
      <c r="V195" s="46" t="str">
        <f aca="false">INDEX(Lists!$F$2:$F$8,$U195)</f>
        <v>Wednesday</v>
      </c>
      <c r="W195" s="85" t="n">
        <f aca="false">($G195+$H195)-($E195+$F195)</f>
        <v>0.717372685185185</v>
      </c>
      <c r="X195" s="46" t="str">
        <f aca="false">LOOKUP($M195,Lists!$G$2:$G$5,Lists!$H$2:$H$5)</f>
        <v>₹1,000 - 1,499</v>
      </c>
      <c r="Y195" s="46" t="str">
        <f aca="false">LOOKUP($W195,Lists!$I$2:$I$7,Lists!$J$2:$J$7)</f>
        <v>0 - 2 days</v>
      </c>
    </row>
    <row r="196" customFormat="false" ht="15" hidden="false" customHeight="false" outlineLevel="0" collapsed="false">
      <c r="A196" s="7" t="n">
        <v>195</v>
      </c>
      <c r="B196" s="7" t="s">
        <v>215</v>
      </c>
      <c r="C196" s="7" t="n">
        <v>67</v>
      </c>
      <c r="D196" s="7" t="n">
        <v>5</v>
      </c>
      <c r="E196" s="77" t="n">
        <v>45026</v>
      </c>
      <c r="F196" s="78" t="n">
        <v>0.231863425925926</v>
      </c>
      <c r="G196" s="77" t="n">
        <v>45033</v>
      </c>
      <c r="H196" s="78" t="n">
        <v>0.327546296296296</v>
      </c>
      <c r="I196" s="7" t="s">
        <v>436</v>
      </c>
      <c r="J196" s="7" t="s">
        <v>168</v>
      </c>
      <c r="K196" s="79" t="str">
        <f aca="false">INDEX(Products!$B$2:$B$71,MATCH($C196,Products!$A$2:$A$71,0))</f>
        <v>Maiores Box</v>
      </c>
      <c r="L196" s="79" t="str">
        <f aca="false">INDEX(Products!$C$2:$C$71,MATCH($C196,Products!$A$2:$A$71,0))</f>
        <v>Raksha Bandhan</v>
      </c>
      <c r="M196" s="80" t="n">
        <f aca="false">INDEX(Products!$D$2:$D$71,MATCH($C196,Products!$A$2:$A$71,0))</f>
        <v>1374</v>
      </c>
      <c r="N196" s="80" t="n">
        <f aca="false">$D196*$M196</f>
        <v>6870</v>
      </c>
      <c r="O196" s="79" t="str">
        <f aca="false">INDEX(Customers!$C$2:$C$101,MATCH($B196,Customers!$A$2:$A$101,0))</f>
        <v>Davanagere</v>
      </c>
      <c r="P196" s="79" t="str">
        <f aca="false">INDEX(Customers!$F$2:$F$101,MATCH($B196,Customers!$A$2:$A$101,0))</f>
        <v>Male</v>
      </c>
      <c r="Q196" s="79" t="str">
        <f aca="false">INDEX(Customers!$B$2:$B$101,MATCH($B196,Customers!$A$2:$A$101,0))</f>
        <v>Aradhya Kumar</v>
      </c>
      <c r="R196" s="79" t="n">
        <f aca="false">MONTH($E196)</f>
        <v>4</v>
      </c>
      <c r="S196" s="79" t="str">
        <f aca="false">INDEX(Lists!$B$2:$B$13,$R196)</f>
        <v>April</v>
      </c>
      <c r="T196" s="79" t="n">
        <f aca="false">HOUR($F196)</f>
        <v>5</v>
      </c>
      <c r="U196" s="79" t="n">
        <f aca="false">WEEKDAY($E196,2)</f>
        <v>1</v>
      </c>
      <c r="V196" s="79" t="str">
        <f aca="false">INDEX(Lists!$F$2:$F$8,$U196)</f>
        <v>Monday</v>
      </c>
      <c r="W196" s="81" t="n">
        <f aca="false">($G196+$H196)-($E196+$F196)</f>
        <v>7.09568287037037</v>
      </c>
      <c r="X196" s="79" t="str">
        <f aca="false">LOOKUP($M196,Lists!$G$2:$G$5,Lists!$H$2:$H$5)</f>
        <v>₹1,000 - 1,499</v>
      </c>
      <c r="Y196" s="79" t="str">
        <f aca="false">LOOKUP($W196,Lists!$I$2:$I$7,Lists!$J$2:$J$7)</f>
        <v>6 - 8 days</v>
      </c>
    </row>
    <row r="197" customFormat="false" ht="15" hidden="false" customHeight="false" outlineLevel="0" collapsed="false">
      <c r="A197" s="2" t="n">
        <v>196</v>
      </c>
      <c r="B197" s="2" t="s">
        <v>291</v>
      </c>
      <c r="C197" s="2" t="n">
        <v>30</v>
      </c>
      <c r="D197" s="2" t="n">
        <v>2</v>
      </c>
      <c r="E197" s="82" t="n">
        <v>45143</v>
      </c>
      <c r="F197" s="83" t="n">
        <v>0.401273148148148</v>
      </c>
      <c r="G197" s="82" t="n">
        <v>45151</v>
      </c>
      <c r="H197" s="83" t="n">
        <v>0.373680555555556</v>
      </c>
      <c r="I197" s="2" t="s">
        <v>208</v>
      </c>
      <c r="J197" s="2" t="s">
        <v>168</v>
      </c>
      <c r="K197" s="46" t="str">
        <f aca="false">INDEX(Products!$B$2:$B$71,MATCH($C197,Products!$A$2:$A$71,0))</f>
        <v>Recusandae Pack</v>
      </c>
      <c r="L197" s="46" t="str">
        <f aca="false">INDEX(Products!$C$2:$C$71,MATCH($C197,Products!$A$2:$A$71,0))</f>
        <v>Colors</v>
      </c>
      <c r="M197" s="84" t="n">
        <f aca="false">INDEX(Products!$D$2:$D$71,MATCH($C197,Products!$A$2:$A$71,0))</f>
        <v>751</v>
      </c>
      <c r="N197" s="84" t="n">
        <f aca="false">$D197*$M197</f>
        <v>1502</v>
      </c>
      <c r="O197" s="46" t="str">
        <f aca="false">INDEX(Customers!$C$2:$C$101,MATCH($B197,Customers!$A$2:$A$101,0))</f>
        <v>Jamnagar</v>
      </c>
      <c r="P197" s="46" t="str">
        <f aca="false">INDEX(Customers!$F$2:$F$101,MATCH($B197,Customers!$A$2:$A$101,0))</f>
        <v>Male</v>
      </c>
      <c r="Q197" s="46" t="str">
        <f aca="false">INDEX(Customers!$B$2:$B$101,MATCH($B197,Customers!$A$2:$A$101,0))</f>
        <v>Arhaan Ahluwalia</v>
      </c>
      <c r="R197" s="46" t="n">
        <f aca="false">MONTH($E197)</f>
        <v>8</v>
      </c>
      <c r="S197" s="46" t="str">
        <f aca="false">INDEX(Lists!$B$2:$B$13,$R197)</f>
        <v>August</v>
      </c>
      <c r="T197" s="46" t="n">
        <f aca="false">HOUR($F197)</f>
        <v>9</v>
      </c>
      <c r="U197" s="46" t="n">
        <f aca="false">WEEKDAY($E197,2)</f>
        <v>6</v>
      </c>
      <c r="V197" s="46" t="str">
        <f aca="false">INDEX(Lists!$F$2:$F$8,$U197)</f>
        <v>Saturday</v>
      </c>
      <c r="W197" s="85" t="n">
        <f aca="false">($G197+$H197)-($E197+$F197)</f>
        <v>7.97240740740741</v>
      </c>
      <c r="X197" s="46" t="str">
        <f aca="false">LOOKUP($M197,Lists!$G$2:$G$5,Lists!$H$2:$H$5)</f>
        <v>₹500 - 999</v>
      </c>
      <c r="Y197" s="46" t="str">
        <f aca="false">LOOKUP($W197,Lists!$I$2:$I$7,Lists!$J$2:$J$7)</f>
        <v>6 - 8 days</v>
      </c>
    </row>
    <row r="198" customFormat="false" ht="15" hidden="false" customHeight="false" outlineLevel="0" collapsed="false">
      <c r="A198" s="7" t="n">
        <v>197</v>
      </c>
      <c r="B198" s="7" t="s">
        <v>379</v>
      </c>
      <c r="C198" s="7" t="n">
        <v>45</v>
      </c>
      <c r="D198" s="7" t="n">
        <v>2</v>
      </c>
      <c r="E198" s="77" t="n">
        <v>45007</v>
      </c>
      <c r="F198" s="78" t="n">
        <v>0.776875</v>
      </c>
      <c r="G198" s="77" t="n">
        <v>45011</v>
      </c>
      <c r="H198" s="78" t="n">
        <v>0.145902777777778</v>
      </c>
      <c r="I198" s="7" t="s">
        <v>365</v>
      </c>
      <c r="J198" s="7" t="s">
        <v>31</v>
      </c>
      <c r="K198" s="79" t="str">
        <f aca="false">INDEX(Products!$B$2:$B$71,MATCH($C198,Products!$A$2:$A$71,0))</f>
        <v>Iusto Set</v>
      </c>
      <c r="L198" s="79" t="str">
        <f aca="false">INDEX(Products!$C$2:$C$71,MATCH($C198,Products!$A$2:$A$71,0))</f>
        <v>Raksha Bandhan</v>
      </c>
      <c r="M198" s="80" t="n">
        <f aca="false">INDEX(Products!$D$2:$D$71,MATCH($C198,Products!$A$2:$A$71,0))</f>
        <v>722</v>
      </c>
      <c r="N198" s="80" t="n">
        <f aca="false">$D198*$M198</f>
        <v>1444</v>
      </c>
      <c r="O198" s="79" t="str">
        <f aca="false">INDEX(Customers!$C$2:$C$101,MATCH($B198,Customers!$A$2:$A$101,0))</f>
        <v>Warangal</v>
      </c>
      <c r="P198" s="79" t="str">
        <f aca="false">INDEX(Customers!$F$2:$F$101,MATCH($B198,Customers!$A$2:$A$101,0))</f>
        <v>Female</v>
      </c>
      <c r="Q198" s="79" t="str">
        <f aca="false">INDEX(Customers!$B$2:$B$101,MATCH($B198,Customers!$A$2:$A$101,0))</f>
        <v>Mahika Cherian</v>
      </c>
      <c r="R198" s="79" t="n">
        <f aca="false">MONTH($E198)</f>
        <v>3</v>
      </c>
      <c r="S198" s="79" t="str">
        <f aca="false">INDEX(Lists!$B$2:$B$13,$R198)</f>
        <v>March</v>
      </c>
      <c r="T198" s="79" t="n">
        <f aca="false">HOUR($F198)</f>
        <v>18</v>
      </c>
      <c r="U198" s="79" t="n">
        <f aca="false">WEEKDAY($E198,2)</f>
        <v>3</v>
      </c>
      <c r="V198" s="79" t="str">
        <f aca="false">INDEX(Lists!$F$2:$F$8,$U198)</f>
        <v>Wednesday</v>
      </c>
      <c r="W198" s="81" t="n">
        <f aca="false">($G198+$H198)-($E198+$F198)</f>
        <v>3.36902777777778</v>
      </c>
      <c r="X198" s="79" t="str">
        <f aca="false">LOOKUP($M198,Lists!$G$2:$G$5,Lists!$H$2:$H$5)</f>
        <v>₹500 - 999</v>
      </c>
      <c r="Y198" s="79" t="str">
        <f aca="false">LOOKUP($W198,Lists!$I$2:$I$7,Lists!$J$2:$J$7)</f>
        <v>2 - 4 days</v>
      </c>
    </row>
    <row r="199" customFormat="false" ht="15" hidden="false" customHeight="false" outlineLevel="0" collapsed="false">
      <c r="A199" s="2" t="n">
        <v>198</v>
      </c>
      <c r="B199" s="2" t="s">
        <v>366</v>
      </c>
      <c r="C199" s="2" t="n">
        <v>24</v>
      </c>
      <c r="D199" s="2" t="n">
        <v>2</v>
      </c>
      <c r="E199" s="82" t="n">
        <v>45165</v>
      </c>
      <c r="F199" s="83" t="n">
        <v>0.940011574074074</v>
      </c>
      <c r="G199" s="82" t="n">
        <v>45173</v>
      </c>
      <c r="H199" s="83" t="n">
        <v>0.0484953703703704</v>
      </c>
      <c r="I199" s="2" t="s">
        <v>526</v>
      </c>
      <c r="J199" s="2" t="s">
        <v>31</v>
      </c>
      <c r="K199" s="46" t="str">
        <f aca="false">INDEX(Products!$B$2:$B$71,MATCH($C199,Products!$A$2:$A$71,0))</f>
        <v>Ad Box</v>
      </c>
      <c r="L199" s="46" t="str">
        <f aca="false">INDEX(Products!$C$2:$C$71,MATCH($C199,Products!$A$2:$A$71,0))</f>
        <v>Mugs</v>
      </c>
      <c r="M199" s="84" t="n">
        <f aca="false">INDEX(Products!$D$2:$D$71,MATCH($C199,Products!$A$2:$A$71,0))</f>
        <v>535</v>
      </c>
      <c r="N199" s="84" t="n">
        <f aca="false">$D199*$M199</f>
        <v>1070</v>
      </c>
      <c r="O199" s="46" t="str">
        <f aca="false">INDEX(Customers!$C$2:$C$101,MATCH($B199,Customers!$A$2:$A$101,0))</f>
        <v>Anantapuram</v>
      </c>
      <c r="P199" s="46" t="str">
        <f aca="false">INDEX(Customers!$F$2:$F$101,MATCH($B199,Customers!$A$2:$A$101,0))</f>
        <v>Female</v>
      </c>
      <c r="Q199" s="46" t="str">
        <f aca="false">INDEX(Customers!$B$2:$B$101,MATCH($B199,Customers!$A$2:$A$101,0))</f>
        <v>Drishya De</v>
      </c>
      <c r="R199" s="46" t="n">
        <f aca="false">MONTH($E199)</f>
        <v>8</v>
      </c>
      <c r="S199" s="46" t="str">
        <f aca="false">INDEX(Lists!$B$2:$B$13,$R199)</f>
        <v>August</v>
      </c>
      <c r="T199" s="46" t="n">
        <f aca="false">HOUR($F199)</f>
        <v>22</v>
      </c>
      <c r="U199" s="46" t="n">
        <f aca="false">WEEKDAY($E199,2)</f>
        <v>7</v>
      </c>
      <c r="V199" s="46" t="str">
        <f aca="false">INDEX(Lists!$F$2:$F$8,$U199)</f>
        <v>Sunday</v>
      </c>
      <c r="W199" s="85" t="n">
        <f aca="false">($G199+$H199)-($E199+$F199)</f>
        <v>7.1084837962963</v>
      </c>
      <c r="X199" s="46" t="str">
        <f aca="false">LOOKUP($M199,Lists!$G$2:$G$5,Lists!$H$2:$H$5)</f>
        <v>₹500 - 999</v>
      </c>
      <c r="Y199" s="46" t="str">
        <f aca="false">LOOKUP($W199,Lists!$I$2:$I$7,Lists!$J$2:$J$7)</f>
        <v>6 - 8 days</v>
      </c>
    </row>
    <row r="200" customFormat="false" ht="15" hidden="false" customHeight="false" outlineLevel="0" collapsed="false">
      <c r="A200" s="7" t="n">
        <v>199</v>
      </c>
      <c r="B200" s="7" t="s">
        <v>375</v>
      </c>
      <c r="C200" s="7" t="n">
        <v>70</v>
      </c>
      <c r="D200" s="7" t="n">
        <v>5</v>
      </c>
      <c r="E200" s="77" t="n">
        <v>45154</v>
      </c>
      <c r="F200" s="78" t="n">
        <v>0.0795138888888889</v>
      </c>
      <c r="G200" s="77" t="n">
        <v>45157</v>
      </c>
      <c r="H200" s="78" t="n">
        <v>0.684016203703704</v>
      </c>
      <c r="I200" s="7" t="s">
        <v>203</v>
      </c>
      <c r="J200" s="7" t="s">
        <v>31</v>
      </c>
      <c r="K200" s="79" t="str">
        <f aca="false">INDEX(Products!$B$2:$B$71,MATCH($C200,Products!$A$2:$A$71,0))</f>
        <v>Error Gift</v>
      </c>
      <c r="L200" s="79" t="str">
        <f aca="false">INDEX(Products!$C$2:$C$71,MATCH($C200,Products!$A$2:$A$71,0))</f>
        <v>Sweets</v>
      </c>
      <c r="M200" s="80" t="n">
        <f aca="false">INDEX(Products!$D$2:$D$71,MATCH($C200,Products!$A$2:$A$71,0))</f>
        <v>866</v>
      </c>
      <c r="N200" s="80" t="n">
        <f aca="false">$D200*$M200</f>
        <v>4330</v>
      </c>
      <c r="O200" s="79" t="str">
        <f aca="false">INDEX(Customers!$C$2:$C$101,MATCH($B200,Customers!$A$2:$A$101,0))</f>
        <v>Tumkur</v>
      </c>
      <c r="P200" s="79" t="str">
        <f aca="false">INDEX(Customers!$F$2:$F$101,MATCH($B200,Customers!$A$2:$A$101,0))</f>
        <v>Male</v>
      </c>
      <c r="Q200" s="79" t="str">
        <f aca="false">INDEX(Customers!$B$2:$B$101,MATCH($B200,Customers!$A$2:$A$101,0))</f>
        <v>Mamooty Bawa</v>
      </c>
      <c r="R200" s="79" t="n">
        <f aca="false">MONTH($E200)</f>
        <v>8</v>
      </c>
      <c r="S200" s="79" t="str">
        <f aca="false">INDEX(Lists!$B$2:$B$13,$R200)</f>
        <v>August</v>
      </c>
      <c r="T200" s="79" t="n">
        <f aca="false">HOUR($F200)</f>
        <v>1</v>
      </c>
      <c r="U200" s="79" t="n">
        <f aca="false">WEEKDAY($E200,2)</f>
        <v>3</v>
      </c>
      <c r="V200" s="79" t="str">
        <f aca="false">INDEX(Lists!$F$2:$F$8,$U200)</f>
        <v>Wednesday</v>
      </c>
      <c r="W200" s="81" t="n">
        <f aca="false">($G200+$H200)-($E200+$F200)</f>
        <v>3.60450231481481</v>
      </c>
      <c r="X200" s="79" t="str">
        <f aca="false">LOOKUP($M200,Lists!$G$2:$G$5,Lists!$H$2:$H$5)</f>
        <v>₹500 - 999</v>
      </c>
      <c r="Y200" s="79" t="str">
        <f aca="false">LOOKUP($W200,Lists!$I$2:$I$7,Lists!$J$2:$J$7)</f>
        <v>2 - 4 days</v>
      </c>
    </row>
    <row r="201" customFormat="false" ht="15" hidden="false" customHeight="false" outlineLevel="0" collapsed="false">
      <c r="A201" s="2" t="n">
        <v>200</v>
      </c>
      <c r="B201" s="2" t="s">
        <v>303</v>
      </c>
      <c r="C201" s="2" t="n">
        <v>23</v>
      </c>
      <c r="D201" s="2" t="n">
        <v>5</v>
      </c>
      <c r="E201" s="82" t="n">
        <v>44929</v>
      </c>
      <c r="F201" s="83" t="n">
        <v>0.836296296296296</v>
      </c>
      <c r="G201" s="82" t="n">
        <v>44934</v>
      </c>
      <c r="H201" s="83" t="n">
        <v>0.971435185185185</v>
      </c>
      <c r="I201" s="2" t="s">
        <v>126</v>
      </c>
      <c r="J201" s="2" t="s">
        <v>168</v>
      </c>
      <c r="K201" s="46" t="str">
        <f aca="false">INDEX(Products!$B$2:$B$71,MATCH($C201,Products!$A$2:$A$71,0))</f>
        <v>Dignissimos Pack</v>
      </c>
      <c r="L201" s="46" t="str">
        <f aca="false">INDEX(Products!$C$2:$C$71,MATCH($C201,Products!$A$2:$A$71,0))</f>
        <v>Sweets</v>
      </c>
      <c r="M201" s="84" t="n">
        <f aca="false">INDEX(Products!$D$2:$D$71,MATCH($C201,Products!$A$2:$A$71,0))</f>
        <v>1098</v>
      </c>
      <c r="N201" s="84" t="n">
        <f aca="false">$D201*$M201</f>
        <v>5490</v>
      </c>
      <c r="O201" s="46" t="str">
        <f aca="false">INDEX(Customers!$C$2:$C$101,MATCH($B201,Customers!$A$2:$A$101,0))</f>
        <v>Anand</v>
      </c>
      <c r="P201" s="46" t="str">
        <f aca="false">INDEX(Customers!$F$2:$F$101,MATCH($B201,Customers!$A$2:$A$101,0))</f>
        <v>Male</v>
      </c>
      <c r="Q201" s="46" t="str">
        <f aca="false">INDEX(Customers!$B$2:$B$101,MATCH($B201,Customers!$A$2:$A$101,0))</f>
        <v>Eva Sankaran</v>
      </c>
      <c r="R201" s="46" t="n">
        <f aca="false">MONTH($E201)</f>
        <v>1</v>
      </c>
      <c r="S201" s="46" t="str">
        <f aca="false">INDEX(Lists!$B$2:$B$13,$R201)</f>
        <v>January</v>
      </c>
      <c r="T201" s="46" t="n">
        <f aca="false">HOUR($F201)</f>
        <v>20</v>
      </c>
      <c r="U201" s="46" t="n">
        <f aca="false">WEEKDAY($E201,2)</f>
        <v>2</v>
      </c>
      <c r="V201" s="46" t="str">
        <f aca="false">INDEX(Lists!$F$2:$F$8,$U201)</f>
        <v>Tuesday</v>
      </c>
      <c r="W201" s="85" t="n">
        <f aca="false">($G201+$H201)-($E201+$F201)</f>
        <v>5.13513888888889</v>
      </c>
      <c r="X201" s="46" t="str">
        <f aca="false">LOOKUP($M201,Lists!$G$2:$G$5,Lists!$H$2:$H$5)</f>
        <v>₹1,000 - 1,499</v>
      </c>
      <c r="Y201" s="46" t="str">
        <f aca="false">LOOKUP($W201,Lists!$I$2:$I$7,Lists!$J$2:$J$7)</f>
        <v>4 - 6 days</v>
      </c>
    </row>
    <row r="202" customFormat="false" ht="15" hidden="false" customHeight="false" outlineLevel="0" collapsed="false">
      <c r="A202" s="7" t="n">
        <v>201</v>
      </c>
      <c r="B202" s="7" t="s">
        <v>133</v>
      </c>
      <c r="C202" s="7" t="n">
        <v>55</v>
      </c>
      <c r="D202" s="7" t="n">
        <v>4</v>
      </c>
      <c r="E202" s="77" t="n">
        <v>45162</v>
      </c>
      <c r="F202" s="78" t="n">
        <v>0.194606481481482</v>
      </c>
      <c r="G202" s="77" t="n">
        <v>45168</v>
      </c>
      <c r="H202" s="78" t="n">
        <v>0.161435185185185</v>
      </c>
      <c r="I202" s="7" t="s">
        <v>337</v>
      </c>
      <c r="J202" s="7" t="s">
        <v>40</v>
      </c>
      <c r="K202" s="79" t="str">
        <f aca="false">INDEX(Products!$B$2:$B$71,MATCH($C202,Products!$A$2:$A$71,0))</f>
        <v>Dolores Gift</v>
      </c>
      <c r="L202" s="79" t="str">
        <f aca="false">INDEX(Products!$C$2:$C$71,MATCH($C202,Products!$A$2:$A$71,0))</f>
        <v>Soft Toys</v>
      </c>
      <c r="M202" s="80" t="n">
        <f aca="false">INDEX(Products!$D$2:$D$71,MATCH($C202,Products!$A$2:$A$71,0))</f>
        <v>1904</v>
      </c>
      <c r="N202" s="80" t="n">
        <f aca="false">$D202*$M202</f>
        <v>7616</v>
      </c>
      <c r="O202" s="79" t="str">
        <f aca="false">INDEX(Customers!$C$2:$C$101,MATCH($B202,Customers!$A$2:$A$101,0))</f>
        <v>Miryalaguda</v>
      </c>
      <c r="P202" s="79" t="str">
        <f aca="false">INDEX(Customers!$F$2:$F$101,MATCH($B202,Customers!$A$2:$A$101,0))</f>
        <v>Male</v>
      </c>
      <c r="Q202" s="79" t="str">
        <f aca="false">INDEX(Customers!$B$2:$B$101,MATCH($B202,Customers!$A$2:$A$101,0))</f>
        <v>Tarini Bava</v>
      </c>
      <c r="R202" s="79" t="n">
        <f aca="false">MONTH($E202)</f>
        <v>8</v>
      </c>
      <c r="S202" s="79" t="str">
        <f aca="false">INDEX(Lists!$B$2:$B$13,$R202)</f>
        <v>August</v>
      </c>
      <c r="T202" s="79" t="n">
        <f aca="false">HOUR($F202)</f>
        <v>4</v>
      </c>
      <c r="U202" s="79" t="n">
        <f aca="false">WEEKDAY($E202,2)</f>
        <v>4</v>
      </c>
      <c r="V202" s="79" t="str">
        <f aca="false">INDEX(Lists!$F$2:$F$8,$U202)</f>
        <v>Thursday</v>
      </c>
      <c r="W202" s="81" t="n">
        <f aca="false">($G202+$H202)-($E202+$F202)</f>
        <v>5.9668287037037</v>
      </c>
      <c r="X202" s="79" t="str">
        <f aca="false">LOOKUP($M202,Lists!$G$2:$G$5,Lists!$H$2:$H$5)</f>
        <v>₹1,500 - 2,000</v>
      </c>
      <c r="Y202" s="79" t="str">
        <f aca="false">LOOKUP($W202,Lists!$I$2:$I$7,Lists!$J$2:$J$7)</f>
        <v>4 - 6 days</v>
      </c>
    </row>
    <row r="203" customFormat="false" ht="15" hidden="false" customHeight="false" outlineLevel="0" collapsed="false">
      <c r="A203" s="2" t="n">
        <v>202</v>
      </c>
      <c r="B203" s="2" t="s">
        <v>363</v>
      </c>
      <c r="C203" s="2" t="n">
        <v>36</v>
      </c>
      <c r="D203" s="2" t="n">
        <v>5</v>
      </c>
      <c r="E203" s="82" t="n">
        <v>45134</v>
      </c>
      <c r="F203" s="83" t="n">
        <v>0.342916666666667</v>
      </c>
      <c r="G203" s="82" t="n">
        <v>45139</v>
      </c>
      <c r="H203" s="83" t="n">
        <v>0.126400462962963</v>
      </c>
      <c r="I203" s="2" t="s">
        <v>247</v>
      </c>
      <c r="J203" s="2" t="s">
        <v>31</v>
      </c>
      <c r="K203" s="46" t="str">
        <f aca="false">INDEX(Products!$B$2:$B$71,MATCH($C203,Products!$A$2:$A$71,0))</f>
        <v>Cum Gift</v>
      </c>
      <c r="L203" s="46" t="str">
        <f aca="false">INDEX(Products!$C$2:$C$71,MATCH($C203,Products!$A$2:$A$71,0))</f>
        <v>Plants</v>
      </c>
      <c r="M203" s="84" t="n">
        <f aca="false">INDEX(Products!$D$2:$D$71,MATCH($C203,Products!$A$2:$A$71,0))</f>
        <v>203</v>
      </c>
      <c r="N203" s="84" t="n">
        <f aca="false">$D203*$M203</f>
        <v>1015</v>
      </c>
      <c r="O203" s="46" t="str">
        <f aca="false">INDEX(Customers!$C$2:$C$101,MATCH($B203,Customers!$A$2:$A$101,0))</f>
        <v>Nellore</v>
      </c>
      <c r="P203" s="46" t="str">
        <f aca="false">INDEX(Customers!$F$2:$F$101,MATCH($B203,Customers!$A$2:$A$101,0))</f>
        <v>Female</v>
      </c>
      <c r="Q203" s="46" t="str">
        <f aca="false">INDEX(Customers!$B$2:$B$101,MATCH($B203,Customers!$A$2:$A$101,0))</f>
        <v>Oorja Dey</v>
      </c>
      <c r="R203" s="46" t="n">
        <f aca="false">MONTH($E203)</f>
        <v>7</v>
      </c>
      <c r="S203" s="46" t="str">
        <f aca="false">INDEX(Lists!$B$2:$B$13,$R203)</f>
        <v>July</v>
      </c>
      <c r="T203" s="46" t="n">
        <f aca="false">HOUR($F203)</f>
        <v>8</v>
      </c>
      <c r="U203" s="46" t="n">
        <f aca="false">WEEKDAY($E203,2)</f>
        <v>4</v>
      </c>
      <c r="V203" s="46" t="str">
        <f aca="false">INDEX(Lists!$F$2:$F$8,$U203)</f>
        <v>Thursday</v>
      </c>
      <c r="W203" s="85" t="n">
        <f aca="false">($G203+$H203)-($E203+$F203)</f>
        <v>4.7834837962963</v>
      </c>
      <c r="X203" s="46" t="str">
        <f aca="false">LOOKUP($M203,Lists!$G$2:$G$5,Lists!$H$2:$H$5)</f>
        <v>₹0 - 499</v>
      </c>
      <c r="Y203" s="46" t="str">
        <f aca="false">LOOKUP($W203,Lists!$I$2:$I$7,Lists!$J$2:$J$7)</f>
        <v>4 - 6 days</v>
      </c>
    </row>
    <row r="204" customFormat="false" ht="15" hidden="false" customHeight="false" outlineLevel="0" collapsed="false">
      <c r="A204" s="7" t="n">
        <v>203</v>
      </c>
      <c r="B204" s="7" t="s">
        <v>221</v>
      </c>
      <c r="C204" s="7" t="n">
        <v>9</v>
      </c>
      <c r="D204" s="7" t="n">
        <v>5</v>
      </c>
      <c r="E204" s="77" t="n">
        <v>45167</v>
      </c>
      <c r="F204" s="78" t="n">
        <v>0.235416666666667</v>
      </c>
      <c r="G204" s="77" t="n">
        <v>45177</v>
      </c>
      <c r="H204" s="78" t="n">
        <v>0.944606481481482</v>
      </c>
      <c r="I204" s="7" t="s">
        <v>606</v>
      </c>
      <c r="J204" s="7" t="s">
        <v>40</v>
      </c>
      <c r="K204" s="79" t="str">
        <f aca="false">INDEX(Products!$B$2:$B$71,MATCH($C204,Products!$A$2:$A$71,0))</f>
        <v>Aperiam Box</v>
      </c>
      <c r="L204" s="79" t="str">
        <f aca="false">INDEX(Products!$C$2:$C$71,MATCH($C204,Products!$A$2:$A$71,0))</f>
        <v>Colors</v>
      </c>
      <c r="M204" s="80" t="n">
        <f aca="false">INDEX(Products!$D$2:$D$71,MATCH($C204,Products!$A$2:$A$71,0))</f>
        <v>1605</v>
      </c>
      <c r="N204" s="80" t="n">
        <f aca="false">$D204*$M204</f>
        <v>8025</v>
      </c>
      <c r="O204" s="79" t="str">
        <f aca="false">INDEX(Customers!$C$2:$C$101,MATCH($B204,Customers!$A$2:$A$101,0))</f>
        <v>Kamarhati</v>
      </c>
      <c r="P204" s="79" t="str">
        <f aca="false">INDEX(Customers!$F$2:$F$101,MATCH($B204,Customers!$A$2:$A$101,0))</f>
        <v>Male</v>
      </c>
      <c r="Q204" s="79" t="str">
        <f aca="false">INDEX(Customers!$B$2:$B$101,MATCH($B204,Customers!$A$2:$A$101,0))</f>
        <v>Kaira Bahl</v>
      </c>
      <c r="R204" s="79" t="n">
        <f aca="false">MONTH($E204)</f>
        <v>8</v>
      </c>
      <c r="S204" s="79" t="str">
        <f aca="false">INDEX(Lists!$B$2:$B$13,$R204)</f>
        <v>August</v>
      </c>
      <c r="T204" s="79" t="n">
        <f aca="false">HOUR($F204)</f>
        <v>5</v>
      </c>
      <c r="U204" s="79" t="n">
        <f aca="false">WEEKDAY($E204,2)</f>
        <v>2</v>
      </c>
      <c r="V204" s="79" t="str">
        <f aca="false">INDEX(Lists!$F$2:$F$8,$U204)</f>
        <v>Tuesday</v>
      </c>
      <c r="W204" s="81" t="n">
        <f aca="false">($G204+$H204)-($E204+$F204)</f>
        <v>10.7091898148148</v>
      </c>
      <c r="X204" s="79" t="str">
        <f aca="false">LOOKUP($M204,Lists!$G$2:$G$5,Lists!$H$2:$H$5)</f>
        <v>₹1,500 - 2,000</v>
      </c>
      <c r="Y204" s="79" t="str">
        <f aca="false">LOOKUP($W204,Lists!$I$2:$I$7,Lists!$J$2:$J$7)</f>
        <v>Over 10 days</v>
      </c>
    </row>
    <row r="205" customFormat="false" ht="15" hidden="false" customHeight="false" outlineLevel="0" collapsed="false">
      <c r="A205" s="2" t="n">
        <v>204</v>
      </c>
      <c r="B205" s="2" t="s">
        <v>288</v>
      </c>
      <c r="C205" s="2" t="n">
        <v>10</v>
      </c>
      <c r="D205" s="2" t="n">
        <v>4</v>
      </c>
      <c r="E205" s="82" t="n">
        <v>45110</v>
      </c>
      <c r="F205" s="83" t="n">
        <v>0.449108796296296</v>
      </c>
      <c r="G205" s="82" t="n">
        <v>45116</v>
      </c>
      <c r="H205" s="83" t="n">
        <v>0.270173611111111</v>
      </c>
      <c r="I205" s="2" t="s">
        <v>428</v>
      </c>
      <c r="J205" s="2" t="s">
        <v>31</v>
      </c>
      <c r="K205" s="46" t="str">
        <f aca="false">INDEX(Products!$B$2:$B$71,MATCH($C205,Products!$A$2:$A$71,0))</f>
        <v>Accusantium Gift</v>
      </c>
      <c r="L205" s="46" t="str">
        <f aca="false">INDEX(Products!$C$2:$C$71,MATCH($C205,Products!$A$2:$A$71,0))</f>
        <v>Cake</v>
      </c>
      <c r="M205" s="84" t="n">
        <f aca="false">INDEX(Products!$D$2:$D$71,MATCH($C205,Products!$A$2:$A$71,0))</f>
        <v>259</v>
      </c>
      <c r="N205" s="84" t="n">
        <f aca="false">$D205*$M205</f>
        <v>1036</v>
      </c>
      <c r="O205" s="46" t="str">
        <f aca="false">INDEX(Customers!$C$2:$C$101,MATCH($B205,Customers!$A$2:$A$101,0))</f>
        <v>Nagpur</v>
      </c>
      <c r="P205" s="46" t="str">
        <f aca="false">INDEX(Customers!$F$2:$F$101,MATCH($B205,Customers!$A$2:$A$101,0))</f>
        <v>Male</v>
      </c>
      <c r="Q205" s="46" t="str">
        <f aca="false">INDEX(Customers!$B$2:$B$101,MATCH($B205,Customers!$A$2:$A$101,0))</f>
        <v>Inaaya  Sarraf</v>
      </c>
      <c r="R205" s="46" t="n">
        <f aca="false">MONTH($E205)</f>
        <v>7</v>
      </c>
      <c r="S205" s="46" t="str">
        <f aca="false">INDEX(Lists!$B$2:$B$13,$R205)</f>
        <v>July</v>
      </c>
      <c r="T205" s="46" t="n">
        <f aca="false">HOUR($F205)</f>
        <v>10</v>
      </c>
      <c r="U205" s="46" t="n">
        <f aca="false">WEEKDAY($E205,2)</f>
        <v>1</v>
      </c>
      <c r="V205" s="46" t="str">
        <f aca="false">INDEX(Lists!$F$2:$F$8,$U205)</f>
        <v>Monday</v>
      </c>
      <c r="W205" s="85" t="n">
        <f aca="false">($G205+$H205)-($E205+$F205)</f>
        <v>5.82106481481481</v>
      </c>
      <c r="X205" s="46" t="str">
        <f aca="false">LOOKUP($M205,Lists!$G$2:$G$5,Lists!$H$2:$H$5)</f>
        <v>₹0 - 499</v>
      </c>
      <c r="Y205" s="46" t="str">
        <f aca="false">LOOKUP($W205,Lists!$I$2:$I$7,Lists!$J$2:$J$7)</f>
        <v>4 - 6 days</v>
      </c>
    </row>
    <row r="206" customFormat="false" ht="15" hidden="false" customHeight="false" outlineLevel="0" collapsed="false">
      <c r="A206" s="7" t="n">
        <v>205</v>
      </c>
      <c r="B206" s="7" t="s">
        <v>181</v>
      </c>
      <c r="C206" s="7" t="n">
        <v>46</v>
      </c>
      <c r="D206" s="7" t="n">
        <v>5</v>
      </c>
      <c r="E206" s="77" t="n">
        <v>45113</v>
      </c>
      <c r="F206" s="78" t="n">
        <v>0.220381944444444</v>
      </c>
      <c r="G206" s="77" t="n">
        <v>45116</v>
      </c>
      <c r="H206" s="78" t="n">
        <v>0.491111111111111</v>
      </c>
      <c r="I206" s="7" t="s">
        <v>324</v>
      </c>
      <c r="J206" s="7" t="s">
        <v>168</v>
      </c>
      <c r="K206" s="79" t="str">
        <f aca="false">INDEX(Products!$B$2:$B$71,MATCH($C206,Products!$A$2:$A$71,0))</f>
        <v>Pariatur Set</v>
      </c>
      <c r="L206" s="79" t="str">
        <f aca="false">INDEX(Products!$C$2:$C$71,MATCH($C206,Products!$A$2:$A$71,0))</f>
        <v>Cake</v>
      </c>
      <c r="M206" s="80" t="n">
        <f aca="false">INDEX(Products!$D$2:$D$71,MATCH($C206,Products!$A$2:$A$71,0))</f>
        <v>758</v>
      </c>
      <c r="N206" s="80" t="n">
        <f aca="false">$D206*$M206</f>
        <v>3790</v>
      </c>
      <c r="O206" s="79" t="str">
        <f aca="false">INDEX(Customers!$C$2:$C$101,MATCH($B206,Customers!$A$2:$A$101,0))</f>
        <v>Khandwa</v>
      </c>
      <c r="P206" s="79" t="str">
        <f aca="false">INDEX(Customers!$F$2:$F$101,MATCH($B206,Customers!$A$2:$A$101,0))</f>
        <v>Male</v>
      </c>
      <c r="Q206" s="79" t="str">
        <f aca="false">INDEX(Customers!$B$2:$B$101,MATCH($B206,Customers!$A$2:$A$101,0))</f>
        <v>Ivana Rout</v>
      </c>
      <c r="R206" s="79" t="n">
        <f aca="false">MONTH($E206)</f>
        <v>7</v>
      </c>
      <c r="S206" s="79" t="str">
        <f aca="false">INDEX(Lists!$B$2:$B$13,$R206)</f>
        <v>July</v>
      </c>
      <c r="T206" s="79" t="n">
        <f aca="false">HOUR($F206)</f>
        <v>5</v>
      </c>
      <c r="U206" s="79" t="n">
        <f aca="false">WEEKDAY($E206,2)</f>
        <v>4</v>
      </c>
      <c r="V206" s="79" t="str">
        <f aca="false">INDEX(Lists!$F$2:$F$8,$U206)</f>
        <v>Thursday</v>
      </c>
      <c r="W206" s="81" t="n">
        <f aca="false">($G206+$H206)-($E206+$F206)</f>
        <v>3.27072916666667</v>
      </c>
      <c r="X206" s="79" t="str">
        <f aca="false">LOOKUP($M206,Lists!$G$2:$G$5,Lists!$H$2:$H$5)</f>
        <v>₹500 - 999</v>
      </c>
      <c r="Y206" s="79" t="str">
        <f aca="false">LOOKUP($W206,Lists!$I$2:$I$7,Lists!$J$2:$J$7)</f>
        <v>2 - 4 days</v>
      </c>
    </row>
    <row r="207" customFormat="false" ht="15" hidden="false" customHeight="false" outlineLevel="0" collapsed="false">
      <c r="A207" s="2" t="n">
        <v>206</v>
      </c>
      <c r="B207" s="2" t="s">
        <v>390</v>
      </c>
      <c r="C207" s="2" t="n">
        <v>68</v>
      </c>
      <c r="D207" s="2" t="n">
        <v>3</v>
      </c>
      <c r="E207" s="82" t="n">
        <v>44968</v>
      </c>
      <c r="F207" s="83" t="n">
        <v>0.925185185185185</v>
      </c>
      <c r="G207" s="82" t="n">
        <v>44970</v>
      </c>
      <c r="H207" s="83" t="n">
        <v>0.529178240740741</v>
      </c>
      <c r="I207" s="2" t="s">
        <v>600</v>
      </c>
      <c r="J207" s="2" t="s">
        <v>179</v>
      </c>
      <c r="K207" s="46" t="str">
        <f aca="false">INDEX(Products!$B$2:$B$71,MATCH($C207,Products!$A$2:$A$71,0))</f>
        <v>Quas Gift</v>
      </c>
      <c r="L207" s="46" t="str">
        <f aca="false">INDEX(Products!$C$2:$C$71,MATCH($C207,Products!$A$2:$A$71,0))</f>
        <v>Soft Toys</v>
      </c>
      <c r="M207" s="84" t="n">
        <f aca="false">INDEX(Products!$D$2:$D$71,MATCH($C207,Products!$A$2:$A$71,0))</f>
        <v>597</v>
      </c>
      <c r="N207" s="84" t="n">
        <f aca="false">$D207*$M207</f>
        <v>1791</v>
      </c>
      <c r="O207" s="46" t="str">
        <f aca="false">INDEX(Customers!$C$2:$C$101,MATCH($B207,Customers!$A$2:$A$101,0))</f>
        <v>Dhanbad</v>
      </c>
      <c r="P207" s="46" t="str">
        <f aca="false">INDEX(Customers!$F$2:$F$101,MATCH($B207,Customers!$A$2:$A$101,0))</f>
        <v>Female</v>
      </c>
      <c r="Q207" s="46" t="str">
        <f aca="false">INDEX(Customers!$B$2:$B$101,MATCH($B207,Customers!$A$2:$A$101,0))</f>
        <v>Ranbir Loyal</v>
      </c>
      <c r="R207" s="46" t="n">
        <f aca="false">MONTH($E207)</f>
        <v>2</v>
      </c>
      <c r="S207" s="46" t="str">
        <f aca="false">INDEX(Lists!$B$2:$B$13,$R207)</f>
        <v>February</v>
      </c>
      <c r="T207" s="46" t="n">
        <f aca="false">HOUR($F207)</f>
        <v>22</v>
      </c>
      <c r="U207" s="46" t="n">
        <f aca="false">WEEKDAY($E207,2)</f>
        <v>6</v>
      </c>
      <c r="V207" s="46" t="str">
        <f aca="false">INDEX(Lists!$F$2:$F$8,$U207)</f>
        <v>Saturday</v>
      </c>
      <c r="W207" s="85" t="n">
        <f aca="false">($G207+$H207)-($E207+$F207)</f>
        <v>1.60399305555556</v>
      </c>
      <c r="X207" s="46" t="str">
        <f aca="false">LOOKUP($M207,Lists!$G$2:$G$5,Lists!$H$2:$H$5)</f>
        <v>₹500 - 999</v>
      </c>
      <c r="Y207" s="46" t="str">
        <f aca="false">LOOKUP($W207,Lists!$I$2:$I$7,Lists!$J$2:$J$7)</f>
        <v>0 - 2 days</v>
      </c>
    </row>
    <row r="208" customFormat="false" ht="15" hidden="false" customHeight="false" outlineLevel="0" collapsed="false">
      <c r="A208" s="7" t="n">
        <v>207</v>
      </c>
      <c r="B208" s="7" t="s">
        <v>334</v>
      </c>
      <c r="C208" s="7" t="n">
        <v>6</v>
      </c>
      <c r="D208" s="7" t="n">
        <v>2</v>
      </c>
      <c r="E208" s="77" t="n">
        <v>44990</v>
      </c>
      <c r="F208" s="78" t="n">
        <v>0.0508796296296296</v>
      </c>
      <c r="G208" s="77" t="n">
        <v>44992</v>
      </c>
      <c r="H208" s="78" t="n">
        <v>0.511064814814815</v>
      </c>
      <c r="I208" s="7" t="s">
        <v>169</v>
      </c>
      <c r="J208" s="7" t="s">
        <v>33</v>
      </c>
      <c r="K208" s="79" t="str">
        <f aca="false">INDEX(Products!$B$2:$B$71,MATCH($C208,Products!$A$2:$A$71,0))</f>
        <v>Quos Box</v>
      </c>
      <c r="L208" s="79" t="str">
        <f aca="false">INDEX(Products!$C$2:$C$71,MATCH($C208,Products!$A$2:$A$71,0))</f>
        <v>Cake</v>
      </c>
      <c r="M208" s="80" t="n">
        <f aca="false">INDEX(Products!$D$2:$D$71,MATCH($C208,Products!$A$2:$A$71,0))</f>
        <v>1112</v>
      </c>
      <c r="N208" s="80" t="n">
        <f aca="false">$D208*$M208</f>
        <v>2224</v>
      </c>
      <c r="O208" s="79" t="str">
        <f aca="false">INDEX(Customers!$C$2:$C$101,MATCH($B208,Customers!$A$2:$A$101,0))</f>
        <v>Bhubaneswar</v>
      </c>
      <c r="P208" s="79" t="str">
        <f aca="false">INDEX(Customers!$F$2:$F$101,MATCH($B208,Customers!$A$2:$A$101,0))</f>
        <v>Female</v>
      </c>
      <c r="Q208" s="79" t="str">
        <f aca="false">INDEX(Customers!$B$2:$B$101,MATCH($B208,Customers!$A$2:$A$101,0))</f>
        <v>Jivika Rajan</v>
      </c>
      <c r="R208" s="79" t="n">
        <f aca="false">MONTH($E208)</f>
        <v>3</v>
      </c>
      <c r="S208" s="79" t="str">
        <f aca="false">INDEX(Lists!$B$2:$B$13,$R208)</f>
        <v>March</v>
      </c>
      <c r="T208" s="79" t="n">
        <f aca="false">HOUR($F208)</f>
        <v>1</v>
      </c>
      <c r="U208" s="79" t="n">
        <f aca="false">WEEKDAY($E208,2)</f>
        <v>7</v>
      </c>
      <c r="V208" s="79" t="str">
        <f aca="false">INDEX(Lists!$F$2:$F$8,$U208)</f>
        <v>Sunday</v>
      </c>
      <c r="W208" s="81" t="n">
        <f aca="false">($G208+$H208)-($E208+$F208)</f>
        <v>2.46018518518519</v>
      </c>
      <c r="X208" s="79" t="str">
        <f aca="false">LOOKUP($M208,Lists!$G$2:$G$5,Lists!$H$2:$H$5)</f>
        <v>₹1,000 - 1,499</v>
      </c>
      <c r="Y208" s="79" t="str">
        <f aca="false">LOOKUP($W208,Lists!$I$2:$I$7,Lists!$J$2:$J$7)</f>
        <v>2 - 4 days</v>
      </c>
    </row>
    <row r="209" customFormat="false" ht="15" hidden="false" customHeight="false" outlineLevel="0" collapsed="false">
      <c r="A209" s="2" t="n">
        <v>208</v>
      </c>
      <c r="B209" s="2" t="s">
        <v>124</v>
      </c>
      <c r="C209" s="2" t="n">
        <v>18</v>
      </c>
      <c r="D209" s="2" t="n">
        <v>5</v>
      </c>
      <c r="E209" s="82" t="n">
        <v>45018</v>
      </c>
      <c r="F209" s="83" t="n">
        <v>0.188043981481482</v>
      </c>
      <c r="G209" s="82" t="n">
        <v>45028</v>
      </c>
      <c r="H209" s="83" t="n">
        <v>0.29625</v>
      </c>
      <c r="I209" s="2" t="s">
        <v>468</v>
      </c>
      <c r="J209" s="2" t="s">
        <v>31</v>
      </c>
      <c r="K209" s="46" t="str">
        <f aca="false">INDEX(Products!$B$2:$B$71,MATCH($C209,Products!$A$2:$A$71,0))</f>
        <v>Nemo Set</v>
      </c>
      <c r="L209" s="46" t="str">
        <f aca="false">INDEX(Products!$C$2:$C$71,MATCH($C209,Products!$A$2:$A$71,0))</f>
        <v>Plants</v>
      </c>
      <c r="M209" s="84" t="n">
        <f aca="false">INDEX(Products!$D$2:$D$71,MATCH($C209,Products!$A$2:$A$71,0))</f>
        <v>781</v>
      </c>
      <c r="N209" s="84" t="n">
        <f aca="false">$D209*$M209</f>
        <v>3905</v>
      </c>
      <c r="O209" s="46" t="str">
        <f aca="false">INDEX(Customers!$C$2:$C$101,MATCH($B209,Customers!$A$2:$A$101,0))</f>
        <v>Panchkula</v>
      </c>
      <c r="P209" s="46" t="str">
        <f aca="false">INDEX(Customers!$F$2:$F$101,MATCH($B209,Customers!$A$2:$A$101,0))</f>
        <v>Female</v>
      </c>
      <c r="Q209" s="46" t="str">
        <f aca="false">INDEX(Customers!$B$2:$B$101,MATCH($B209,Customers!$A$2:$A$101,0))</f>
        <v>Tara Krishnan</v>
      </c>
      <c r="R209" s="46" t="n">
        <f aca="false">MONTH($E209)</f>
        <v>4</v>
      </c>
      <c r="S209" s="46" t="str">
        <f aca="false">INDEX(Lists!$B$2:$B$13,$R209)</f>
        <v>April</v>
      </c>
      <c r="T209" s="46" t="n">
        <f aca="false">HOUR($F209)</f>
        <v>4</v>
      </c>
      <c r="U209" s="46" t="n">
        <f aca="false">WEEKDAY($E209,2)</f>
        <v>7</v>
      </c>
      <c r="V209" s="46" t="str">
        <f aca="false">INDEX(Lists!$F$2:$F$8,$U209)</f>
        <v>Sunday</v>
      </c>
      <c r="W209" s="85" t="n">
        <f aca="false">($G209+$H209)-($E209+$F209)</f>
        <v>10.1082060185185</v>
      </c>
      <c r="X209" s="46" t="str">
        <f aca="false">LOOKUP($M209,Lists!$G$2:$G$5,Lists!$H$2:$H$5)</f>
        <v>₹500 - 999</v>
      </c>
      <c r="Y209" s="46" t="str">
        <f aca="false">LOOKUP($W209,Lists!$I$2:$I$7,Lists!$J$2:$J$7)</f>
        <v>Over 10 days</v>
      </c>
    </row>
    <row r="210" customFormat="false" ht="15" hidden="false" customHeight="false" outlineLevel="0" collapsed="false">
      <c r="A210" s="7" t="n">
        <v>209</v>
      </c>
      <c r="B210" s="7" t="s">
        <v>313</v>
      </c>
      <c r="C210" s="7" t="n">
        <v>70</v>
      </c>
      <c r="D210" s="7" t="n">
        <v>2</v>
      </c>
      <c r="E210" s="77" t="n">
        <v>45099</v>
      </c>
      <c r="F210" s="78" t="n">
        <v>0.0309259259259259</v>
      </c>
      <c r="G210" s="77" t="n">
        <v>45100</v>
      </c>
      <c r="H210" s="78" t="n">
        <v>0.905925925925926</v>
      </c>
      <c r="I210" s="7" t="s">
        <v>403</v>
      </c>
      <c r="J210" s="7" t="s">
        <v>31</v>
      </c>
      <c r="K210" s="79" t="str">
        <f aca="false">INDEX(Products!$B$2:$B$71,MATCH($C210,Products!$A$2:$A$71,0))</f>
        <v>Error Gift</v>
      </c>
      <c r="L210" s="79" t="str">
        <f aca="false">INDEX(Products!$C$2:$C$71,MATCH($C210,Products!$A$2:$A$71,0))</f>
        <v>Sweets</v>
      </c>
      <c r="M210" s="80" t="n">
        <f aca="false">INDEX(Products!$D$2:$D$71,MATCH($C210,Products!$A$2:$A$71,0))</f>
        <v>866</v>
      </c>
      <c r="N210" s="80" t="n">
        <f aca="false">$D210*$M210</f>
        <v>1732</v>
      </c>
      <c r="O210" s="79" t="str">
        <f aca="false">INDEX(Customers!$C$2:$C$101,MATCH($B210,Customers!$A$2:$A$101,0))</f>
        <v>Tiruppur</v>
      </c>
      <c r="P210" s="79" t="str">
        <f aca="false">INDEX(Customers!$F$2:$F$101,MATCH($B210,Customers!$A$2:$A$101,0))</f>
        <v>Male</v>
      </c>
      <c r="Q210" s="79" t="str">
        <f aca="false">INDEX(Customers!$B$2:$B$101,MATCH($B210,Customers!$A$2:$A$101,0))</f>
        <v>Purab Sheth</v>
      </c>
      <c r="R210" s="79" t="n">
        <f aca="false">MONTH($E210)</f>
        <v>6</v>
      </c>
      <c r="S210" s="79" t="str">
        <f aca="false">INDEX(Lists!$B$2:$B$13,$R210)</f>
        <v>June</v>
      </c>
      <c r="T210" s="79" t="n">
        <f aca="false">HOUR($F210)</f>
        <v>0</v>
      </c>
      <c r="U210" s="79" t="n">
        <f aca="false">WEEKDAY($E210,2)</f>
        <v>4</v>
      </c>
      <c r="V210" s="79" t="str">
        <f aca="false">INDEX(Lists!$F$2:$F$8,$U210)</f>
        <v>Thursday</v>
      </c>
      <c r="W210" s="81" t="n">
        <f aca="false">($G210+$H210)-($E210+$F210)</f>
        <v>1.875</v>
      </c>
      <c r="X210" s="79" t="str">
        <f aca="false">LOOKUP($M210,Lists!$G$2:$G$5,Lists!$H$2:$H$5)</f>
        <v>₹500 - 999</v>
      </c>
      <c r="Y210" s="79" t="str">
        <f aca="false">LOOKUP($W210,Lists!$I$2:$I$7,Lists!$J$2:$J$7)</f>
        <v>0 - 2 days</v>
      </c>
    </row>
    <row r="211" customFormat="false" ht="15" hidden="false" customHeight="false" outlineLevel="0" collapsed="false">
      <c r="A211" s="2" t="n">
        <v>210</v>
      </c>
      <c r="B211" s="2" t="s">
        <v>379</v>
      </c>
      <c r="C211" s="2" t="n">
        <v>32</v>
      </c>
      <c r="D211" s="2" t="n">
        <v>4</v>
      </c>
      <c r="E211" s="82" t="n">
        <v>45270</v>
      </c>
      <c r="F211" s="83" t="n">
        <v>0.0323148148148148</v>
      </c>
      <c r="G211" s="82" t="n">
        <v>45275</v>
      </c>
      <c r="H211" s="83" t="n">
        <v>0.335127314814815</v>
      </c>
      <c r="I211" s="2" t="s">
        <v>150</v>
      </c>
      <c r="J211" s="2" t="s">
        <v>31</v>
      </c>
      <c r="K211" s="46" t="str">
        <f aca="false">INDEX(Products!$B$2:$B$71,MATCH($C211,Products!$A$2:$A$71,0))</f>
        <v>Fuga Set</v>
      </c>
      <c r="L211" s="46" t="str">
        <f aca="false">INDEX(Products!$C$2:$C$71,MATCH($C211,Products!$A$2:$A$71,0))</f>
        <v>Soft Toys</v>
      </c>
      <c r="M211" s="84" t="n">
        <f aca="false">INDEX(Products!$D$2:$D$71,MATCH($C211,Products!$A$2:$A$71,0))</f>
        <v>1792</v>
      </c>
      <c r="N211" s="84" t="n">
        <f aca="false">$D211*$M211</f>
        <v>7168</v>
      </c>
      <c r="O211" s="46" t="str">
        <f aca="false">INDEX(Customers!$C$2:$C$101,MATCH($B211,Customers!$A$2:$A$101,0))</f>
        <v>Warangal</v>
      </c>
      <c r="P211" s="46" t="str">
        <f aca="false">INDEX(Customers!$F$2:$F$101,MATCH($B211,Customers!$A$2:$A$101,0))</f>
        <v>Female</v>
      </c>
      <c r="Q211" s="46" t="str">
        <f aca="false">INDEX(Customers!$B$2:$B$101,MATCH($B211,Customers!$A$2:$A$101,0))</f>
        <v>Mahika Cherian</v>
      </c>
      <c r="R211" s="46" t="n">
        <f aca="false">MONTH($E211)</f>
        <v>12</v>
      </c>
      <c r="S211" s="46" t="str">
        <f aca="false">INDEX(Lists!$B$2:$B$13,$R211)</f>
        <v>December</v>
      </c>
      <c r="T211" s="46" t="n">
        <f aca="false">HOUR($F211)</f>
        <v>0</v>
      </c>
      <c r="U211" s="46" t="n">
        <f aca="false">WEEKDAY($E211,2)</f>
        <v>7</v>
      </c>
      <c r="V211" s="46" t="str">
        <f aca="false">INDEX(Lists!$F$2:$F$8,$U211)</f>
        <v>Sunday</v>
      </c>
      <c r="W211" s="85" t="n">
        <f aca="false">($G211+$H211)-($E211+$F211)</f>
        <v>5.3028125</v>
      </c>
      <c r="X211" s="46" t="str">
        <f aca="false">LOOKUP($M211,Lists!$G$2:$G$5,Lists!$H$2:$H$5)</f>
        <v>₹1,500 - 2,000</v>
      </c>
      <c r="Y211" s="46" t="str">
        <f aca="false">LOOKUP($W211,Lists!$I$2:$I$7,Lists!$J$2:$J$7)</f>
        <v>4 - 6 days</v>
      </c>
    </row>
    <row r="212" customFormat="false" ht="15" hidden="false" customHeight="false" outlineLevel="0" collapsed="false">
      <c r="A212" s="7" t="n">
        <v>211</v>
      </c>
      <c r="B212" s="7" t="s">
        <v>233</v>
      </c>
      <c r="C212" s="7" t="n">
        <v>31</v>
      </c>
      <c r="D212" s="7" t="n">
        <v>5</v>
      </c>
      <c r="E212" s="77" t="n">
        <v>45221</v>
      </c>
      <c r="F212" s="78" t="n">
        <v>0.760405092592593</v>
      </c>
      <c r="G212" s="77" t="n">
        <v>45228</v>
      </c>
      <c r="H212" s="78" t="n">
        <v>0.736145833333333</v>
      </c>
      <c r="I212" s="7" t="s">
        <v>515</v>
      </c>
      <c r="J212" s="7" t="s">
        <v>165</v>
      </c>
      <c r="K212" s="79" t="str">
        <f aca="false">INDEX(Products!$B$2:$B$71,MATCH($C212,Products!$A$2:$A$71,0))</f>
        <v>Nihil Box</v>
      </c>
      <c r="L212" s="79" t="str">
        <f aca="false">INDEX(Products!$C$2:$C$71,MATCH($C212,Products!$A$2:$A$71,0))</f>
        <v>Colors</v>
      </c>
      <c r="M212" s="80" t="n">
        <f aca="false">INDEX(Products!$D$2:$D$71,MATCH($C212,Products!$A$2:$A$71,0))</f>
        <v>1804</v>
      </c>
      <c r="N212" s="80" t="n">
        <f aca="false">$D212*$M212</f>
        <v>9020</v>
      </c>
      <c r="O212" s="79" t="str">
        <f aca="false">INDEX(Customers!$C$2:$C$101,MATCH($B212,Customers!$A$2:$A$101,0))</f>
        <v>Vellore</v>
      </c>
      <c r="P212" s="79" t="str">
        <f aca="false">INDEX(Customers!$F$2:$F$101,MATCH($B212,Customers!$A$2:$A$101,0))</f>
        <v>Female</v>
      </c>
      <c r="Q212" s="79" t="str">
        <f aca="false">INDEX(Customers!$B$2:$B$101,MATCH($B212,Customers!$A$2:$A$101,0))</f>
        <v>Yasmin Sheth</v>
      </c>
      <c r="R212" s="79" t="n">
        <f aca="false">MONTH($E212)</f>
        <v>10</v>
      </c>
      <c r="S212" s="79" t="str">
        <f aca="false">INDEX(Lists!$B$2:$B$13,$R212)</f>
        <v>October</v>
      </c>
      <c r="T212" s="79" t="n">
        <f aca="false">HOUR($F212)</f>
        <v>18</v>
      </c>
      <c r="U212" s="79" t="n">
        <f aca="false">WEEKDAY($E212,2)</f>
        <v>7</v>
      </c>
      <c r="V212" s="79" t="str">
        <f aca="false">INDEX(Lists!$F$2:$F$8,$U212)</f>
        <v>Sunday</v>
      </c>
      <c r="W212" s="81" t="n">
        <f aca="false">($G212+$H212)-($E212+$F212)</f>
        <v>6.97574074074074</v>
      </c>
      <c r="X212" s="79" t="str">
        <f aca="false">LOOKUP($M212,Lists!$G$2:$G$5,Lists!$H$2:$H$5)</f>
        <v>₹1,500 - 2,000</v>
      </c>
      <c r="Y212" s="79" t="str">
        <f aca="false">LOOKUP($W212,Lists!$I$2:$I$7,Lists!$J$2:$J$7)</f>
        <v>6 - 8 days</v>
      </c>
    </row>
    <row r="213" customFormat="false" ht="15" hidden="false" customHeight="false" outlineLevel="0" collapsed="false">
      <c r="A213" s="2" t="n">
        <v>212</v>
      </c>
      <c r="B213" s="2" t="s">
        <v>375</v>
      </c>
      <c r="C213" s="2" t="n">
        <v>7</v>
      </c>
      <c r="D213" s="2" t="n">
        <v>2</v>
      </c>
      <c r="E213" s="82" t="n">
        <v>44985</v>
      </c>
      <c r="F213" s="83" t="n">
        <v>0.301851851851852</v>
      </c>
      <c r="G213" s="82" t="n">
        <v>44990</v>
      </c>
      <c r="H213" s="83" t="n">
        <v>0.834548611111111</v>
      </c>
      <c r="I213" s="2" t="s">
        <v>516</v>
      </c>
      <c r="J213" s="2" t="s">
        <v>33</v>
      </c>
      <c r="K213" s="46" t="str">
        <f aca="false">INDEX(Products!$B$2:$B$71,MATCH($C213,Products!$A$2:$A$71,0))</f>
        <v>Quos Set</v>
      </c>
      <c r="L213" s="46" t="str">
        <f aca="false">INDEX(Products!$C$2:$C$71,MATCH($C213,Products!$A$2:$A$71,0))</f>
        <v>Soft Toys</v>
      </c>
      <c r="M213" s="84" t="n">
        <f aca="false">INDEX(Products!$D$2:$D$71,MATCH($C213,Products!$A$2:$A$71,0))</f>
        <v>409</v>
      </c>
      <c r="N213" s="84" t="n">
        <f aca="false">$D213*$M213</f>
        <v>818</v>
      </c>
      <c r="O213" s="46" t="str">
        <f aca="false">INDEX(Customers!$C$2:$C$101,MATCH($B213,Customers!$A$2:$A$101,0))</f>
        <v>Tumkur</v>
      </c>
      <c r="P213" s="46" t="str">
        <f aca="false">INDEX(Customers!$F$2:$F$101,MATCH($B213,Customers!$A$2:$A$101,0))</f>
        <v>Male</v>
      </c>
      <c r="Q213" s="46" t="str">
        <f aca="false">INDEX(Customers!$B$2:$B$101,MATCH($B213,Customers!$A$2:$A$101,0))</f>
        <v>Mamooty Bawa</v>
      </c>
      <c r="R213" s="46" t="n">
        <f aca="false">MONTH($E213)</f>
        <v>2</v>
      </c>
      <c r="S213" s="46" t="str">
        <f aca="false">INDEX(Lists!$B$2:$B$13,$R213)</f>
        <v>February</v>
      </c>
      <c r="T213" s="46" t="n">
        <f aca="false">HOUR($F213)</f>
        <v>7</v>
      </c>
      <c r="U213" s="46" t="n">
        <f aca="false">WEEKDAY($E213,2)</f>
        <v>2</v>
      </c>
      <c r="V213" s="46" t="str">
        <f aca="false">INDEX(Lists!$F$2:$F$8,$U213)</f>
        <v>Tuesday</v>
      </c>
      <c r="W213" s="85" t="n">
        <f aca="false">($G213+$H213)-($E213+$F213)</f>
        <v>5.53269675925926</v>
      </c>
      <c r="X213" s="46" t="str">
        <f aca="false">LOOKUP($M213,Lists!$G$2:$G$5,Lists!$H$2:$H$5)</f>
        <v>₹0 - 499</v>
      </c>
      <c r="Y213" s="46" t="str">
        <f aca="false">LOOKUP($W213,Lists!$I$2:$I$7,Lists!$J$2:$J$7)</f>
        <v>4 - 6 days</v>
      </c>
    </row>
    <row r="214" customFormat="false" ht="15" hidden="false" customHeight="false" outlineLevel="0" collapsed="false">
      <c r="A214" s="7" t="n">
        <v>213</v>
      </c>
      <c r="B214" s="7" t="s">
        <v>181</v>
      </c>
      <c r="C214" s="7" t="n">
        <v>42</v>
      </c>
      <c r="D214" s="7" t="n">
        <v>5</v>
      </c>
      <c r="E214" s="77" t="n">
        <v>44971</v>
      </c>
      <c r="F214" s="78" t="n">
        <v>0.351597222222222</v>
      </c>
      <c r="G214" s="77" t="n">
        <v>44981</v>
      </c>
      <c r="H214" s="78" t="n">
        <v>0.373738425925926</v>
      </c>
      <c r="I214" s="7" t="s">
        <v>327</v>
      </c>
      <c r="J214" s="7" t="s">
        <v>165</v>
      </c>
      <c r="K214" s="79" t="str">
        <f aca="false">INDEX(Products!$B$2:$B$71,MATCH($C214,Products!$A$2:$A$71,0))</f>
        <v>Expedita Gift</v>
      </c>
      <c r="L214" s="79" t="str">
        <f aca="false">INDEX(Products!$C$2:$C$71,MATCH($C214,Products!$A$2:$A$71,0))</f>
        <v>Sweets</v>
      </c>
      <c r="M214" s="80" t="n">
        <f aca="false">INDEX(Products!$D$2:$D$71,MATCH($C214,Products!$A$2:$A$71,0))</f>
        <v>1744</v>
      </c>
      <c r="N214" s="80" t="n">
        <f aca="false">$D214*$M214</f>
        <v>8720</v>
      </c>
      <c r="O214" s="79" t="str">
        <f aca="false">INDEX(Customers!$C$2:$C$101,MATCH($B214,Customers!$A$2:$A$101,0))</f>
        <v>Khandwa</v>
      </c>
      <c r="P214" s="79" t="str">
        <f aca="false">INDEX(Customers!$F$2:$F$101,MATCH($B214,Customers!$A$2:$A$101,0))</f>
        <v>Male</v>
      </c>
      <c r="Q214" s="79" t="str">
        <f aca="false">INDEX(Customers!$B$2:$B$101,MATCH($B214,Customers!$A$2:$A$101,0))</f>
        <v>Ivana Rout</v>
      </c>
      <c r="R214" s="79" t="n">
        <f aca="false">MONTH($E214)</f>
        <v>2</v>
      </c>
      <c r="S214" s="79" t="str">
        <f aca="false">INDEX(Lists!$B$2:$B$13,$R214)</f>
        <v>February</v>
      </c>
      <c r="T214" s="79" t="n">
        <f aca="false">HOUR($F214)</f>
        <v>8</v>
      </c>
      <c r="U214" s="79" t="n">
        <f aca="false">WEEKDAY($E214,2)</f>
        <v>2</v>
      </c>
      <c r="V214" s="79" t="str">
        <f aca="false">INDEX(Lists!$F$2:$F$8,$U214)</f>
        <v>Tuesday</v>
      </c>
      <c r="W214" s="81" t="n">
        <f aca="false">($G214+$H214)-($E214+$F214)</f>
        <v>10.0221412037037</v>
      </c>
      <c r="X214" s="79" t="str">
        <f aca="false">LOOKUP($M214,Lists!$G$2:$G$5,Lists!$H$2:$H$5)</f>
        <v>₹1,500 - 2,000</v>
      </c>
      <c r="Y214" s="79" t="str">
        <f aca="false">LOOKUP($W214,Lists!$I$2:$I$7,Lists!$J$2:$J$7)</f>
        <v>Over 10 days</v>
      </c>
    </row>
    <row r="215" customFormat="false" ht="15" hidden="false" customHeight="false" outlineLevel="0" collapsed="false">
      <c r="A215" s="2" t="n">
        <v>214</v>
      </c>
      <c r="B215" s="2" t="s">
        <v>390</v>
      </c>
      <c r="C215" s="2" t="n">
        <v>13</v>
      </c>
      <c r="D215" s="2" t="n">
        <v>3</v>
      </c>
      <c r="E215" s="82" t="n">
        <v>44986</v>
      </c>
      <c r="F215" s="83" t="n">
        <v>0.326331018518519</v>
      </c>
      <c r="G215" s="82" t="n">
        <v>44992</v>
      </c>
      <c r="H215" s="83" t="n">
        <v>0.352372685185185</v>
      </c>
      <c r="I215" s="2" t="s">
        <v>356</v>
      </c>
      <c r="J215" s="2" t="s">
        <v>33</v>
      </c>
      <c r="K215" s="46" t="str">
        <f aca="false">INDEX(Products!$B$2:$B$71,MATCH($C215,Products!$A$2:$A$71,0))</f>
        <v>Et Set</v>
      </c>
      <c r="L215" s="46" t="str">
        <f aca="false">INDEX(Products!$C$2:$C$71,MATCH($C215,Products!$A$2:$A$71,0))</f>
        <v>Mugs</v>
      </c>
      <c r="M215" s="84" t="n">
        <f aca="false">INDEX(Products!$D$2:$D$71,MATCH($C215,Products!$A$2:$A$71,0))</f>
        <v>1141</v>
      </c>
      <c r="N215" s="84" t="n">
        <f aca="false">$D215*$M215</f>
        <v>3423</v>
      </c>
      <c r="O215" s="46" t="str">
        <f aca="false">INDEX(Customers!$C$2:$C$101,MATCH($B215,Customers!$A$2:$A$101,0))</f>
        <v>Dhanbad</v>
      </c>
      <c r="P215" s="46" t="str">
        <f aca="false">INDEX(Customers!$F$2:$F$101,MATCH($B215,Customers!$A$2:$A$101,0))</f>
        <v>Female</v>
      </c>
      <c r="Q215" s="46" t="str">
        <f aca="false">INDEX(Customers!$B$2:$B$101,MATCH($B215,Customers!$A$2:$A$101,0))</f>
        <v>Ranbir Loyal</v>
      </c>
      <c r="R215" s="46" t="n">
        <f aca="false">MONTH($E215)</f>
        <v>3</v>
      </c>
      <c r="S215" s="46" t="str">
        <f aca="false">INDEX(Lists!$B$2:$B$13,$R215)</f>
        <v>March</v>
      </c>
      <c r="T215" s="46" t="n">
        <f aca="false">HOUR($F215)</f>
        <v>7</v>
      </c>
      <c r="U215" s="46" t="n">
        <f aca="false">WEEKDAY($E215,2)</f>
        <v>3</v>
      </c>
      <c r="V215" s="46" t="str">
        <f aca="false">INDEX(Lists!$F$2:$F$8,$U215)</f>
        <v>Wednesday</v>
      </c>
      <c r="W215" s="85" t="n">
        <f aca="false">($G215+$H215)-($E215+$F215)</f>
        <v>6.02604166666667</v>
      </c>
      <c r="X215" s="46" t="str">
        <f aca="false">LOOKUP($M215,Lists!$G$2:$G$5,Lists!$H$2:$H$5)</f>
        <v>₹1,000 - 1,499</v>
      </c>
      <c r="Y215" s="46" t="str">
        <f aca="false">LOOKUP($W215,Lists!$I$2:$I$7,Lists!$J$2:$J$7)</f>
        <v>6 - 8 days</v>
      </c>
    </row>
    <row r="216" customFormat="false" ht="15" hidden="false" customHeight="false" outlineLevel="0" collapsed="false">
      <c r="A216" s="7" t="n">
        <v>215</v>
      </c>
      <c r="B216" s="7" t="s">
        <v>388</v>
      </c>
      <c r="C216" s="7" t="n">
        <v>17</v>
      </c>
      <c r="D216" s="7" t="n">
        <v>1</v>
      </c>
      <c r="E216" s="77" t="n">
        <v>45067</v>
      </c>
      <c r="F216" s="78" t="n">
        <v>0.162800925925926</v>
      </c>
      <c r="G216" s="77" t="n">
        <v>45070</v>
      </c>
      <c r="H216" s="78" t="n">
        <v>0.526087962962963</v>
      </c>
      <c r="I216" s="7" t="s">
        <v>452</v>
      </c>
      <c r="J216" s="7" t="s">
        <v>168</v>
      </c>
      <c r="K216" s="79" t="str">
        <f aca="false">INDEX(Products!$B$2:$B$71,MATCH($C216,Products!$A$2:$A$71,0))</f>
        <v>Delectus Gift</v>
      </c>
      <c r="L216" s="79" t="str">
        <f aca="false">INDEX(Products!$C$2:$C$71,MATCH($C216,Products!$A$2:$A$71,0))</f>
        <v>Soft Toys</v>
      </c>
      <c r="M216" s="80" t="n">
        <f aca="false">INDEX(Products!$D$2:$D$71,MATCH($C216,Products!$A$2:$A$71,0))</f>
        <v>1899</v>
      </c>
      <c r="N216" s="80" t="n">
        <f aca="false">$D216*$M216</f>
        <v>1899</v>
      </c>
      <c r="O216" s="79" t="str">
        <f aca="false">INDEX(Customers!$C$2:$C$101,MATCH($B216,Customers!$A$2:$A$101,0))</f>
        <v>Cuttack</v>
      </c>
      <c r="P216" s="79" t="str">
        <f aca="false">INDEX(Customers!$F$2:$F$101,MATCH($B216,Customers!$A$2:$A$101,0))</f>
        <v>Male</v>
      </c>
      <c r="Q216" s="79" t="str">
        <f aca="false">INDEX(Customers!$B$2:$B$101,MATCH($B216,Customers!$A$2:$A$101,0))</f>
        <v>Navya Golla</v>
      </c>
      <c r="R216" s="79" t="n">
        <f aca="false">MONTH($E216)</f>
        <v>5</v>
      </c>
      <c r="S216" s="79" t="str">
        <f aca="false">INDEX(Lists!$B$2:$B$13,$R216)</f>
        <v>May</v>
      </c>
      <c r="T216" s="79" t="n">
        <f aca="false">HOUR($F216)</f>
        <v>3</v>
      </c>
      <c r="U216" s="79" t="n">
        <f aca="false">WEEKDAY($E216,2)</f>
        <v>7</v>
      </c>
      <c r="V216" s="79" t="str">
        <f aca="false">INDEX(Lists!$F$2:$F$8,$U216)</f>
        <v>Sunday</v>
      </c>
      <c r="W216" s="81" t="n">
        <f aca="false">($G216+$H216)-($E216+$F216)</f>
        <v>3.36328703703704</v>
      </c>
      <c r="X216" s="79" t="str">
        <f aca="false">LOOKUP($M216,Lists!$G$2:$G$5,Lists!$H$2:$H$5)</f>
        <v>₹1,500 - 2,000</v>
      </c>
      <c r="Y216" s="79" t="str">
        <f aca="false">LOOKUP($W216,Lists!$I$2:$I$7,Lists!$J$2:$J$7)</f>
        <v>2 - 4 days</v>
      </c>
    </row>
    <row r="217" customFormat="false" ht="15" hidden="false" customHeight="false" outlineLevel="0" collapsed="false">
      <c r="A217" s="2" t="n">
        <v>216</v>
      </c>
      <c r="B217" s="2" t="s">
        <v>133</v>
      </c>
      <c r="C217" s="2" t="n">
        <v>23</v>
      </c>
      <c r="D217" s="2" t="n">
        <v>1</v>
      </c>
      <c r="E217" s="82" t="n">
        <v>45202</v>
      </c>
      <c r="F217" s="83" t="n">
        <v>0.657349537037037</v>
      </c>
      <c r="G217" s="82" t="n">
        <v>45207</v>
      </c>
      <c r="H217" s="83" t="n">
        <v>0.865601851851852</v>
      </c>
      <c r="I217" s="2" t="s">
        <v>235</v>
      </c>
      <c r="J217" s="2" t="s">
        <v>168</v>
      </c>
      <c r="K217" s="46" t="str">
        <f aca="false">INDEX(Products!$B$2:$B$71,MATCH($C217,Products!$A$2:$A$71,0))</f>
        <v>Dignissimos Pack</v>
      </c>
      <c r="L217" s="46" t="str">
        <f aca="false">INDEX(Products!$C$2:$C$71,MATCH($C217,Products!$A$2:$A$71,0))</f>
        <v>Sweets</v>
      </c>
      <c r="M217" s="84" t="n">
        <f aca="false">INDEX(Products!$D$2:$D$71,MATCH($C217,Products!$A$2:$A$71,0))</f>
        <v>1098</v>
      </c>
      <c r="N217" s="84" t="n">
        <f aca="false">$D217*$M217</f>
        <v>1098</v>
      </c>
      <c r="O217" s="46" t="str">
        <f aca="false">INDEX(Customers!$C$2:$C$101,MATCH($B217,Customers!$A$2:$A$101,0))</f>
        <v>Miryalaguda</v>
      </c>
      <c r="P217" s="46" t="str">
        <f aca="false">INDEX(Customers!$F$2:$F$101,MATCH($B217,Customers!$A$2:$A$101,0))</f>
        <v>Male</v>
      </c>
      <c r="Q217" s="46" t="str">
        <f aca="false">INDEX(Customers!$B$2:$B$101,MATCH($B217,Customers!$A$2:$A$101,0))</f>
        <v>Tarini Bava</v>
      </c>
      <c r="R217" s="46" t="n">
        <f aca="false">MONTH($E217)</f>
        <v>10</v>
      </c>
      <c r="S217" s="46" t="str">
        <f aca="false">INDEX(Lists!$B$2:$B$13,$R217)</f>
        <v>October</v>
      </c>
      <c r="T217" s="46" t="n">
        <f aca="false">HOUR($F217)</f>
        <v>15</v>
      </c>
      <c r="U217" s="46" t="n">
        <f aca="false">WEEKDAY($E217,2)</f>
        <v>2</v>
      </c>
      <c r="V217" s="46" t="str">
        <f aca="false">INDEX(Lists!$F$2:$F$8,$U217)</f>
        <v>Tuesday</v>
      </c>
      <c r="W217" s="85" t="n">
        <f aca="false">($G217+$H217)-($E217+$F217)</f>
        <v>5.20825231481482</v>
      </c>
      <c r="X217" s="46" t="str">
        <f aca="false">LOOKUP($M217,Lists!$G$2:$G$5,Lists!$H$2:$H$5)</f>
        <v>₹1,000 - 1,499</v>
      </c>
      <c r="Y217" s="46" t="str">
        <f aca="false">LOOKUP($W217,Lists!$I$2:$I$7,Lists!$J$2:$J$7)</f>
        <v>4 - 6 days</v>
      </c>
    </row>
    <row r="218" customFormat="false" ht="15" hidden="false" customHeight="false" outlineLevel="0" collapsed="false">
      <c r="A218" s="7" t="n">
        <v>217</v>
      </c>
      <c r="B218" s="7" t="s">
        <v>230</v>
      </c>
      <c r="C218" s="7" t="n">
        <v>53</v>
      </c>
      <c r="D218" s="7" t="n">
        <v>4</v>
      </c>
      <c r="E218" s="77" t="n">
        <v>45165</v>
      </c>
      <c r="F218" s="78" t="n">
        <v>0.128171296296296</v>
      </c>
      <c r="G218" s="77" t="n">
        <v>45168</v>
      </c>
      <c r="H218" s="78" t="n">
        <v>0.696053240740741</v>
      </c>
      <c r="I218" s="7" t="s">
        <v>539</v>
      </c>
      <c r="J218" s="7" t="s">
        <v>40</v>
      </c>
      <c r="K218" s="79" t="str">
        <f aca="false">INDEX(Products!$B$2:$B$71,MATCH($C218,Products!$A$2:$A$71,0))</f>
        <v>Ipsam Set</v>
      </c>
      <c r="L218" s="79" t="str">
        <f aca="false">INDEX(Products!$C$2:$C$71,MATCH($C218,Products!$A$2:$A$71,0))</f>
        <v>Sweets</v>
      </c>
      <c r="M218" s="80" t="n">
        <f aca="false">INDEX(Products!$D$2:$D$71,MATCH($C218,Products!$A$2:$A$71,0))</f>
        <v>1672</v>
      </c>
      <c r="N218" s="80" t="n">
        <f aca="false">$D218*$M218</f>
        <v>6688</v>
      </c>
      <c r="O218" s="79" t="str">
        <f aca="false">INDEX(Customers!$C$2:$C$101,MATCH($B218,Customers!$A$2:$A$101,0))</f>
        <v>Ajmer</v>
      </c>
      <c r="P218" s="79" t="str">
        <f aca="false">INDEX(Customers!$F$2:$F$101,MATCH($B218,Customers!$A$2:$A$101,0))</f>
        <v>Male</v>
      </c>
      <c r="Q218" s="79" t="str">
        <f aca="false">INDEX(Customers!$B$2:$B$101,MATCH($B218,Customers!$A$2:$A$101,0))</f>
        <v>Eshani Sharma</v>
      </c>
      <c r="R218" s="79" t="n">
        <f aca="false">MONTH($E218)</f>
        <v>8</v>
      </c>
      <c r="S218" s="79" t="str">
        <f aca="false">INDEX(Lists!$B$2:$B$13,$R218)</f>
        <v>August</v>
      </c>
      <c r="T218" s="79" t="n">
        <f aca="false">HOUR($F218)</f>
        <v>3</v>
      </c>
      <c r="U218" s="79" t="n">
        <f aca="false">WEEKDAY($E218,2)</f>
        <v>7</v>
      </c>
      <c r="V218" s="79" t="str">
        <f aca="false">INDEX(Lists!$F$2:$F$8,$U218)</f>
        <v>Sunday</v>
      </c>
      <c r="W218" s="81" t="n">
        <f aca="false">($G218+$H218)-($E218+$F218)</f>
        <v>3.56788194444444</v>
      </c>
      <c r="X218" s="79" t="str">
        <f aca="false">LOOKUP($M218,Lists!$G$2:$G$5,Lists!$H$2:$H$5)</f>
        <v>₹1,500 - 2,000</v>
      </c>
      <c r="Y218" s="79" t="str">
        <f aca="false">LOOKUP($W218,Lists!$I$2:$I$7,Lists!$J$2:$J$7)</f>
        <v>2 - 4 days</v>
      </c>
    </row>
    <row r="219" customFormat="false" ht="15" hidden="false" customHeight="false" outlineLevel="0" collapsed="false">
      <c r="A219" s="2" t="n">
        <v>218</v>
      </c>
      <c r="B219" s="2" t="s">
        <v>285</v>
      </c>
      <c r="C219" s="2" t="n">
        <v>31</v>
      </c>
      <c r="D219" s="2" t="n">
        <v>4</v>
      </c>
      <c r="E219" s="82" t="n">
        <v>45090</v>
      </c>
      <c r="F219" s="83" t="n">
        <v>0.954988425925926</v>
      </c>
      <c r="G219" s="82" t="n">
        <v>45093</v>
      </c>
      <c r="H219" s="83" t="n">
        <v>0.129178240740741</v>
      </c>
      <c r="I219" s="2" t="s">
        <v>400</v>
      </c>
      <c r="J219" s="2" t="s">
        <v>165</v>
      </c>
      <c r="K219" s="46" t="str">
        <f aca="false">INDEX(Products!$B$2:$B$71,MATCH($C219,Products!$A$2:$A$71,0))</f>
        <v>Nihil Box</v>
      </c>
      <c r="L219" s="46" t="str">
        <f aca="false">INDEX(Products!$C$2:$C$71,MATCH($C219,Products!$A$2:$A$71,0))</f>
        <v>Colors</v>
      </c>
      <c r="M219" s="84" t="n">
        <f aca="false">INDEX(Products!$D$2:$D$71,MATCH($C219,Products!$A$2:$A$71,0))</f>
        <v>1804</v>
      </c>
      <c r="N219" s="84" t="n">
        <f aca="false">$D219*$M219</f>
        <v>7216</v>
      </c>
      <c r="O219" s="46" t="str">
        <f aca="false">INDEX(Customers!$C$2:$C$101,MATCH($B219,Customers!$A$2:$A$101,0))</f>
        <v>Kavali</v>
      </c>
      <c r="P219" s="46" t="str">
        <f aca="false">INDEX(Customers!$F$2:$F$101,MATCH($B219,Customers!$A$2:$A$101,0))</f>
        <v>Female</v>
      </c>
      <c r="Q219" s="46" t="str">
        <f aca="false">INDEX(Customers!$B$2:$B$101,MATCH($B219,Customers!$A$2:$A$101,0))</f>
        <v>Akarsh Ramesh</v>
      </c>
      <c r="R219" s="46" t="n">
        <f aca="false">MONTH($E219)</f>
        <v>6</v>
      </c>
      <c r="S219" s="46" t="str">
        <f aca="false">INDEX(Lists!$B$2:$B$13,$R219)</f>
        <v>June</v>
      </c>
      <c r="T219" s="46" t="n">
        <f aca="false">HOUR($F219)</f>
        <v>22</v>
      </c>
      <c r="U219" s="46" t="n">
        <f aca="false">WEEKDAY($E219,2)</f>
        <v>2</v>
      </c>
      <c r="V219" s="46" t="str">
        <f aca="false">INDEX(Lists!$F$2:$F$8,$U219)</f>
        <v>Tuesday</v>
      </c>
      <c r="W219" s="85" t="n">
        <f aca="false">($G219+$H219)-($E219+$F219)</f>
        <v>2.17418981481482</v>
      </c>
      <c r="X219" s="46" t="str">
        <f aca="false">LOOKUP($M219,Lists!$G$2:$G$5,Lists!$H$2:$H$5)</f>
        <v>₹1,500 - 2,000</v>
      </c>
      <c r="Y219" s="46" t="str">
        <f aca="false">LOOKUP($W219,Lists!$I$2:$I$7,Lists!$J$2:$J$7)</f>
        <v>2 - 4 days</v>
      </c>
    </row>
    <row r="220" customFormat="false" ht="15" hidden="false" customHeight="false" outlineLevel="0" collapsed="false">
      <c r="A220" s="7" t="n">
        <v>219</v>
      </c>
      <c r="B220" s="7" t="s">
        <v>192</v>
      </c>
      <c r="C220" s="7" t="n">
        <v>16</v>
      </c>
      <c r="D220" s="7" t="n">
        <v>5</v>
      </c>
      <c r="E220" s="77" t="n">
        <v>44990</v>
      </c>
      <c r="F220" s="78" t="n">
        <v>0.0250810185185185</v>
      </c>
      <c r="G220" s="77" t="n">
        <v>44996</v>
      </c>
      <c r="H220" s="78" t="n">
        <v>0.441724537037037</v>
      </c>
      <c r="I220" s="7" t="s">
        <v>247</v>
      </c>
      <c r="J220" s="7" t="s">
        <v>33</v>
      </c>
      <c r="K220" s="79" t="str">
        <f aca="false">INDEX(Products!$B$2:$B$71,MATCH($C220,Products!$A$2:$A$71,0))</f>
        <v>Ut Pack</v>
      </c>
      <c r="L220" s="79" t="str">
        <f aca="false">INDEX(Products!$C$2:$C$71,MATCH($C220,Products!$A$2:$A$71,0))</f>
        <v>Sweets</v>
      </c>
      <c r="M220" s="80" t="n">
        <f aca="false">INDEX(Products!$D$2:$D$71,MATCH($C220,Products!$A$2:$A$71,0))</f>
        <v>1721</v>
      </c>
      <c r="N220" s="80" t="n">
        <f aca="false">$D220*$M220</f>
        <v>8605</v>
      </c>
      <c r="O220" s="79" t="str">
        <f aca="false">INDEX(Customers!$C$2:$C$101,MATCH($B220,Customers!$A$2:$A$101,0))</f>
        <v>Serampore</v>
      </c>
      <c r="P220" s="79" t="str">
        <f aca="false">INDEX(Customers!$F$2:$F$101,MATCH($B220,Customers!$A$2:$A$101,0))</f>
        <v>Female</v>
      </c>
      <c r="Q220" s="79" t="str">
        <f aca="false">INDEX(Customers!$B$2:$B$101,MATCH($B220,Customers!$A$2:$A$101,0))</f>
        <v>Kashvi Sur</v>
      </c>
      <c r="R220" s="79" t="n">
        <f aca="false">MONTH($E220)</f>
        <v>3</v>
      </c>
      <c r="S220" s="79" t="str">
        <f aca="false">INDEX(Lists!$B$2:$B$13,$R220)</f>
        <v>March</v>
      </c>
      <c r="T220" s="79" t="n">
        <f aca="false">HOUR($F220)</f>
        <v>0</v>
      </c>
      <c r="U220" s="79" t="n">
        <f aca="false">WEEKDAY($E220,2)</f>
        <v>7</v>
      </c>
      <c r="V220" s="79" t="str">
        <f aca="false">INDEX(Lists!$F$2:$F$8,$U220)</f>
        <v>Sunday</v>
      </c>
      <c r="W220" s="81" t="n">
        <f aca="false">($G220+$H220)-($E220+$F220)</f>
        <v>6.41664351851852</v>
      </c>
      <c r="X220" s="79" t="str">
        <f aca="false">LOOKUP($M220,Lists!$G$2:$G$5,Lists!$H$2:$H$5)</f>
        <v>₹1,500 - 2,000</v>
      </c>
      <c r="Y220" s="79" t="str">
        <f aca="false">LOOKUP($W220,Lists!$I$2:$I$7,Lists!$J$2:$J$7)</f>
        <v>6 - 8 days</v>
      </c>
    </row>
    <row r="221" customFormat="false" ht="15" hidden="false" customHeight="false" outlineLevel="0" collapsed="false">
      <c r="A221" s="2" t="n">
        <v>220</v>
      </c>
      <c r="B221" s="2" t="s">
        <v>124</v>
      </c>
      <c r="C221" s="2" t="n">
        <v>26</v>
      </c>
      <c r="D221" s="2" t="n">
        <v>3</v>
      </c>
      <c r="E221" s="82" t="n">
        <v>44991</v>
      </c>
      <c r="F221" s="83" t="n">
        <v>0.518680555555556</v>
      </c>
      <c r="G221" s="82" t="n">
        <v>45000</v>
      </c>
      <c r="H221" s="83" t="n">
        <v>0.612407407407407</v>
      </c>
      <c r="I221" s="2" t="s">
        <v>430</v>
      </c>
      <c r="J221" s="2" t="s">
        <v>33</v>
      </c>
      <c r="K221" s="46" t="str">
        <f aca="false">INDEX(Products!$B$2:$B$71,MATCH($C221,Products!$A$2:$A$71,0))</f>
        <v>Aliquam Box</v>
      </c>
      <c r="L221" s="46" t="str">
        <f aca="false">INDEX(Products!$C$2:$C$71,MATCH($C221,Products!$A$2:$A$71,0))</f>
        <v>Colors</v>
      </c>
      <c r="M221" s="84" t="n">
        <f aca="false">INDEX(Products!$D$2:$D$71,MATCH($C221,Products!$A$2:$A$71,0))</f>
        <v>289</v>
      </c>
      <c r="N221" s="84" t="n">
        <f aca="false">$D221*$M221</f>
        <v>867</v>
      </c>
      <c r="O221" s="46" t="str">
        <f aca="false">INDEX(Customers!$C$2:$C$101,MATCH($B221,Customers!$A$2:$A$101,0))</f>
        <v>Panchkula</v>
      </c>
      <c r="P221" s="46" t="str">
        <f aca="false">INDEX(Customers!$F$2:$F$101,MATCH($B221,Customers!$A$2:$A$101,0))</f>
        <v>Female</v>
      </c>
      <c r="Q221" s="46" t="str">
        <f aca="false">INDEX(Customers!$B$2:$B$101,MATCH($B221,Customers!$A$2:$A$101,0))</f>
        <v>Tara Krishnan</v>
      </c>
      <c r="R221" s="46" t="n">
        <f aca="false">MONTH($E221)</f>
        <v>3</v>
      </c>
      <c r="S221" s="46" t="str">
        <f aca="false">INDEX(Lists!$B$2:$B$13,$R221)</f>
        <v>March</v>
      </c>
      <c r="T221" s="46" t="n">
        <f aca="false">HOUR($F221)</f>
        <v>12</v>
      </c>
      <c r="U221" s="46" t="n">
        <f aca="false">WEEKDAY($E221,2)</f>
        <v>1</v>
      </c>
      <c r="V221" s="46" t="str">
        <f aca="false">INDEX(Lists!$F$2:$F$8,$U221)</f>
        <v>Monday</v>
      </c>
      <c r="W221" s="85" t="n">
        <f aca="false">($G221+$H221)-($E221+$F221)</f>
        <v>9.09372685185185</v>
      </c>
      <c r="X221" s="46" t="str">
        <f aca="false">LOOKUP($M221,Lists!$G$2:$G$5,Lists!$H$2:$H$5)</f>
        <v>₹0 - 499</v>
      </c>
      <c r="Y221" s="46" t="str">
        <f aca="false">LOOKUP($W221,Lists!$I$2:$I$7,Lists!$J$2:$J$7)</f>
        <v>8 - 10 days</v>
      </c>
    </row>
    <row r="222" customFormat="false" ht="15" hidden="false" customHeight="false" outlineLevel="0" collapsed="false">
      <c r="A222" s="7" t="n">
        <v>221</v>
      </c>
      <c r="B222" s="7" t="s">
        <v>328</v>
      </c>
      <c r="C222" s="7" t="n">
        <v>28</v>
      </c>
      <c r="D222" s="7" t="n">
        <v>4</v>
      </c>
      <c r="E222" s="77" t="n">
        <v>45159</v>
      </c>
      <c r="F222" s="78" t="n">
        <v>0.0910185185185185</v>
      </c>
      <c r="G222" s="77" t="n">
        <v>45168</v>
      </c>
      <c r="H222" s="78" t="n">
        <v>0.583738425925926</v>
      </c>
      <c r="I222" s="7" t="s">
        <v>502</v>
      </c>
      <c r="J222" s="7" t="s">
        <v>40</v>
      </c>
      <c r="K222" s="79" t="str">
        <f aca="false">INDEX(Products!$B$2:$B$71,MATCH($C222,Products!$A$2:$A$71,0))</f>
        <v>Velit Set</v>
      </c>
      <c r="L222" s="79" t="str">
        <f aca="false">INDEX(Products!$C$2:$C$71,MATCH($C222,Products!$A$2:$A$71,0))</f>
        <v>Sweets</v>
      </c>
      <c r="M222" s="80" t="n">
        <f aca="false">INDEX(Products!$D$2:$D$71,MATCH($C222,Products!$A$2:$A$71,0))</f>
        <v>1778</v>
      </c>
      <c r="N222" s="80" t="n">
        <f aca="false">$D222*$M222</f>
        <v>7112</v>
      </c>
      <c r="O222" s="79" t="str">
        <f aca="false">INDEX(Customers!$C$2:$C$101,MATCH($B222,Customers!$A$2:$A$101,0))</f>
        <v>Gaya</v>
      </c>
      <c r="P222" s="79" t="str">
        <f aca="false">INDEX(Customers!$F$2:$F$101,MATCH($B222,Customers!$A$2:$A$101,0))</f>
        <v>Female</v>
      </c>
      <c r="Q222" s="79" t="str">
        <f aca="false">INDEX(Customers!$B$2:$B$101,MATCH($B222,Customers!$A$2:$A$101,0))</f>
        <v>Oorja Dayal</v>
      </c>
      <c r="R222" s="79" t="n">
        <f aca="false">MONTH($E222)</f>
        <v>8</v>
      </c>
      <c r="S222" s="79" t="str">
        <f aca="false">INDEX(Lists!$B$2:$B$13,$R222)</f>
        <v>August</v>
      </c>
      <c r="T222" s="79" t="n">
        <f aca="false">HOUR($F222)</f>
        <v>2</v>
      </c>
      <c r="U222" s="79" t="n">
        <f aca="false">WEEKDAY($E222,2)</f>
        <v>1</v>
      </c>
      <c r="V222" s="79" t="str">
        <f aca="false">INDEX(Lists!$F$2:$F$8,$U222)</f>
        <v>Monday</v>
      </c>
      <c r="W222" s="81" t="n">
        <f aca="false">($G222+$H222)-($E222+$F222)</f>
        <v>9.49271990740741</v>
      </c>
      <c r="X222" s="79" t="str">
        <f aca="false">LOOKUP($M222,Lists!$G$2:$G$5,Lists!$H$2:$H$5)</f>
        <v>₹1,500 - 2,000</v>
      </c>
      <c r="Y222" s="79" t="str">
        <f aca="false">LOOKUP($W222,Lists!$I$2:$I$7,Lists!$J$2:$J$7)</f>
        <v>8 - 10 days</v>
      </c>
    </row>
    <row r="223" customFormat="false" ht="15" hidden="false" customHeight="false" outlineLevel="0" collapsed="false">
      <c r="A223" s="2" t="n">
        <v>222</v>
      </c>
      <c r="B223" s="2" t="s">
        <v>390</v>
      </c>
      <c r="C223" s="2" t="n">
        <v>6</v>
      </c>
      <c r="D223" s="2" t="n">
        <v>5</v>
      </c>
      <c r="E223" s="82" t="n">
        <v>44983</v>
      </c>
      <c r="F223" s="83" t="n">
        <v>0.248206018518519</v>
      </c>
      <c r="G223" s="82" t="n">
        <v>44992</v>
      </c>
      <c r="H223" s="83" t="n">
        <v>0.764467592592593</v>
      </c>
      <c r="I223" s="2" t="s">
        <v>399</v>
      </c>
      <c r="J223" s="2" t="s">
        <v>33</v>
      </c>
      <c r="K223" s="46" t="str">
        <f aca="false">INDEX(Products!$B$2:$B$71,MATCH($C223,Products!$A$2:$A$71,0))</f>
        <v>Quos Box</v>
      </c>
      <c r="L223" s="46" t="str">
        <f aca="false">INDEX(Products!$C$2:$C$71,MATCH($C223,Products!$A$2:$A$71,0))</f>
        <v>Cake</v>
      </c>
      <c r="M223" s="84" t="n">
        <f aca="false">INDEX(Products!$D$2:$D$71,MATCH($C223,Products!$A$2:$A$71,0))</f>
        <v>1112</v>
      </c>
      <c r="N223" s="84" t="n">
        <f aca="false">$D223*$M223</f>
        <v>5560</v>
      </c>
      <c r="O223" s="46" t="str">
        <f aca="false">INDEX(Customers!$C$2:$C$101,MATCH($B223,Customers!$A$2:$A$101,0))</f>
        <v>Dhanbad</v>
      </c>
      <c r="P223" s="46" t="str">
        <f aca="false">INDEX(Customers!$F$2:$F$101,MATCH($B223,Customers!$A$2:$A$101,0))</f>
        <v>Female</v>
      </c>
      <c r="Q223" s="46" t="str">
        <f aca="false">INDEX(Customers!$B$2:$B$101,MATCH($B223,Customers!$A$2:$A$101,0))</f>
        <v>Ranbir Loyal</v>
      </c>
      <c r="R223" s="46" t="n">
        <f aca="false">MONTH($E223)</f>
        <v>2</v>
      </c>
      <c r="S223" s="46" t="str">
        <f aca="false">INDEX(Lists!$B$2:$B$13,$R223)</f>
        <v>February</v>
      </c>
      <c r="T223" s="46" t="n">
        <f aca="false">HOUR($F223)</f>
        <v>5</v>
      </c>
      <c r="U223" s="46" t="n">
        <f aca="false">WEEKDAY($E223,2)</f>
        <v>7</v>
      </c>
      <c r="V223" s="46" t="str">
        <f aca="false">INDEX(Lists!$F$2:$F$8,$U223)</f>
        <v>Sunday</v>
      </c>
      <c r="W223" s="85" t="n">
        <f aca="false">($G223+$H223)-($E223+$F223)</f>
        <v>9.51626157407407</v>
      </c>
      <c r="X223" s="46" t="str">
        <f aca="false">LOOKUP($M223,Lists!$G$2:$G$5,Lists!$H$2:$H$5)</f>
        <v>₹1,000 - 1,499</v>
      </c>
      <c r="Y223" s="46" t="str">
        <f aca="false">LOOKUP($W223,Lists!$I$2:$I$7,Lists!$J$2:$J$7)</f>
        <v>8 - 10 days</v>
      </c>
    </row>
    <row r="224" customFormat="false" ht="15" hidden="false" customHeight="false" outlineLevel="0" collapsed="false">
      <c r="A224" s="7" t="n">
        <v>223</v>
      </c>
      <c r="B224" s="7" t="s">
        <v>257</v>
      </c>
      <c r="C224" s="7" t="n">
        <v>49</v>
      </c>
      <c r="D224" s="7" t="n">
        <v>2</v>
      </c>
      <c r="E224" s="77" t="n">
        <v>44962</v>
      </c>
      <c r="F224" s="78" t="n">
        <v>0.364178240740741</v>
      </c>
      <c r="G224" s="77" t="n">
        <v>44970</v>
      </c>
      <c r="H224" s="78" t="n">
        <v>0.429155092592593</v>
      </c>
      <c r="I224" s="7" t="s">
        <v>229</v>
      </c>
      <c r="J224" s="7" t="s">
        <v>179</v>
      </c>
      <c r="K224" s="79" t="str">
        <f aca="false">INDEX(Products!$B$2:$B$71,MATCH($C224,Products!$A$2:$A$71,0))</f>
        <v>Voluptate Pack</v>
      </c>
      <c r="L224" s="79" t="str">
        <f aca="false">INDEX(Products!$C$2:$C$71,MATCH($C224,Products!$A$2:$A$71,0))</f>
        <v>Colors</v>
      </c>
      <c r="M224" s="80" t="n">
        <f aca="false">INDEX(Products!$D$2:$D$71,MATCH($C224,Products!$A$2:$A$71,0))</f>
        <v>903</v>
      </c>
      <c r="N224" s="80" t="n">
        <f aca="false">$D224*$M224</f>
        <v>1806</v>
      </c>
      <c r="O224" s="79" t="str">
        <f aca="false">INDEX(Customers!$C$2:$C$101,MATCH($B224,Customers!$A$2:$A$101,0))</f>
        <v>Kota</v>
      </c>
      <c r="P224" s="79" t="str">
        <f aca="false">INDEX(Customers!$F$2:$F$101,MATCH($B224,Customers!$A$2:$A$101,0))</f>
        <v>Female</v>
      </c>
      <c r="Q224" s="79" t="str">
        <f aca="false">INDEX(Customers!$B$2:$B$101,MATCH($B224,Customers!$A$2:$A$101,0))</f>
        <v>Aradhya Batta</v>
      </c>
      <c r="R224" s="79" t="n">
        <f aca="false">MONTH($E224)</f>
        <v>2</v>
      </c>
      <c r="S224" s="79" t="str">
        <f aca="false">INDEX(Lists!$B$2:$B$13,$R224)</f>
        <v>February</v>
      </c>
      <c r="T224" s="79" t="n">
        <f aca="false">HOUR($F224)</f>
        <v>8</v>
      </c>
      <c r="U224" s="79" t="n">
        <f aca="false">WEEKDAY($E224,2)</f>
        <v>7</v>
      </c>
      <c r="V224" s="79" t="str">
        <f aca="false">INDEX(Lists!$F$2:$F$8,$U224)</f>
        <v>Sunday</v>
      </c>
      <c r="W224" s="81" t="n">
        <f aca="false">($G224+$H224)-($E224+$F224)</f>
        <v>8.06497685185185</v>
      </c>
      <c r="X224" s="79" t="str">
        <f aca="false">LOOKUP($M224,Lists!$G$2:$G$5,Lists!$H$2:$H$5)</f>
        <v>₹500 - 999</v>
      </c>
      <c r="Y224" s="79" t="str">
        <f aca="false">LOOKUP($W224,Lists!$I$2:$I$7,Lists!$J$2:$J$7)</f>
        <v>8 - 10 days</v>
      </c>
    </row>
    <row r="225" customFormat="false" ht="15" hidden="false" customHeight="false" outlineLevel="0" collapsed="false">
      <c r="A225" s="2" t="n">
        <v>224</v>
      </c>
      <c r="B225" s="2" t="s">
        <v>194</v>
      </c>
      <c r="C225" s="2" t="n">
        <v>34</v>
      </c>
      <c r="D225" s="2" t="n">
        <v>1</v>
      </c>
      <c r="E225" s="82" t="n">
        <v>45162</v>
      </c>
      <c r="F225" s="83" t="n">
        <v>0.876365740740741</v>
      </c>
      <c r="G225" s="82" t="n">
        <v>45167</v>
      </c>
      <c r="H225" s="83" t="n">
        <v>0.087962962962963</v>
      </c>
      <c r="I225" s="2" t="s">
        <v>581</v>
      </c>
      <c r="J225" s="2" t="s">
        <v>40</v>
      </c>
      <c r="K225" s="46" t="str">
        <f aca="false">INDEX(Products!$B$2:$B$71,MATCH($C225,Products!$A$2:$A$71,0))</f>
        <v>Placeat Pack</v>
      </c>
      <c r="L225" s="46" t="str">
        <f aca="false">INDEX(Products!$C$2:$C$71,MATCH($C225,Products!$A$2:$A$71,0))</f>
        <v>Soft Toys</v>
      </c>
      <c r="M225" s="84" t="n">
        <f aca="false">INDEX(Products!$D$2:$D$71,MATCH($C225,Products!$A$2:$A$71,0))</f>
        <v>1335</v>
      </c>
      <c r="N225" s="84" t="n">
        <f aca="false">$D225*$M225</f>
        <v>1335</v>
      </c>
      <c r="O225" s="46" t="str">
        <f aca="false">INDEX(Customers!$C$2:$C$101,MATCH($B225,Customers!$A$2:$A$101,0))</f>
        <v>Noida</v>
      </c>
      <c r="P225" s="46" t="str">
        <f aca="false">INDEX(Customers!$F$2:$F$101,MATCH($B225,Customers!$A$2:$A$101,0))</f>
        <v>Female</v>
      </c>
      <c r="Q225" s="46" t="str">
        <f aca="false">INDEX(Customers!$B$2:$B$101,MATCH($B225,Customers!$A$2:$A$101,0))</f>
        <v>Hridaan Rajagopalan</v>
      </c>
      <c r="R225" s="46" t="n">
        <f aca="false">MONTH($E225)</f>
        <v>8</v>
      </c>
      <c r="S225" s="46" t="str">
        <f aca="false">INDEX(Lists!$B$2:$B$13,$R225)</f>
        <v>August</v>
      </c>
      <c r="T225" s="46" t="n">
        <f aca="false">HOUR($F225)</f>
        <v>21</v>
      </c>
      <c r="U225" s="46" t="n">
        <f aca="false">WEEKDAY($E225,2)</f>
        <v>4</v>
      </c>
      <c r="V225" s="46" t="str">
        <f aca="false">INDEX(Lists!$F$2:$F$8,$U225)</f>
        <v>Thursday</v>
      </c>
      <c r="W225" s="85" t="n">
        <f aca="false">($G225+$H225)-($E225+$F225)</f>
        <v>4.21159722222222</v>
      </c>
      <c r="X225" s="46" t="str">
        <f aca="false">LOOKUP($M225,Lists!$G$2:$G$5,Lists!$H$2:$H$5)</f>
        <v>₹1,000 - 1,499</v>
      </c>
      <c r="Y225" s="46" t="str">
        <f aca="false">LOOKUP($W225,Lists!$I$2:$I$7,Lists!$J$2:$J$7)</f>
        <v>4 - 6 days</v>
      </c>
    </row>
    <row r="226" customFormat="false" ht="15" hidden="false" customHeight="false" outlineLevel="0" collapsed="false">
      <c r="A226" s="7" t="n">
        <v>225</v>
      </c>
      <c r="B226" s="7" t="s">
        <v>375</v>
      </c>
      <c r="C226" s="7" t="n">
        <v>52</v>
      </c>
      <c r="D226" s="7" t="n">
        <v>5</v>
      </c>
      <c r="E226" s="77" t="n">
        <v>44962</v>
      </c>
      <c r="F226" s="78" t="n">
        <v>0.508634259259259</v>
      </c>
      <c r="G226" s="77" t="n">
        <v>44963</v>
      </c>
      <c r="H226" s="78" t="n">
        <v>0.750763888888889</v>
      </c>
      <c r="I226" s="7" t="s">
        <v>182</v>
      </c>
      <c r="J226" s="7" t="s">
        <v>179</v>
      </c>
      <c r="K226" s="79" t="str">
        <f aca="false">INDEX(Products!$B$2:$B$71,MATCH($C226,Products!$A$2:$A$71,0))</f>
        <v>Dolorum Box</v>
      </c>
      <c r="L226" s="79" t="str">
        <f aca="false">INDEX(Products!$C$2:$C$71,MATCH($C226,Products!$A$2:$A$71,0))</f>
        <v>Raksha Bandhan</v>
      </c>
      <c r="M226" s="80" t="n">
        <f aca="false">INDEX(Products!$D$2:$D$71,MATCH($C226,Products!$A$2:$A$71,0))</f>
        <v>236</v>
      </c>
      <c r="N226" s="80" t="n">
        <f aca="false">$D226*$M226</f>
        <v>1180</v>
      </c>
      <c r="O226" s="79" t="str">
        <f aca="false">INDEX(Customers!$C$2:$C$101,MATCH($B226,Customers!$A$2:$A$101,0))</f>
        <v>Tumkur</v>
      </c>
      <c r="P226" s="79" t="str">
        <f aca="false">INDEX(Customers!$F$2:$F$101,MATCH($B226,Customers!$A$2:$A$101,0))</f>
        <v>Male</v>
      </c>
      <c r="Q226" s="79" t="str">
        <f aca="false">INDEX(Customers!$B$2:$B$101,MATCH($B226,Customers!$A$2:$A$101,0))</f>
        <v>Mamooty Bawa</v>
      </c>
      <c r="R226" s="79" t="n">
        <f aca="false">MONTH($E226)</f>
        <v>2</v>
      </c>
      <c r="S226" s="79" t="str">
        <f aca="false">INDEX(Lists!$B$2:$B$13,$R226)</f>
        <v>February</v>
      </c>
      <c r="T226" s="79" t="n">
        <f aca="false">HOUR($F226)</f>
        <v>12</v>
      </c>
      <c r="U226" s="79" t="n">
        <f aca="false">WEEKDAY($E226,2)</f>
        <v>7</v>
      </c>
      <c r="V226" s="79" t="str">
        <f aca="false">INDEX(Lists!$F$2:$F$8,$U226)</f>
        <v>Sunday</v>
      </c>
      <c r="W226" s="81" t="n">
        <f aca="false">($G226+$H226)-($E226+$F226)</f>
        <v>1.24212962962963</v>
      </c>
      <c r="X226" s="79" t="str">
        <f aca="false">LOOKUP($M226,Lists!$G$2:$G$5,Lists!$H$2:$H$5)</f>
        <v>₹0 - 499</v>
      </c>
      <c r="Y226" s="79" t="str">
        <f aca="false">LOOKUP($W226,Lists!$I$2:$I$7,Lists!$J$2:$J$7)</f>
        <v>0 - 2 days</v>
      </c>
    </row>
    <row r="227" customFormat="false" ht="15" hidden="false" customHeight="false" outlineLevel="0" collapsed="false">
      <c r="A227" s="2" t="n">
        <v>226</v>
      </c>
      <c r="B227" s="2" t="s">
        <v>294</v>
      </c>
      <c r="C227" s="2" t="n">
        <v>14</v>
      </c>
      <c r="D227" s="2" t="n">
        <v>2</v>
      </c>
      <c r="E227" s="82" t="n">
        <v>45177</v>
      </c>
      <c r="F227" s="83" t="n">
        <v>0.36724537037037</v>
      </c>
      <c r="G227" s="82" t="n">
        <v>45181</v>
      </c>
      <c r="H227" s="83" t="n">
        <v>0.472638888888889</v>
      </c>
      <c r="I227" s="2" t="s">
        <v>412</v>
      </c>
      <c r="J227" s="2" t="s">
        <v>31</v>
      </c>
      <c r="K227" s="46" t="str">
        <f aca="false">INDEX(Products!$B$2:$B$71,MATCH($C227,Products!$A$2:$A$71,0))</f>
        <v>Deserunt Box</v>
      </c>
      <c r="L227" s="46" t="str">
        <f aca="false">INDEX(Products!$C$2:$C$71,MATCH($C227,Products!$A$2:$A$71,0))</f>
        <v>Colors</v>
      </c>
      <c r="M227" s="84" t="n">
        <f aca="false">INDEX(Products!$D$2:$D$71,MATCH($C227,Products!$A$2:$A$71,0))</f>
        <v>1915</v>
      </c>
      <c r="N227" s="84" t="n">
        <f aca="false">$D227*$M227</f>
        <v>3830</v>
      </c>
      <c r="O227" s="46" t="str">
        <f aca="false">INDEX(Customers!$C$2:$C$101,MATCH($B227,Customers!$A$2:$A$101,0))</f>
        <v>Srikakulam</v>
      </c>
      <c r="P227" s="46" t="str">
        <f aca="false">INDEX(Customers!$F$2:$F$101,MATCH($B227,Customers!$A$2:$A$101,0))</f>
        <v>Male</v>
      </c>
      <c r="Q227" s="46" t="str">
        <f aca="false">INDEX(Customers!$B$2:$B$101,MATCH($B227,Customers!$A$2:$A$101,0))</f>
        <v>Indrajit Kale</v>
      </c>
      <c r="R227" s="46" t="n">
        <f aca="false">MONTH($E227)</f>
        <v>9</v>
      </c>
      <c r="S227" s="46" t="str">
        <f aca="false">INDEX(Lists!$B$2:$B$13,$R227)</f>
        <v>September</v>
      </c>
      <c r="T227" s="46" t="n">
        <f aca="false">HOUR($F227)</f>
        <v>8</v>
      </c>
      <c r="U227" s="46" t="n">
        <f aca="false">WEEKDAY($E227,2)</f>
        <v>5</v>
      </c>
      <c r="V227" s="46" t="str">
        <f aca="false">INDEX(Lists!$F$2:$F$8,$U227)</f>
        <v>Friday</v>
      </c>
      <c r="W227" s="85" t="n">
        <f aca="false">($G227+$H227)-($E227+$F227)</f>
        <v>4.10539351851852</v>
      </c>
      <c r="X227" s="46" t="str">
        <f aca="false">LOOKUP($M227,Lists!$G$2:$G$5,Lists!$H$2:$H$5)</f>
        <v>₹1,500 - 2,000</v>
      </c>
      <c r="Y227" s="46" t="str">
        <f aca="false">LOOKUP($W227,Lists!$I$2:$I$7,Lists!$J$2:$J$7)</f>
        <v>4 - 6 days</v>
      </c>
    </row>
    <row r="228" customFormat="false" ht="15" hidden="false" customHeight="false" outlineLevel="0" collapsed="false">
      <c r="A228" s="7" t="n">
        <v>227</v>
      </c>
      <c r="B228" s="7" t="s">
        <v>133</v>
      </c>
      <c r="C228" s="7" t="n">
        <v>24</v>
      </c>
      <c r="D228" s="7" t="n">
        <v>4</v>
      </c>
      <c r="E228" s="77" t="n">
        <v>45285</v>
      </c>
      <c r="F228" s="78" t="n">
        <v>0.785208333333333</v>
      </c>
      <c r="G228" s="77" t="n">
        <v>45286</v>
      </c>
      <c r="H228" s="78" t="n">
        <v>0.590092592592593</v>
      </c>
      <c r="I228" s="7" t="s">
        <v>579</v>
      </c>
      <c r="J228" s="7" t="s">
        <v>31</v>
      </c>
      <c r="K228" s="79" t="str">
        <f aca="false">INDEX(Products!$B$2:$B$71,MATCH($C228,Products!$A$2:$A$71,0))</f>
        <v>Ad Box</v>
      </c>
      <c r="L228" s="79" t="str">
        <f aca="false">INDEX(Products!$C$2:$C$71,MATCH($C228,Products!$A$2:$A$71,0))</f>
        <v>Mugs</v>
      </c>
      <c r="M228" s="80" t="n">
        <f aca="false">INDEX(Products!$D$2:$D$71,MATCH($C228,Products!$A$2:$A$71,0))</f>
        <v>535</v>
      </c>
      <c r="N228" s="80" t="n">
        <f aca="false">$D228*$M228</f>
        <v>2140</v>
      </c>
      <c r="O228" s="79" t="str">
        <f aca="false">INDEX(Customers!$C$2:$C$101,MATCH($B228,Customers!$A$2:$A$101,0))</f>
        <v>Miryalaguda</v>
      </c>
      <c r="P228" s="79" t="str">
        <f aca="false">INDEX(Customers!$F$2:$F$101,MATCH($B228,Customers!$A$2:$A$101,0))</f>
        <v>Male</v>
      </c>
      <c r="Q228" s="79" t="str">
        <f aca="false">INDEX(Customers!$B$2:$B$101,MATCH($B228,Customers!$A$2:$A$101,0))</f>
        <v>Tarini Bava</v>
      </c>
      <c r="R228" s="79" t="n">
        <f aca="false">MONTH($E228)</f>
        <v>12</v>
      </c>
      <c r="S228" s="79" t="str">
        <f aca="false">INDEX(Lists!$B$2:$B$13,$R228)</f>
        <v>December</v>
      </c>
      <c r="T228" s="79" t="n">
        <f aca="false">HOUR($F228)</f>
        <v>18</v>
      </c>
      <c r="U228" s="79" t="n">
        <f aca="false">WEEKDAY($E228,2)</f>
        <v>1</v>
      </c>
      <c r="V228" s="79" t="str">
        <f aca="false">INDEX(Lists!$F$2:$F$8,$U228)</f>
        <v>Monday</v>
      </c>
      <c r="W228" s="81" t="n">
        <f aca="false">($G228+$H228)-($E228+$F228)</f>
        <v>0.804884259259259</v>
      </c>
      <c r="X228" s="79" t="str">
        <f aca="false">LOOKUP($M228,Lists!$G$2:$G$5,Lists!$H$2:$H$5)</f>
        <v>₹500 - 999</v>
      </c>
      <c r="Y228" s="79" t="str">
        <f aca="false">LOOKUP($W228,Lists!$I$2:$I$7,Lists!$J$2:$J$7)</f>
        <v>0 - 2 days</v>
      </c>
    </row>
    <row r="229" customFormat="false" ht="15" hidden="false" customHeight="false" outlineLevel="0" collapsed="false">
      <c r="A229" s="2" t="n">
        <v>228</v>
      </c>
      <c r="B229" s="2" t="s">
        <v>209</v>
      </c>
      <c r="C229" s="2" t="n">
        <v>36</v>
      </c>
      <c r="D229" s="2" t="n">
        <v>1</v>
      </c>
      <c r="E229" s="82" t="n">
        <v>44995</v>
      </c>
      <c r="F229" s="83" t="n">
        <v>0.77837962962963</v>
      </c>
      <c r="G229" s="82" t="n">
        <v>44996</v>
      </c>
      <c r="H229" s="83" t="n">
        <v>0.4375</v>
      </c>
      <c r="I229" s="2" t="s">
        <v>277</v>
      </c>
      <c r="J229" s="2" t="s">
        <v>31</v>
      </c>
      <c r="K229" s="46" t="str">
        <f aca="false">INDEX(Products!$B$2:$B$71,MATCH($C229,Products!$A$2:$A$71,0))</f>
        <v>Cum Gift</v>
      </c>
      <c r="L229" s="46" t="str">
        <f aca="false">INDEX(Products!$C$2:$C$71,MATCH($C229,Products!$A$2:$A$71,0))</f>
        <v>Plants</v>
      </c>
      <c r="M229" s="84" t="n">
        <f aca="false">INDEX(Products!$D$2:$D$71,MATCH($C229,Products!$A$2:$A$71,0))</f>
        <v>203</v>
      </c>
      <c r="N229" s="84" t="n">
        <f aca="false">$D229*$M229</f>
        <v>203</v>
      </c>
      <c r="O229" s="46" t="str">
        <f aca="false">INDEX(Customers!$C$2:$C$101,MATCH($B229,Customers!$A$2:$A$101,0))</f>
        <v>Vellore</v>
      </c>
      <c r="P229" s="46" t="str">
        <f aca="false">INDEX(Customers!$F$2:$F$101,MATCH($B229,Customers!$A$2:$A$101,0))</f>
        <v>Male</v>
      </c>
      <c r="Q229" s="46" t="str">
        <f aca="false">INDEX(Customers!$B$2:$B$101,MATCH($B229,Customers!$A$2:$A$101,0))</f>
        <v>Ira Sarna</v>
      </c>
      <c r="R229" s="46" t="n">
        <f aca="false">MONTH($E229)</f>
        <v>3</v>
      </c>
      <c r="S229" s="46" t="str">
        <f aca="false">INDEX(Lists!$B$2:$B$13,$R229)</f>
        <v>March</v>
      </c>
      <c r="T229" s="46" t="n">
        <f aca="false">HOUR($F229)</f>
        <v>18</v>
      </c>
      <c r="U229" s="46" t="n">
        <f aca="false">WEEKDAY($E229,2)</f>
        <v>5</v>
      </c>
      <c r="V229" s="46" t="str">
        <f aca="false">INDEX(Lists!$F$2:$F$8,$U229)</f>
        <v>Friday</v>
      </c>
      <c r="W229" s="85" t="n">
        <f aca="false">($G229+$H229)-($E229+$F229)</f>
        <v>0.65912037037037</v>
      </c>
      <c r="X229" s="46" t="str">
        <f aca="false">LOOKUP($M229,Lists!$G$2:$G$5,Lists!$H$2:$H$5)</f>
        <v>₹0 - 499</v>
      </c>
      <c r="Y229" s="46" t="str">
        <f aca="false">LOOKUP($W229,Lists!$I$2:$I$7,Lists!$J$2:$J$7)</f>
        <v>0 - 2 days</v>
      </c>
    </row>
    <row r="230" customFormat="false" ht="15" hidden="false" customHeight="false" outlineLevel="0" collapsed="false">
      <c r="A230" s="7" t="n">
        <v>229</v>
      </c>
      <c r="B230" s="7" t="s">
        <v>336</v>
      </c>
      <c r="C230" s="7" t="n">
        <v>49</v>
      </c>
      <c r="D230" s="7" t="n">
        <v>3</v>
      </c>
      <c r="E230" s="77" t="n">
        <v>44968</v>
      </c>
      <c r="F230" s="78" t="n">
        <v>0.871967592592593</v>
      </c>
      <c r="G230" s="77" t="n">
        <v>44977</v>
      </c>
      <c r="H230" s="78" t="n">
        <v>0.397800925925926</v>
      </c>
      <c r="I230" s="7" t="s">
        <v>443</v>
      </c>
      <c r="J230" s="7" t="s">
        <v>179</v>
      </c>
      <c r="K230" s="79" t="str">
        <f aca="false">INDEX(Products!$B$2:$B$71,MATCH($C230,Products!$A$2:$A$71,0))</f>
        <v>Voluptate Pack</v>
      </c>
      <c r="L230" s="79" t="str">
        <f aca="false">INDEX(Products!$C$2:$C$71,MATCH($C230,Products!$A$2:$A$71,0))</f>
        <v>Colors</v>
      </c>
      <c r="M230" s="80" t="n">
        <f aca="false">INDEX(Products!$D$2:$D$71,MATCH($C230,Products!$A$2:$A$71,0))</f>
        <v>903</v>
      </c>
      <c r="N230" s="80" t="n">
        <f aca="false">$D230*$M230</f>
        <v>2709</v>
      </c>
      <c r="O230" s="79" t="str">
        <f aca="false">INDEX(Customers!$C$2:$C$101,MATCH($B230,Customers!$A$2:$A$101,0))</f>
        <v>Bhilai</v>
      </c>
      <c r="P230" s="79" t="str">
        <f aca="false">INDEX(Customers!$F$2:$F$101,MATCH($B230,Customers!$A$2:$A$101,0))</f>
        <v>Female</v>
      </c>
      <c r="Q230" s="79" t="str">
        <f aca="false">INDEX(Customers!$B$2:$B$101,MATCH($B230,Customers!$A$2:$A$101,0))</f>
        <v>Vedika Sankaran</v>
      </c>
      <c r="R230" s="79" t="n">
        <f aca="false">MONTH($E230)</f>
        <v>2</v>
      </c>
      <c r="S230" s="79" t="str">
        <f aca="false">INDEX(Lists!$B$2:$B$13,$R230)</f>
        <v>February</v>
      </c>
      <c r="T230" s="79" t="n">
        <f aca="false">HOUR($F230)</f>
        <v>20</v>
      </c>
      <c r="U230" s="79" t="n">
        <f aca="false">WEEKDAY($E230,2)</f>
        <v>6</v>
      </c>
      <c r="V230" s="79" t="str">
        <f aca="false">INDEX(Lists!$F$2:$F$8,$U230)</f>
        <v>Saturday</v>
      </c>
      <c r="W230" s="81" t="n">
        <f aca="false">($G230+$H230)-($E230+$F230)</f>
        <v>8.52583333333333</v>
      </c>
      <c r="X230" s="79" t="str">
        <f aca="false">LOOKUP($M230,Lists!$G$2:$G$5,Lists!$H$2:$H$5)</f>
        <v>₹500 - 999</v>
      </c>
      <c r="Y230" s="79" t="str">
        <f aca="false">LOOKUP($W230,Lists!$I$2:$I$7,Lists!$J$2:$J$7)</f>
        <v>8 - 10 days</v>
      </c>
    </row>
    <row r="231" customFormat="false" ht="15" hidden="false" customHeight="false" outlineLevel="0" collapsed="false">
      <c r="A231" s="2" t="n">
        <v>230</v>
      </c>
      <c r="B231" s="2" t="s">
        <v>263</v>
      </c>
      <c r="C231" s="2" t="n">
        <v>64</v>
      </c>
      <c r="D231" s="2" t="n">
        <v>3</v>
      </c>
      <c r="E231" s="82" t="n">
        <v>45165</v>
      </c>
      <c r="F231" s="83" t="n">
        <v>0.352662037037037</v>
      </c>
      <c r="G231" s="82" t="n">
        <v>45170</v>
      </c>
      <c r="H231" s="83" t="n">
        <v>0.0665393518518519</v>
      </c>
      <c r="I231" s="2" t="s">
        <v>488</v>
      </c>
      <c r="J231" s="2" t="s">
        <v>40</v>
      </c>
      <c r="K231" s="46" t="str">
        <f aca="false">INDEX(Products!$B$2:$B$71,MATCH($C231,Products!$A$2:$A$71,0))</f>
        <v>Nostrum Box</v>
      </c>
      <c r="L231" s="46" t="str">
        <f aca="false">INDEX(Products!$C$2:$C$71,MATCH($C231,Products!$A$2:$A$71,0))</f>
        <v>Soft Toys</v>
      </c>
      <c r="M231" s="84" t="n">
        <f aca="false">INDEX(Products!$D$2:$D$71,MATCH($C231,Products!$A$2:$A$71,0))</f>
        <v>1878</v>
      </c>
      <c r="N231" s="84" t="n">
        <f aca="false">$D231*$M231</f>
        <v>5634</v>
      </c>
      <c r="O231" s="46" t="str">
        <f aca="false">INDEX(Customers!$C$2:$C$101,MATCH($B231,Customers!$A$2:$A$101,0))</f>
        <v>Bharatpur</v>
      </c>
      <c r="P231" s="46" t="str">
        <f aca="false">INDEX(Customers!$F$2:$F$101,MATCH($B231,Customers!$A$2:$A$101,0))</f>
        <v>Female</v>
      </c>
      <c r="Q231" s="46" t="str">
        <f aca="false">INDEX(Customers!$B$2:$B$101,MATCH($B231,Customers!$A$2:$A$101,0))</f>
        <v>Kismat Kapadia</v>
      </c>
      <c r="R231" s="46" t="n">
        <f aca="false">MONTH($E231)</f>
        <v>8</v>
      </c>
      <c r="S231" s="46" t="str">
        <f aca="false">INDEX(Lists!$B$2:$B$13,$R231)</f>
        <v>August</v>
      </c>
      <c r="T231" s="46" t="n">
        <f aca="false">HOUR($F231)</f>
        <v>8</v>
      </c>
      <c r="U231" s="46" t="n">
        <f aca="false">WEEKDAY($E231,2)</f>
        <v>7</v>
      </c>
      <c r="V231" s="46" t="str">
        <f aca="false">INDEX(Lists!$F$2:$F$8,$U231)</f>
        <v>Sunday</v>
      </c>
      <c r="W231" s="85" t="n">
        <f aca="false">($G231+$H231)-($E231+$F231)</f>
        <v>4.71387731481482</v>
      </c>
      <c r="X231" s="46" t="str">
        <f aca="false">LOOKUP($M231,Lists!$G$2:$G$5,Lists!$H$2:$H$5)</f>
        <v>₹1,500 - 2,000</v>
      </c>
      <c r="Y231" s="46" t="str">
        <f aca="false">LOOKUP($W231,Lists!$I$2:$I$7,Lists!$J$2:$J$7)</f>
        <v>4 - 6 days</v>
      </c>
    </row>
    <row r="232" customFormat="false" ht="15" hidden="false" customHeight="false" outlineLevel="0" collapsed="false">
      <c r="A232" s="7" t="n">
        <v>231</v>
      </c>
      <c r="B232" s="7" t="s">
        <v>375</v>
      </c>
      <c r="C232" s="7" t="n">
        <v>64</v>
      </c>
      <c r="D232" s="7" t="n">
        <v>3</v>
      </c>
      <c r="E232" s="77" t="n">
        <v>45162</v>
      </c>
      <c r="F232" s="78" t="n">
        <v>0.385625</v>
      </c>
      <c r="G232" s="77" t="n">
        <v>45166</v>
      </c>
      <c r="H232" s="78" t="n">
        <v>0.884039351851852</v>
      </c>
      <c r="I232" s="7" t="s">
        <v>530</v>
      </c>
      <c r="J232" s="7" t="s">
        <v>40</v>
      </c>
      <c r="K232" s="79" t="str">
        <f aca="false">INDEX(Products!$B$2:$B$71,MATCH($C232,Products!$A$2:$A$71,0))</f>
        <v>Nostrum Box</v>
      </c>
      <c r="L232" s="79" t="str">
        <f aca="false">INDEX(Products!$C$2:$C$71,MATCH($C232,Products!$A$2:$A$71,0))</f>
        <v>Soft Toys</v>
      </c>
      <c r="M232" s="80" t="n">
        <f aca="false">INDEX(Products!$D$2:$D$71,MATCH($C232,Products!$A$2:$A$71,0))</f>
        <v>1878</v>
      </c>
      <c r="N232" s="80" t="n">
        <f aca="false">$D232*$M232</f>
        <v>5634</v>
      </c>
      <c r="O232" s="79" t="str">
        <f aca="false">INDEX(Customers!$C$2:$C$101,MATCH($B232,Customers!$A$2:$A$101,0))</f>
        <v>Tumkur</v>
      </c>
      <c r="P232" s="79" t="str">
        <f aca="false">INDEX(Customers!$F$2:$F$101,MATCH($B232,Customers!$A$2:$A$101,0))</f>
        <v>Male</v>
      </c>
      <c r="Q232" s="79" t="str">
        <f aca="false">INDEX(Customers!$B$2:$B$101,MATCH($B232,Customers!$A$2:$A$101,0))</f>
        <v>Mamooty Bawa</v>
      </c>
      <c r="R232" s="79" t="n">
        <f aca="false">MONTH($E232)</f>
        <v>8</v>
      </c>
      <c r="S232" s="79" t="str">
        <f aca="false">INDEX(Lists!$B$2:$B$13,$R232)</f>
        <v>August</v>
      </c>
      <c r="T232" s="79" t="n">
        <f aca="false">HOUR($F232)</f>
        <v>9</v>
      </c>
      <c r="U232" s="79" t="n">
        <f aca="false">WEEKDAY($E232,2)</f>
        <v>4</v>
      </c>
      <c r="V232" s="79" t="str">
        <f aca="false">INDEX(Lists!$F$2:$F$8,$U232)</f>
        <v>Thursday</v>
      </c>
      <c r="W232" s="81" t="n">
        <f aca="false">($G232+$H232)-($E232+$F232)</f>
        <v>4.49841435185185</v>
      </c>
      <c r="X232" s="79" t="str">
        <f aca="false">LOOKUP($M232,Lists!$G$2:$G$5,Lists!$H$2:$H$5)</f>
        <v>₹1,500 - 2,000</v>
      </c>
      <c r="Y232" s="79" t="str">
        <f aca="false">LOOKUP($W232,Lists!$I$2:$I$7,Lists!$J$2:$J$7)</f>
        <v>4 - 6 days</v>
      </c>
    </row>
    <row r="233" customFormat="false" ht="15" hidden="false" customHeight="false" outlineLevel="0" collapsed="false">
      <c r="A233" s="2" t="n">
        <v>232</v>
      </c>
      <c r="B233" s="2" t="s">
        <v>236</v>
      </c>
      <c r="C233" s="2" t="n">
        <v>28</v>
      </c>
      <c r="D233" s="2" t="n">
        <v>3</v>
      </c>
      <c r="E233" s="82" t="n">
        <v>45160</v>
      </c>
      <c r="F233" s="83" t="n">
        <v>0.504270833333333</v>
      </c>
      <c r="G233" s="82" t="n">
        <v>45161</v>
      </c>
      <c r="H233" s="83" t="n">
        <v>0.375023148148148</v>
      </c>
      <c r="I233" s="2" t="s">
        <v>500</v>
      </c>
      <c r="J233" s="2" t="s">
        <v>40</v>
      </c>
      <c r="K233" s="46" t="str">
        <f aca="false">INDEX(Products!$B$2:$B$71,MATCH($C233,Products!$A$2:$A$71,0))</f>
        <v>Velit Set</v>
      </c>
      <c r="L233" s="46" t="str">
        <f aca="false">INDEX(Products!$C$2:$C$71,MATCH($C233,Products!$A$2:$A$71,0))</f>
        <v>Sweets</v>
      </c>
      <c r="M233" s="84" t="n">
        <f aca="false">INDEX(Products!$D$2:$D$71,MATCH($C233,Products!$A$2:$A$71,0))</f>
        <v>1778</v>
      </c>
      <c r="N233" s="84" t="n">
        <f aca="false">$D233*$M233</f>
        <v>5334</v>
      </c>
      <c r="O233" s="46" t="str">
        <f aca="false">INDEX(Customers!$C$2:$C$101,MATCH($B233,Customers!$A$2:$A$101,0))</f>
        <v>Agra</v>
      </c>
      <c r="P233" s="46" t="str">
        <f aca="false">INDEX(Customers!$F$2:$F$101,MATCH($B233,Customers!$A$2:$A$101,0))</f>
        <v>Male</v>
      </c>
      <c r="Q233" s="46" t="str">
        <f aca="false">INDEX(Customers!$B$2:$B$101,MATCH($B233,Customers!$A$2:$A$101,0))</f>
        <v>Seher Mann</v>
      </c>
      <c r="R233" s="46" t="n">
        <f aca="false">MONTH($E233)</f>
        <v>8</v>
      </c>
      <c r="S233" s="46" t="str">
        <f aca="false">INDEX(Lists!$B$2:$B$13,$R233)</f>
        <v>August</v>
      </c>
      <c r="T233" s="46" t="n">
        <f aca="false">HOUR($F233)</f>
        <v>12</v>
      </c>
      <c r="U233" s="46" t="n">
        <f aca="false">WEEKDAY($E233,2)</f>
        <v>2</v>
      </c>
      <c r="V233" s="46" t="str">
        <f aca="false">INDEX(Lists!$F$2:$F$8,$U233)</f>
        <v>Tuesday</v>
      </c>
      <c r="W233" s="85" t="n">
        <f aca="false">($G233+$H233)-($E233+$F233)</f>
        <v>0.870752314814815</v>
      </c>
      <c r="X233" s="46" t="str">
        <f aca="false">LOOKUP($M233,Lists!$G$2:$G$5,Lists!$H$2:$H$5)</f>
        <v>₹1,500 - 2,000</v>
      </c>
      <c r="Y233" s="46" t="str">
        <f aca="false">LOOKUP($W233,Lists!$I$2:$I$7,Lists!$J$2:$J$7)</f>
        <v>0 - 2 days</v>
      </c>
    </row>
    <row r="234" customFormat="false" ht="15" hidden="false" customHeight="false" outlineLevel="0" collapsed="false">
      <c r="A234" s="7" t="n">
        <v>233</v>
      </c>
      <c r="B234" s="7" t="s">
        <v>388</v>
      </c>
      <c r="C234" s="7" t="n">
        <v>64</v>
      </c>
      <c r="D234" s="7" t="n">
        <v>4</v>
      </c>
      <c r="E234" s="77" t="n">
        <v>45164</v>
      </c>
      <c r="F234" s="78" t="n">
        <v>0.927303240740741</v>
      </c>
      <c r="G234" s="77" t="n">
        <v>45168</v>
      </c>
      <c r="H234" s="78" t="n">
        <v>0.171979166666667</v>
      </c>
      <c r="I234" s="7" t="s">
        <v>511</v>
      </c>
      <c r="J234" s="7" t="s">
        <v>40</v>
      </c>
      <c r="K234" s="79" t="str">
        <f aca="false">INDEX(Products!$B$2:$B$71,MATCH($C234,Products!$A$2:$A$71,0))</f>
        <v>Nostrum Box</v>
      </c>
      <c r="L234" s="79" t="str">
        <f aca="false">INDEX(Products!$C$2:$C$71,MATCH($C234,Products!$A$2:$A$71,0))</f>
        <v>Soft Toys</v>
      </c>
      <c r="M234" s="80" t="n">
        <f aca="false">INDEX(Products!$D$2:$D$71,MATCH($C234,Products!$A$2:$A$71,0))</f>
        <v>1878</v>
      </c>
      <c r="N234" s="80" t="n">
        <f aca="false">$D234*$M234</f>
        <v>7512</v>
      </c>
      <c r="O234" s="79" t="str">
        <f aca="false">INDEX(Customers!$C$2:$C$101,MATCH($B234,Customers!$A$2:$A$101,0))</f>
        <v>Cuttack</v>
      </c>
      <c r="P234" s="79" t="str">
        <f aca="false">INDEX(Customers!$F$2:$F$101,MATCH($B234,Customers!$A$2:$A$101,0))</f>
        <v>Male</v>
      </c>
      <c r="Q234" s="79" t="str">
        <f aca="false">INDEX(Customers!$B$2:$B$101,MATCH($B234,Customers!$A$2:$A$101,0))</f>
        <v>Navya Golla</v>
      </c>
      <c r="R234" s="79" t="n">
        <f aca="false">MONTH($E234)</f>
        <v>8</v>
      </c>
      <c r="S234" s="79" t="str">
        <f aca="false">INDEX(Lists!$B$2:$B$13,$R234)</f>
        <v>August</v>
      </c>
      <c r="T234" s="79" t="n">
        <f aca="false">HOUR($F234)</f>
        <v>22</v>
      </c>
      <c r="U234" s="79" t="n">
        <f aca="false">WEEKDAY($E234,2)</f>
        <v>6</v>
      </c>
      <c r="V234" s="79" t="str">
        <f aca="false">INDEX(Lists!$F$2:$F$8,$U234)</f>
        <v>Saturday</v>
      </c>
      <c r="W234" s="81" t="n">
        <f aca="false">($G234+$H234)-($E234+$F234)</f>
        <v>3.24467592592593</v>
      </c>
      <c r="X234" s="79" t="str">
        <f aca="false">LOOKUP($M234,Lists!$G$2:$G$5,Lists!$H$2:$H$5)</f>
        <v>₹1,500 - 2,000</v>
      </c>
      <c r="Y234" s="79" t="str">
        <f aca="false">LOOKUP($W234,Lists!$I$2:$I$7,Lists!$J$2:$J$7)</f>
        <v>2 - 4 days</v>
      </c>
    </row>
    <row r="235" customFormat="false" ht="15" hidden="false" customHeight="false" outlineLevel="0" collapsed="false">
      <c r="A235" s="2" t="n">
        <v>234</v>
      </c>
      <c r="B235" s="2" t="s">
        <v>385</v>
      </c>
      <c r="C235" s="2" t="n">
        <v>42</v>
      </c>
      <c r="D235" s="2" t="n">
        <v>1</v>
      </c>
      <c r="E235" s="82" t="n">
        <v>45009</v>
      </c>
      <c r="F235" s="83" t="n">
        <v>0.887638888888889</v>
      </c>
      <c r="G235" s="82" t="n">
        <v>45017</v>
      </c>
      <c r="H235" s="83" t="n">
        <v>0.0256134259259259</v>
      </c>
      <c r="I235" s="2" t="s">
        <v>455</v>
      </c>
      <c r="J235" s="2" t="s">
        <v>165</v>
      </c>
      <c r="K235" s="46" t="str">
        <f aca="false">INDEX(Products!$B$2:$B$71,MATCH($C235,Products!$A$2:$A$71,0))</f>
        <v>Expedita Gift</v>
      </c>
      <c r="L235" s="46" t="str">
        <f aca="false">INDEX(Products!$C$2:$C$71,MATCH($C235,Products!$A$2:$A$71,0))</f>
        <v>Sweets</v>
      </c>
      <c r="M235" s="84" t="n">
        <f aca="false">INDEX(Products!$D$2:$D$71,MATCH($C235,Products!$A$2:$A$71,0))</f>
        <v>1744</v>
      </c>
      <c r="N235" s="84" t="n">
        <f aca="false">$D235*$M235</f>
        <v>1744</v>
      </c>
      <c r="O235" s="46" t="str">
        <f aca="false">INDEX(Customers!$C$2:$C$101,MATCH($B235,Customers!$A$2:$A$101,0))</f>
        <v>Sri Ganganagar</v>
      </c>
      <c r="P235" s="46" t="str">
        <f aca="false">INDEX(Customers!$F$2:$F$101,MATCH($B235,Customers!$A$2:$A$101,0))</f>
        <v>Female</v>
      </c>
      <c r="Q235" s="46" t="str">
        <f aca="false">INDEX(Customers!$B$2:$B$101,MATCH($B235,Customers!$A$2:$A$101,0))</f>
        <v>Nakul Randhawa</v>
      </c>
      <c r="R235" s="46" t="n">
        <f aca="false">MONTH($E235)</f>
        <v>3</v>
      </c>
      <c r="S235" s="46" t="str">
        <f aca="false">INDEX(Lists!$B$2:$B$13,$R235)</f>
        <v>March</v>
      </c>
      <c r="T235" s="46" t="n">
        <f aca="false">HOUR($F235)</f>
        <v>21</v>
      </c>
      <c r="U235" s="46" t="n">
        <f aca="false">WEEKDAY($E235,2)</f>
        <v>5</v>
      </c>
      <c r="V235" s="46" t="str">
        <f aca="false">INDEX(Lists!$F$2:$F$8,$U235)</f>
        <v>Friday</v>
      </c>
      <c r="W235" s="85" t="n">
        <f aca="false">($G235+$H235)-($E235+$F235)</f>
        <v>7.13797453703704</v>
      </c>
      <c r="X235" s="46" t="str">
        <f aca="false">LOOKUP($M235,Lists!$G$2:$G$5,Lists!$H$2:$H$5)</f>
        <v>₹1,500 - 2,000</v>
      </c>
      <c r="Y235" s="46" t="str">
        <f aca="false">LOOKUP($W235,Lists!$I$2:$I$7,Lists!$J$2:$J$7)</f>
        <v>6 - 8 days</v>
      </c>
    </row>
    <row r="236" customFormat="false" ht="15" hidden="false" customHeight="false" outlineLevel="0" collapsed="false">
      <c r="A236" s="7" t="n">
        <v>235</v>
      </c>
      <c r="B236" s="7" t="s">
        <v>313</v>
      </c>
      <c r="C236" s="7" t="n">
        <v>56</v>
      </c>
      <c r="D236" s="7" t="n">
        <v>2</v>
      </c>
      <c r="E236" s="77" t="n">
        <v>44983</v>
      </c>
      <c r="F236" s="78" t="n">
        <v>0.601921296296296</v>
      </c>
      <c r="G236" s="77" t="n">
        <v>44988</v>
      </c>
      <c r="H236" s="78" t="n">
        <v>0.976655092592593</v>
      </c>
      <c r="I236" s="7" t="s">
        <v>241</v>
      </c>
      <c r="J236" s="7" t="s">
        <v>168</v>
      </c>
      <c r="K236" s="79" t="str">
        <f aca="false">INDEX(Products!$B$2:$B$71,MATCH($C236,Products!$A$2:$A$71,0))</f>
        <v>Quia Gift</v>
      </c>
      <c r="L236" s="79" t="str">
        <f aca="false">INDEX(Products!$C$2:$C$71,MATCH($C236,Products!$A$2:$A$71,0))</f>
        <v>Raksha Bandhan</v>
      </c>
      <c r="M236" s="80" t="n">
        <f aca="false">INDEX(Products!$D$2:$D$71,MATCH($C236,Products!$A$2:$A$71,0))</f>
        <v>1272</v>
      </c>
      <c r="N236" s="80" t="n">
        <f aca="false">$D236*$M236</f>
        <v>2544</v>
      </c>
      <c r="O236" s="79" t="str">
        <f aca="false">INDEX(Customers!$C$2:$C$101,MATCH($B236,Customers!$A$2:$A$101,0))</f>
        <v>Tiruppur</v>
      </c>
      <c r="P236" s="79" t="str">
        <f aca="false">INDEX(Customers!$F$2:$F$101,MATCH($B236,Customers!$A$2:$A$101,0))</f>
        <v>Male</v>
      </c>
      <c r="Q236" s="79" t="str">
        <f aca="false">INDEX(Customers!$B$2:$B$101,MATCH($B236,Customers!$A$2:$A$101,0))</f>
        <v>Purab Sheth</v>
      </c>
      <c r="R236" s="79" t="n">
        <f aca="false">MONTH($E236)</f>
        <v>2</v>
      </c>
      <c r="S236" s="79" t="str">
        <f aca="false">INDEX(Lists!$B$2:$B$13,$R236)</f>
        <v>February</v>
      </c>
      <c r="T236" s="79" t="n">
        <f aca="false">HOUR($F236)</f>
        <v>14</v>
      </c>
      <c r="U236" s="79" t="n">
        <f aca="false">WEEKDAY($E236,2)</f>
        <v>7</v>
      </c>
      <c r="V236" s="79" t="str">
        <f aca="false">INDEX(Lists!$F$2:$F$8,$U236)</f>
        <v>Sunday</v>
      </c>
      <c r="W236" s="81" t="n">
        <f aca="false">($G236+$H236)-($E236+$F236)</f>
        <v>5.3747337962963</v>
      </c>
      <c r="X236" s="79" t="str">
        <f aca="false">LOOKUP($M236,Lists!$G$2:$G$5,Lists!$H$2:$H$5)</f>
        <v>₹1,000 - 1,499</v>
      </c>
      <c r="Y236" s="79" t="str">
        <f aca="false">LOOKUP($W236,Lists!$I$2:$I$7,Lists!$J$2:$J$7)</f>
        <v>4 - 6 days</v>
      </c>
    </row>
    <row r="237" customFormat="false" ht="15" hidden="false" customHeight="false" outlineLevel="0" collapsed="false">
      <c r="A237" s="2" t="n">
        <v>236</v>
      </c>
      <c r="B237" s="2" t="s">
        <v>236</v>
      </c>
      <c r="C237" s="2" t="n">
        <v>23</v>
      </c>
      <c r="D237" s="2" t="n">
        <v>5</v>
      </c>
      <c r="E237" s="82" t="n">
        <v>45172</v>
      </c>
      <c r="F237" s="83" t="n">
        <v>0.273518518518519</v>
      </c>
      <c r="G237" s="82" t="n">
        <v>45180</v>
      </c>
      <c r="H237" s="83" t="n">
        <v>0.0904861111111111</v>
      </c>
      <c r="I237" s="2" t="s">
        <v>522</v>
      </c>
      <c r="J237" s="2" t="s">
        <v>168</v>
      </c>
      <c r="K237" s="46" t="str">
        <f aca="false">INDEX(Products!$B$2:$B$71,MATCH($C237,Products!$A$2:$A$71,0))</f>
        <v>Dignissimos Pack</v>
      </c>
      <c r="L237" s="46" t="str">
        <f aca="false">INDEX(Products!$C$2:$C$71,MATCH($C237,Products!$A$2:$A$71,0))</f>
        <v>Sweets</v>
      </c>
      <c r="M237" s="84" t="n">
        <f aca="false">INDEX(Products!$D$2:$D$71,MATCH($C237,Products!$A$2:$A$71,0))</f>
        <v>1098</v>
      </c>
      <c r="N237" s="84" t="n">
        <f aca="false">$D237*$M237</f>
        <v>5490</v>
      </c>
      <c r="O237" s="46" t="str">
        <f aca="false">INDEX(Customers!$C$2:$C$101,MATCH($B237,Customers!$A$2:$A$101,0))</f>
        <v>Agra</v>
      </c>
      <c r="P237" s="46" t="str">
        <f aca="false">INDEX(Customers!$F$2:$F$101,MATCH($B237,Customers!$A$2:$A$101,0))</f>
        <v>Male</v>
      </c>
      <c r="Q237" s="46" t="str">
        <f aca="false">INDEX(Customers!$B$2:$B$101,MATCH($B237,Customers!$A$2:$A$101,0))</f>
        <v>Seher Mann</v>
      </c>
      <c r="R237" s="46" t="n">
        <f aca="false">MONTH($E237)</f>
        <v>9</v>
      </c>
      <c r="S237" s="46" t="str">
        <f aca="false">INDEX(Lists!$B$2:$B$13,$R237)</f>
        <v>September</v>
      </c>
      <c r="T237" s="46" t="n">
        <f aca="false">HOUR($F237)</f>
        <v>6</v>
      </c>
      <c r="U237" s="46" t="n">
        <f aca="false">WEEKDAY($E237,2)</f>
        <v>7</v>
      </c>
      <c r="V237" s="46" t="str">
        <f aca="false">INDEX(Lists!$F$2:$F$8,$U237)</f>
        <v>Sunday</v>
      </c>
      <c r="W237" s="85" t="n">
        <f aca="false">($G237+$H237)-($E237+$F237)</f>
        <v>7.81696759259259</v>
      </c>
      <c r="X237" s="46" t="str">
        <f aca="false">LOOKUP($M237,Lists!$G$2:$G$5,Lists!$H$2:$H$5)</f>
        <v>₹1,000 - 1,499</v>
      </c>
      <c r="Y237" s="46" t="str">
        <f aca="false">LOOKUP($W237,Lists!$I$2:$I$7,Lists!$J$2:$J$7)</f>
        <v>6 - 8 days</v>
      </c>
    </row>
    <row r="238" customFormat="false" ht="15" hidden="false" customHeight="false" outlineLevel="0" collapsed="false">
      <c r="A238" s="7" t="n">
        <v>237</v>
      </c>
      <c r="B238" s="7" t="s">
        <v>185</v>
      </c>
      <c r="C238" s="7" t="n">
        <v>55</v>
      </c>
      <c r="D238" s="7" t="n">
        <v>1</v>
      </c>
      <c r="E238" s="77" t="n">
        <v>45164</v>
      </c>
      <c r="F238" s="78" t="n">
        <v>0.391585648148148</v>
      </c>
      <c r="G238" s="77" t="n">
        <v>45168</v>
      </c>
      <c r="H238" s="78" t="n">
        <v>0.346759259259259</v>
      </c>
      <c r="I238" s="7" t="s">
        <v>557</v>
      </c>
      <c r="J238" s="7" t="s">
        <v>40</v>
      </c>
      <c r="K238" s="79" t="str">
        <f aca="false">INDEX(Products!$B$2:$B$71,MATCH($C238,Products!$A$2:$A$71,0))</f>
        <v>Dolores Gift</v>
      </c>
      <c r="L238" s="79" t="str">
        <f aca="false">INDEX(Products!$C$2:$C$71,MATCH($C238,Products!$A$2:$A$71,0))</f>
        <v>Soft Toys</v>
      </c>
      <c r="M238" s="80" t="n">
        <f aca="false">INDEX(Products!$D$2:$D$71,MATCH($C238,Products!$A$2:$A$71,0))</f>
        <v>1904</v>
      </c>
      <c r="N238" s="80" t="n">
        <f aca="false">$D238*$M238</f>
        <v>1904</v>
      </c>
      <c r="O238" s="79" t="str">
        <f aca="false">INDEX(Customers!$C$2:$C$101,MATCH($B238,Customers!$A$2:$A$101,0))</f>
        <v>Kavali</v>
      </c>
      <c r="P238" s="79" t="str">
        <f aca="false">INDEX(Customers!$F$2:$F$101,MATCH($B238,Customers!$A$2:$A$101,0))</f>
        <v>Female</v>
      </c>
      <c r="Q238" s="79" t="str">
        <f aca="false">INDEX(Customers!$B$2:$B$101,MATCH($B238,Customers!$A$2:$A$101,0))</f>
        <v>Jhanvi Chowdhury</v>
      </c>
      <c r="R238" s="79" t="n">
        <f aca="false">MONTH($E238)</f>
        <v>8</v>
      </c>
      <c r="S238" s="79" t="str">
        <f aca="false">INDEX(Lists!$B$2:$B$13,$R238)</f>
        <v>August</v>
      </c>
      <c r="T238" s="79" t="n">
        <f aca="false">HOUR($F238)</f>
        <v>9</v>
      </c>
      <c r="U238" s="79" t="n">
        <f aca="false">WEEKDAY($E238,2)</f>
        <v>6</v>
      </c>
      <c r="V238" s="79" t="str">
        <f aca="false">INDEX(Lists!$F$2:$F$8,$U238)</f>
        <v>Saturday</v>
      </c>
      <c r="W238" s="81" t="n">
        <f aca="false">($G238+$H238)-($E238+$F238)</f>
        <v>3.95517361111111</v>
      </c>
      <c r="X238" s="79" t="str">
        <f aca="false">LOOKUP($M238,Lists!$G$2:$G$5,Lists!$H$2:$H$5)</f>
        <v>₹1,500 - 2,000</v>
      </c>
      <c r="Y238" s="79" t="str">
        <f aca="false">LOOKUP($W238,Lists!$I$2:$I$7,Lists!$J$2:$J$7)</f>
        <v>2 - 4 days</v>
      </c>
    </row>
    <row r="239" customFormat="false" ht="15" hidden="false" customHeight="false" outlineLevel="0" collapsed="false">
      <c r="A239" s="2" t="n">
        <v>238</v>
      </c>
      <c r="B239" s="2" t="s">
        <v>347</v>
      </c>
      <c r="C239" s="2" t="n">
        <v>26</v>
      </c>
      <c r="D239" s="2" t="n">
        <v>4</v>
      </c>
      <c r="E239" s="82" t="n">
        <v>44990</v>
      </c>
      <c r="F239" s="83" t="n">
        <v>0.331053240740741</v>
      </c>
      <c r="G239" s="82" t="n">
        <v>44996</v>
      </c>
      <c r="H239" s="83" t="n">
        <v>0.846030092592593</v>
      </c>
      <c r="I239" s="2" t="s">
        <v>437</v>
      </c>
      <c r="J239" s="2" t="s">
        <v>33</v>
      </c>
      <c r="K239" s="46" t="str">
        <f aca="false">INDEX(Products!$B$2:$B$71,MATCH($C239,Products!$A$2:$A$71,0))</f>
        <v>Aliquam Box</v>
      </c>
      <c r="L239" s="46" t="str">
        <f aca="false">INDEX(Products!$C$2:$C$71,MATCH($C239,Products!$A$2:$A$71,0))</f>
        <v>Colors</v>
      </c>
      <c r="M239" s="84" t="n">
        <f aca="false">INDEX(Products!$D$2:$D$71,MATCH($C239,Products!$A$2:$A$71,0))</f>
        <v>289</v>
      </c>
      <c r="N239" s="84" t="n">
        <f aca="false">$D239*$M239</f>
        <v>1156</v>
      </c>
      <c r="O239" s="46" t="str">
        <f aca="false">INDEX(Customers!$C$2:$C$101,MATCH($B239,Customers!$A$2:$A$101,0))</f>
        <v>Raurkela Industrial Township</v>
      </c>
      <c r="P239" s="46" t="str">
        <f aca="false">INDEX(Customers!$F$2:$F$101,MATCH($B239,Customers!$A$2:$A$101,0))</f>
        <v>Male</v>
      </c>
      <c r="Q239" s="46" t="str">
        <f aca="false">INDEX(Customers!$B$2:$B$101,MATCH($B239,Customers!$A$2:$A$101,0))</f>
        <v>Aaryahi Sodhi</v>
      </c>
      <c r="R239" s="46" t="n">
        <f aca="false">MONTH($E239)</f>
        <v>3</v>
      </c>
      <c r="S239" s="46" t="str">
        <f aca="false">INDEX(Lists!$B$2:$B$13,$R239)</f>
        <v>March</v>
      </c>
      <c r="T239" s="46" t="n">
        <f aca="false">HOUR($F239)</f>
        <v>7</v>
      </c>
      <c r="U239" s="46" t="n">
        <f aca="false">WEEKDAY($E239,2)</f>
        <v>7</v>
      </c>
      <c r="V239" s="46" t="str">
        <f aca="false">INDEX(Lists!$F$2:$F$8,$U239)</f>
        <v>Sunday</v>
      </c>
      <c r="W239" s="85" t="n">
        <f aca="false">($G239+$H239)-($E239+$F239)</f>
        <v>6.51497685185185</v>
      </c>
      <c r="X239" s="46" t="str">
        <f aca="false">LOOKUP($M239,Lists!$G$2:$G$5,Lists!$H$2:$H$5)</f>
        <v>₹0 - 499</v>
      </c>
      <c r="Y239" s="46" t="str">
        <f aca="false">LOOKUP($W239,Lists!$I$2:$I$7,Lists!$J$2:$J$7)</f>
        <v>6 - 8 days</v>
      </c>
    </row>
    <row r="240" customFormat="false" ht="15" hidden="false" customHeight="false" outlineLevel="0" collapsed="false">
      <c r="A240" s="7" t="n">
        <v>239</v>
      </c>
      <c r="B240" s="7" t="s">
        <v>360</v>
      </c>
      <c r="C240" s="7" t="n">
        <v>27</v>
      </c>
      <c r="D240" s="7" t="n">
        <v>3</v>
      </c>
      <c r="E240" s="77" t="n">
        <v>45167</v>
      </c>
      <c r="F240" s="78" t="n">
        <v>0.356770833333333</v>
      </c>
      <c r="G240" s="77" t="n">
        <v>45175</v>
      </c>
      <c r="H240" s="78" t="n">
        <v>0.557731481481481</v>
      </c>
      <c r="I240" s="7" t="s">
        <v>400</v>
      </c>
      <c r="J240" s="7" t="s">
        <v>40</v>
      </c>
      <c r="K240" s="79" t="str">
        <f aca="false">INDEX(Products!$B$2:$B$71,MATCH($C240,Products!$A$2:$A$71,0))</f>
        <v>Architecto Gift</v>
      </c>
      <c r="L240" s="79" t="str">
        <f aca="false">INDEX(Products!$C$2:$C$71,MATCH($C240,Products!$A$2:$A$71,0))</f>
        <v>Cake</v>
      </c>
      <c r="M240" s="80" t="n">
        <f aca="false">INDEX(Products!$D$2:$D$71,MATCH($C240,Products!$A$2:$A$71,0))</f>
        <v>548</v>
      </c>
      <c r="N240" s="80" t="n">
        <f aca="false">$D240*$M240</f>
        <v>1644</v>
      </c>
      <c r="O240" s="79" t="str">
        <f aca="false">INDEX(Customers!$C$2:$C$101,MATCH($B240,Customers!$A$2:$A$101,0))</f>
        <v>Khora </v>
      </c>
      <c r="P240" s="79" t="str">
        <f aca="false">INDEX(Customers!$F$2:$F$101,MATCH($B240,Customers!$A$2:$A$101,0))</f>
        <v>Female</v>
      </c>
      <c r="Q240" s="79" t="str">
        <f aca="false">INDEX(Customers!$B$2:$B$101,MATCH($B240,Customers!$A$2:$A$101,0))</f>
        <v>Shalv Kulkarni</v>
      </c>
      <c r="R240" s="79" t="n">
        <f aca="false">MONTH($E240)</f>
        <v>8</v>
      </c>
      <c r="S240" s="79" t="str">
        <f aca="false">INDEX(Lists!$B$2:$B$13,$R240)</f>
        <v>August</v>
      </c>
      <c r="T240" s="79" t="n">
        <f aca="false">HOUR($F240)</f>
        <v>8</v>
      </c>
      <c r="U240" s="79" t="n">
        <f aca="false">WEEKDAY($E240,2)</f>
        <v>2</v>
      </c>
      <c r="V240" s="79" t="str">
        <f aca="false">INDEX(Lists!$F$2:$F$8,$U240)</f>
        <v>Tuesday</v>
      </c>
      <c r="W240" s="81" t="n">
        <f aca="false">($G240+$H240)-($E240+$F240)</f>
        <v>8.20096064814815</v>
      </c>
      <c r="X240" s="79" t="str">
        <f aca="false">LOOKUP($M240,Lists!$G$2:$G$5,Lists!$H$2:$H$5)</f>
        <v>₹500 - 999</v>
      </c>
      <c r="Y240" s="79" t="str">
        <f aca="false">LOOKUP($W240,Lists!$I$2:$I$7,Lists!$J$2:$J$7)</f>
        <v>8 - 10 days</v>
      </c>
    </row>
    <row r="241" customFormat="false" ht="15" hidden="false" customHeight="false" outlineLevel="0" collapsed="false">
      <c r="A241" s="2" t="n">
        <v>240</v>
      </c>
      <c r="B241" s="2" t="s">
        <v>322</v>
      </c>
      <c r="C241" s="2" t="n">
        <v>5</v>
      </c>
      <c r="D241" s="2" t="n">
        <v>5</v>
      </c>
      <c r="E241" s="82" t="n">
        <v>45010</v>
      </c>
      <c r="F241" s="83" t="n">
        <v>0.252523148148148</v>
      </c>
      <c r="G241" s="82" t="n">
        <v>45015</v>
      </c>
      <c r="H241" s="83" t="n">
        <v>0.655185185185185</v>
      </c>
      <c r="I241" s="2" t="s">
        <v>321</v>
      </c>
      <c r="J241" s="2" t="s">
        <v>165</v>
      </c>
      <c r="K241" s="46" t="str">
        <f aca="false">INDEX(Products!$B$2:$B$71,MATCH($C241,Products!$A$2:$A$71,0))</f>
        <v>Natus Gift</v>
      </c>
      <c r="L241" s="46" t="str">
        <f aca="false">INDEX(Products!$C$2:$C$71,MATCH($C241,Products!$A$2:$A$71,0))</f>
        <v>Colors</v>
      </c>
      <c r="M241" s="84" t="n">
        <f aca="false">INDEX(Products!$D$2:$D$71,MATCH($C241,Products!$A$2:$A$71,0))</f>
        <v>1444</v>
      </c>
      <c r="N241" s="84" t="n">
        <f aca="false">$D241*$M241</f>
        <v>7220</v>
      </c>
      <c r="O241" s="46" t="str">
        <f aca="false">INDEX(Customers!$C$2:$C$101,MATCH($B241,Customers!$A$2:$A$101,0))</f>
        <v>Sultan Pur Majra</v>
      </c>
      <c r="P241" s="46" t="str">
        <f aca="false">INDEX(Customers!$F$2:$F$101,MATCH($B241,Customers!$A$2:$A$101,0))</f>
        <v>Female</v>
      </c>
      <c r="Q241" s="46" t="str">
        <f aca="false">INDEX(Customers!$B$2:$B$101,MATCH($B241,Customers!$A$2:$A$101,0))</f>
        <v>Vanya Apte</v>
      </c>
      <c r="R241" s="46" t="n">
        <f aca="false">MONTH($E241)</f>
        <v>3</v>
      </c>
      <c r="S241" s="46" t="str">
        <f aca="false">INDEX(Lists!$B$2:$B$13,$R241)</f>
        <v>March</v>
      </c>
      <c r="T241" s="46" t="n">
        <f aca="false">HOUR($F241)</f>
        <v>6</v>
      </c>
      <c r="U241" s="46" t="n">
        <f aca="false">WEEKDAY($E241,2)</f>
        <v>6</v>
      </c>
      <c r="V241" s="46" t="str">
        <f aca="false">INDEX(Lists!$F$2:$F$8,$U241)</f>
        <v>Saturday</v>
      </c>
      <c r="W241" s="85" t="n">
        <f aca="false">($G241+$H241)-($E241+$F241)</f>
        <v>5.40266203703704</v>
      </c>
      <c r="X241" s="46" t="str">
        <f aca="false">LOOKUP($M241,Lists!$G$2:$G$5,Lists!$H$2:$H$5)</f>
        <v>₹1,000 - 1,499</v>
      </c>
      <c r="Y241" s="46" t="str">
        <f aca="false">LOOKUP($W241,Lists!$I$2:$I$7,Lists!$J$2:$J$7)</f>
        <v>4 - 6 days</v>
      </c>
    </row>
    <row r="242" customFormat="false" ht="15" hidden="false" customHeight="false" outlineLevel="0" collapsed="false">
      <c r="A242" s="7" t="n">
        <v>241</v>
      </c>
      <c r="B242" s="7" t="s">
        <v>303</v>
      </c>
      <c r="C242" s="7" t="n">
        <v>20</v>
      </c>
      <c r="D242" s="7" t="n">
        <v>2</v>
      </c>
      <c r="E242" s="77" t="n">
        <v>45174</v>
      </c>
      <c r="F242" s="78" t="n">
        <v>0.411296296296296</v>
      </c>
      <c r="G242" s="77" t="n">
        <v>45176</v>
      </c>
      <c r="H242" s="78" t="n">
        <v>0.373854166666667</v>
      </c>
      <c r="I242" s="7" t="s">
        <v>424</v>
      </c>
      <c r="J242" s="7" t="s">
        <v>168</v>
      </c>
      <c r="K242" s="79" t="str">
        <f aca="false">INDEX(Products!$B$2:$B$71,MATCH($C242,Products!$A$2:$A$71,0))</f>
        <v>Reiciendis Box</v>
      </c>
      <c r="L242" s="79" t="str">
        <f aca="false">INDEX(Products!$C$2:$C$71,MATCH($C242,Products!$A$2:$A$71,0))</f>
        <v>Colors</v>
      </c>
      <c r="M242" s="80" t="n">
        <f aca="false">INDEX(Products!$D$2:$D$71,MATCH($C242,Products!$A$2:$A$71,0))</f>
        <v>697</v>
      </c>
      <c r="N242" s="80" t="n">
        <f aca="false">$D242*$M242</f>
        <v>1394</v>
      </c>
      <c r="O242" s="79" t="str">
        <f aca="false">INDEX(Customers!$C$2:$C$101,MATCH($B242,Customers!$A$2:$A$101,0))</f>
        <v>Anand</v>
      </c>
      <c r="P242" s="79" t="str">
        <f aca="false">INDEX(Customers!$F$2:$F$101,MATCH($B242,Customers!$A$2:$A$101,0))</f>
        <v>Male</v>
      </c>
      <c r="Q242" s="79" t="str">
        <f aca="false">INDEX(Customers!$B$2:$B$101,MATCH($B242,Customers!$A$2:$A$101,0))</f>
        <v>Eva Sankaran</v>
      </c>
      <c r="R242" s="79" t="n">
        <f aca="false">MONTH($E242)</f>
        <v>9</v>
      </c>
      <c r="S242" s="79" t="str">
        <f aca="false">INDEX(Lists!$B$2:$B$13,$R242)</f>
        <v>September</v>
      </c>
      <c r="T242" s="79" t="n">
        <f aca="false">HOUR($F242)</f>
        <v>9</v>
      </c>
      <c r="U242" s="79" t="n">
        <f aca="false">WEEKDAY($E242,2)</f>
        <v>2</v>
      </c>
      <c r="V242" s="79" t="str">
        <f aca="false">INDEX(Lists!$F$2:$F$8,$U242)</f>
        <v>Tuesday</v>
      </c>
      <c r="W242" s="81" t="n">
        <f aca="false">($G242+$H242)-($E242+$F242)</f>
        <v>1.96255787037037</v>
      </c>
      <c r="X242" s="79" t="str">
        <f aca="false">LOOKUP($M242,Lists!$G$2:$G$5,Lists!$H$2:$H$5)</f>
        <v>₹500 - 999</v>
      </c>
      <c r="Y242" s="79" t="str">
        <f aca="false">LOOKUP($W242,Lists!$I$2:$I$7,Lists!$J$2:$J$7)</f>
        <v>0 - 2 days</v>
      </c>
    </row>
    <row r="243" customFormat="false" ht="15" hidden="false" customHeight="false" outlineLevel="0" collapsed="false">
      <c r="A243" s="2" t="n">
        <v>242</v>
      </c>
      <c r="B243" s="2" t="s">
        <v>157</v>
      </c>
      <c r="C243" s="2" t="n">
        <v>21</v>
      </c>
      <c r="D243" s="2" t="n">
        <v>1</v>
      </c>
      <c r="E243" s="82" t="n">
        <v>45161</v>
      </c>
      <c r="F243" s="83" t="n">
        <v>0.433865740740741</v>
      </c>
      <c r="G243" s="82" t="n">
        <v>45169</v>
      </c>
      <c r="H243" s="83" t="n">
        <v>0.668425925925926</v>
      </c>
      <c r="I243" s="2" t="s">
        <v>173</v>
      </c>
      <c r="J243" s="2" t="s">
        <v>40</v>
      </c>
      <c r="K243" s="46" t="str">
        <f aca="false">INDEX(Products!$B$2:$B$71,MATCH($C243,Products!$A$2:$A$71,0))</f>
        <v>Quia Gift</v>
      </c>
      <c r="L243" s="46" t="str">
        <f aca="false">INDEX(Products!$C$2:$C$71,MATCH($C243,Products!$A$2:$A$71,0))</f>
        <v>Colors</v>
      </c>
      <c r="M243" s="84" t="n">
        <f aca="false">INDEX(Products!$D$2:$D$71,MATCH($C243,Products!$A$2:$A$71,0))</f>
        <v>1561</v>
      </c>
      <c r="N243" s="84" t="n">
        <f aca="false">$D243*$M243</f>
        <v>1561</v>
      </c>
      <c r="O243" s="46" t="str">
        <f aca="false">INDEX(Customers!$C$2:$C$101,MATCH($B243,Customers!$A$2:$A$101,0))</f>
        <v>Bilaspur</v>
      </c>
      <c r="P243" s="46" t="str">
        <f aca="false">INDEX(Customers!$F$2:$F$101,MATCH($B243,Customers!$A$2:$A$101,0))</f>
        <v>Male</v>
      </c>
      <c r="Q243" s="46" t="str">
        <f aca="false">INDEX(Customers!$B$2:$B$101,MATCH($B243,Customers!$A$2:$A$101,0))</f>
        <v>Onkar Mangat</v>
      </c>
      <c r="R243" s="46" t="n">
        <f aca="false">MONTH($E243)</f>
        <v>8</v>
      </c>
      <c r="S243" s="46" t="str">
        <f aca="false">INDEX(Lists!$B$2:$B$13,$R243)</f>
        <v>August</v>
      </c>
      <c r="T243" s="46" t="n">
        <f aca="false">HOUR($F243)</f>
        <v>10</v>
      </c>
      <c r="U243" s="46" t="n">
        <f aca="false">WEEKDAY($E243,2)</f>
        <v>3</v>
      </c>
      <c r="V243" s="46" t="str">
        <f aca="false">INDEX(Lists!$F$2:$F$8,$U243)</f>
        <v>Wednesday</v>
      </c>
      <c r="W243" s="85" t="n">
        <f aca="false">($G243+$H243)-($E243+$F243)</f>
        <v>8.23456018518519</v>
      </c>
      <c r="X243" s="46" t="str">
        <f aca="false">LOOKUP($M243,Lists!$G$2:$G$5,Lists!$H$2:$H$5)</f>
        <v>₹1,500 - 2,000</v>
      </c>
      <c r="Y243" s="46" t="str">
        <f aca="false">LOOKUP($W243,Lists!$I$2:$I$7,Lists!$J$2:$J$7)</f>
        <v>8 - 10 days</v>
      </c>
    </row>
    <row r="244" customFormat="false" ht="15" hidden="false" customHeight="false" outlineLevel="0" collapsed="false">
      <c r="A244" s="7" t="n">
        <v>243</v>
      </c>
      <c r="B244" s="7" t="s">
        <v>233</v>
      </c>
      <c r="C244" s="7" t="n">
        <v>3</v>
      </c>
      <c r="D244" s="7" t="n">
        <v>1</v>
      </c>
      <c r="E244" s="77" t="n">
        <v>44962</v>
      </c>
      <c r="F244" s="78" t="n">
        <v>0.868483796296296</v>
      </c>
      <c r="G244" s="77" t="n">
        <v>44967</v>
      </c>
      <c r="H244" s="78" t="n">
        <v>0.521458333333333</v>
      </c>
      <c r="I244" s="7" t="s">
        <v>571</v>
      </c>
      <c r="J244" s="7" t="s">
        <v>179</v>
      </c>
      <c r="K244" s="79" t="str">
        <f aca="false">INDEX(Products!$B$2:$B$71,MATCH($C244,Products!$A$2:$A$71,0))</f>
        <v>Eius Gift</v>
      </c>
      <c r="L244" s="79" t="str">
        <f aca="false">INDEX(Products!$C$2:$C$71,MATCH($C244,Products!$A$2:$A$71,0))</f>
        <v>Colors</v>
      </c>
      <c r="M244" s="80" t="n">
        <f aca="false">INDEX(Products!$D$2:$D$71,MATCH($C244,Products!$A$2:$A$71,0))</f>
        <v>1534</v>
      </c>
      <c r="N244" s="80" t="n">
        <f aca="false">$D244*$M244</f>
        <v>1534</v>
      </c>
      <c r="O244" s="79" t="str">
        <f aca="false">INDEX(Customers!$C$2:$C$101,MATCH($B244,Customers!$A$2:$A$101,0))</f>
        <v>Vellore</v>
      </c>
      <c r="P244" s="79" t="str">
        <f aca="false">INDEX(Customers!$F$2:$F$101,MATCH($B244,Customers!$A$2:$A$101,0))</f>
        <v>Female</v>
      </c>
      <c r="Q244" s="79" t="str">
        <f aca="false">INDEX(Customers!$B$2:$B$101,MATCH($B244,Customers!$A$2:$A$101,0))</f>
        <v>Yasmin Sheth</v>
      </c>
      <c r="R244" s="79" t="n">
        <f aca="false">MONTH($E244)</f>
        <v>2</v>
      </c>
      <c r="S244" s="79" t="str">
        <f aca="false">INDEX(Lists!$B$2:$B$13,$R244)</f>
        <v>February</v>
      </c>
      <c r="T244" s="79" t="n">
        <f aca="false">HOUR($F244)</f>
        <v>20</v>
      </c>
      <c r="U244" s="79" t="n">
        <f aca="false">WEEKDAY($E244,2)</f>
        <v>7</v>
      </c>
      <c r="V244" s="79" t="str">
        <f aca="false">INDEX(Lists!$F$2:$F$8,$U244)</f>
        <v>Sunday</v>
      </c>
      <c r="W244" s="81" t="n">
        <f aca="false">($G244+$H244)-($E244+$F244)</f>
        <v>4.65297453703704</v>
      </c>
      <c r="X244" s="79" t="str">
        <f aca="false">LOOKUP($M244,Lists!$G$2:$G$5,Lists!$H$2:$H$5)</f>
        <v>₹1,500 - 2,000</v>
      </c>
      <c r="Y244" s="79" t="str">
        <f aca="false">LOOKUP($W244,Lists!$I$2:$I$7,Lists!$J$2:$J$7)</f>
        <v>4 - 6 days</v>
      </c>
    </row>
    <row r="245" customFormat="false" ht="15" hidden="false" customHeight="false" outlineLevel="0" collapsed="false">
      <c r="A245" s="2" t="n">
        <v>244</v>
      </c>
      <c r="B245" s="2" t="s">
        <v>227</v>
      </c>
      <c r="C245" s="2" t="n">
        <v>65</v>
      </c>
      <c r="D245" s="2" t="n">
        <v>3</v>
      </c>
      <c r="E245" s="82" t="n">
        <v>45005</v>
      </c>
      <c r="F245" s="83" t="n">
        <v>0.629178240740741</v>
      </c>
      <c r="G245" s="82" t="n">
        <v>45015</v>
      </c>
      <c r="H245" s="83" t="n">
        <v>0.296296296296296</v>
      </c>
      <c r="I245" s="2" t="s">
        <v>398</v>
      </c>
      <c r="J245" s="2" t="s">
        <v>165</v>
      </c>
      <c r="K245" s="46" t="str">
        <f aca="false">INDEX(Products!$B$2:$B$71,MATCH($C245,Products!$A$2:$A$71,0))</f>
        <v>Error Gift</v>
      </c>
      <c r="L245" s="46" t="str">
        <f aca="false">INDEX(Products!$C$2:$C$71,MATCH($C245,Products!$A$2:$A$71,0))</f>
        <v>Raksha Bandhan</v>
      </c>
      <c r="M245" s="84" t="n">
        <f aca="false">INDEX(Products!$D$2:$D$71,MATCH($C245,Products!$A$2:$A$71,0))</f>
        <v>1895</v>
      </c>
      <c r="N245" s="84" t="n">
        <f aca="false">$D245*$M245</f>
        <v>5685</v>
      </c>
      <c r="O245" s="46" t="str">
        <f aca="false">INDEX(Customers!$C$2:$C$101,MATCH($B245,Customers!$A$2:$A$101,0))</f>
        <v>Karaikudi</v>
      </c>
      <c r="P245" s="46" t="str">
        <f aca="false">INDEX(Customers!$F$2:$F$101,MATCH($B245,Customers!$A$2:$A$101,0))</f>
        <v>Male</v>
      </c>
      <c r="Q245" s="46" t="str">
        <f aca="false">INDEX(Customers!$B$2:$B$101,MATCH($B245,Customers!$A$2:$A$101,0))</f>
        <v>Rati Dhingra</v>
      </c>
      <c r="R245" s="46" t="n">
        <f aca="false">MONTH($E245)</f>
        <v>3</v>
      </c>
      <c r="S245" s="46" t="str">
        <f aca="false">INDEX(Lists!$B$2:$B$13,$R245)</f>
        <v>March</v>
      </c>
      <c r="T245" s="46" t="n">
        <f aca="false">HOUR($F245)</f>
        <v>15</v>
      </c>
      <c r="U245" s="46" t="n">
        <f aca="false">WEEKDAY($E245,2)</f>
        <v>1</v>
      </c>
      <c r="V245" s="46" t="str">
        <f aca="false">INDEX(Lists!$F$2:$F$8,$U245)</f>
        <v>Monday</v>
      </c>
      <c r="W245" s="85" t="n">
        <f aca="false">($G245+$H245)-($E245+$F245)</f>
        <v>9.66711805555556</v>
      </c>
      <c r="X245" s="46" t="str">
        <f aca="false">LOOKUP($M245,Lists!$G$2:$G$5,Lists!$H$2:$H$5)</f>
        <v>₹1,500 - 2,000</v>
      </c>
      <c r="Y245" s="46" t="str">
        <f aca="false">LOOKUP($W245,Lists!$I$2:$I$7,Lists!$J$2:$J$7)</f>
        <v>8 - 10 days</v>
      </c>
    </row>
    <row r="246" customFormat="false" ht="15" hidden="false" customHeight="false" outlineLevel="0" collapsed="false">
      <c r="A246" s="7" t="n">
        <v>245</v>
      </c>
      <c r="B246" s="7" t="s">
        <v>176</v>
      </c>
      <c r="C246" s="7" t="n">
        <v>50</v>
      </c>
      <c r="D246" s="7" t="n">
        <v>3</v>
      </c>
      <c r="E246" s="77" t="n">
        <v>44990</v>
      </c>
      <c r="F246" s="78" t="n">
        <v>0.267662037037037</v>
      </c>
      <c r="G246" s="77" t="n">
        <v>44996</v>
      </c>
      <c r="H246" s="78" t="n">
        <v>0.396180555555556</v>
      </c>
      <c r="I246" s="7" t="s">
        <v>512</v>
      </c>
      <c r="J246" s="7" t="s">
        <v>33</v>
      </c>
      <c r="K246" s="79" t="str">
        <f aca="false">INDEX(Products!$B$2:$B$71,MATCH($C246,Products!$A$2:$A$71,0))</f>
        <v>Eligendi Set</v>
      </c>
      <c r="L246" s="79" t="str">
        <f aca="false">INDEX(Products!$C$2:$C$71,MATCH($C246,Products!$A$2:$A$71,0))</f>
        <v>Plants</v>
      </c>
      <c r="M246" s="80" t="n">
        <f aca="false">INDEX(Products!$D$2:$D$71,MATCH($C246,Products!$A$2:$A$71,0))</f>
        <v>422</v>
      </c>
      <c r="N246" s="80" t="n">
        <f aca="false">$D246*$M246</f>
        <v>1266</v>
      </c>
      <c r="O246" s="79" t="str">
        <f aca="false">INDEX(Customers!$C$2:$C$101,MATCH($B246,Customers!$A$2:$A$101,0))</f>
        <v>Machilipatnam</v>
      </c>
      <c r="P246" s="79" t="str">
        <f aca="false">INDEX(Customers!$F$2:$F$101,MATCH($B246,Customers!$A$2:$A$101,0))</f>
        <v>Male</v>
      </c>
      <c r="Q246" s="79" t="str">
        <f aca="false">INDEX(Customers!$B$2:$B$101,MATCH($B246,Customers!$A$2:$A$101,0))</f>
        <v>Samaira Ganesh</v>
      </c>
      <c r="R246" s="79" t="n">
        <f aca="false">MONTH($E246)</f>
        <v>3</v>
      </c>
      <c r="S246" s="79" t="str">
        <f aca="false">INDEX(Lists!$B$2:$B$13,$R246)</f>
        <v>March</v>
      </c>
      <c r="T246" s="79" t="n">
        <f aca="false">HOUR($F246)</f>
        <v>6</v>
      </c>
      <c r="U246" s="79" t="n">
        <f aca="false">WEEKDAY($E246,2)</f>
        <v>7</v>
      </c>
      <c r="V246" s="79" t="str">
        <f aca="false">INDEX(Lists!$F$2:$F$8,$U246)</f>
        <v>Sunday</v>
      </c>
      <c r="W246" s="81" t="n">
        <f aca="false">($G246+$H246)-($E246+$F246)</f>
        <v>6.12851851851852</v>
      </c>
      <c r="X246" s="79" t="str">
        <f aca="false">LOOKUP($M246,Lists!$G$2:$G$5,Lists!$H$2:$H$5)</f>
        <v>₹0 - 499</v>
      </c>
      <c r="Y246" s="79" t="str">
        <f aca="false">LOOKUP($W246,Lists!$I$2:$I$7,Lists!$J$2:$J$7)</f>
        <v>6 - 8 days</v>
      </c>
    </row>
    <row r="247" customFormat="false" ht="15" hidden="false" customHeight="false" outlineLevel="0" collapsed="false">
      <c r="A247" s="2" t="n">
        <v>246</v>
      </c>
      <c r="B247" s="2" t="s">
        <v>170</v>
      </c>
      <c r="C247" s="2" t="n">
        <v>69</v>
      </c>
      <c r="D247" s="2" t="n">
        <v>5</v>
      </c>
      <c r="E247" s="82" t="n">
        <v>44985</v>
      </c>
      <c r="F247" s="83" t="n">
        <v>0.975381944444445</v>
      </c>
      <c r="G247" s="82" t="n">
        <v>44993</v>
      </c>
      <c r="H247" s="83" t="n">
        <v>0.0269560185185185</v>
      </c>
      <c r="I247" s="2" t="s">
        <v>129</v>
      </c>
      <c r="J247" s="2" t="s">
        <v>33</v>
      </c>
      <c r="K247" s="46" t="str">
        <f aca="false">INDEX(Products!$B$2:$B$71,MATCH($C247,Products!$A$2:$A$71,0))</f>
        <v>Id Box</v>
      </c>
      <c r="L247" s="46" t="str">
        <f aca="false">INDEX(Products!$C$2:$C$71,MATCH($C247,Products!$A$2:$A$71,0))</f>
        <v>Cake</v>
      </c>
      <c r="M247" s="84" t="n">
        <f aca="false">INDEX(Products!$D$2:$D$71,MATCH($C247,Products!$A$2:$A$71,0))</f>
        <v>998</v>
      </c>
      <c r="N247" s="84" t="n">
        <f aca="false">$D247*$M247</f>
        <v>4990</v>
      </c>
      <c r="O247" s="46" t="str">
        <f aca="false">INDEX(Customers!$C$2:$C$101,MATCH($B247,Customers!$A$2:$A$101,0))</f>
        <v>Gangtok</v>
      </c>
      <c r="P247" s="46" t="str">
        <f aca="false">INDEX(Customers!$F$2:$F$101,MATCH($B247,Customers!$A$2:$A$101,0))</f>
        <v>Male</v>
      </c>
      <c r="Q247" s="46" t="str">
        <f aca="false">INDEX(Customers!$B$2:$B$101,MATCH($B247,Customers!$A$2:$A$101,0))</f>
        <v>Advika Dhar</v>
      </c>
      <c r="R247" s="46" t="n">
        <f aca="false">MONTH($E247)</f>
        <v>2</v>
      </c>
      <c r="S247" s="46" t="str">
        <f aca="false">INDEX(Lists!$B$2:$B$13,$R247)</f>
        <v>February</v>
      </c>
      <c r="T247" s="46" t="n">
        <f aca="false">HOUR($F247)</f>
        <v>23</v>
      </c>
      <c r="U247" s="46" t="n">
        <f aca="false">WEEKDAY($E247,2)</f>
        <v>2</v>
      </c>
      <c r="V247" s="46" t="str">
        <f aca="false">INDEX(Lists!$F$2:$F$8,$U247)</f>
        <v>Tuesday</v>
      </c>
      <c r="W247" s="85" t="n">
        <f aca="false">($G247+$H247)-($E247+$F247)</f>
        <v>7.05157407407407</v>
      </c>
      <c r="X247" s="46" t="str">
        <f aca="false">LOOKUP($M247,Lists!$G$2:$G$5,Lists!$H$2:$H$5)</f>
        <v>₹500 - 999</v>
      </c>
      <c r="Y247" s="46" t="str">
        <f aca="false">LOOKUP($W247,Lists!$I$2:$I$7,Lists!$J$2:$J$7)</f>
        <v>6 - 8 days</v>
      </c>
    </row>
    <row r="248" customFormat="false" ht="15" hidden="false" customHeight="false" outlineLevel="0" collapsed="false">
      <c r="A248" s="7" t="n">
        <v>247</v>
      </c>
      <c r="B248" s="7" t="s">
        <v>260</v>
      </c>
      <c r="C248" s="7" t="n">
        <v>23</v>
      </c>
      <c r="D248" s="7" t="n">
        <v>4</v>
      </c>
      <c r="E248" s="77" t="n">
        <v>45210</v>
      </c>
      <c r="F248" s="78" t="n">
        <v>0.249166666666667</v>
      </c>
      <c r="G248" s="77" t="n">
        <v>45215</v>
      </c>
      <c r="H248" s="78" t="n">
        <v>0.124143518518519</v>
      </c>
      <c r="I248" s="7" t="s">
        <v>395</v>
      </c>
      <c r="J248" s="7" t="s">
        <v>168</v>
      </c>
      <c r="K248" s="79" t="str">
        <f aca="false">INDEX(Products!$B$2:$B$71,MATCH($C248,Products!$A$2:$A$71,0))</f>
        <v>Dignissimos Pack</v>
      </c>
      <c r="L248" s="79" t="str">
        <f aca="false">INDEX(Products!$C$2:$C$71,MATCH($C248,Products!$A$2:$A$71,0))</f>
        <v>Sweets</v>
      </c>
      <c r="M248" s="80" t="n">
        <f aca="false">INDEX(Products!$D$2:$D$71,MATCH($C248,Products!$A$2:$A$71,0))</f>
        <v>1098</v>
      </c>
      <c r="N248" s="80" t="n">
        <f aca="false">$D248*$M248</f>
        <v>4392</v>
      </c>
      <c r="O248" s="79" t="str">
        <f aca="false">INDEX(Customers!$C$2:$C$101,MATCH($B248,Customers!$A$2:$A$101,0))</f>
        <v>Dhanbad</v>
      </c>
      <c r="P248" s="79" t="str">
        <f aca="false">INDEX(Customers!$F$2:$F$101,MATCH($B248,Customers!$A$2:$A$101,0))</f>
        <v>Male</v>
      </c>
      <c r="Q248" s="79" t="str">
        <f aca="false">INDEX(Customers!$B$2:$B$101,MATCH($B248,Customers!$A$2:$A$101,0))</f>
        <v>Vardaniya Apte</v>
      </c>
      <c r="R248" s="79" t="n">
        <f aca="false">MONTH($E248)</f>
        <v>10</v>
      </c>
      <c r="S248" s="79" t="str">
        <f aca="false">INDEX(Lists!$B$2:$B$13,$R248)</f>
        <v>October</v>
      </c>
      <c r="T248" s="79" t="n">
        <f aca="false">HOUR($F248)</f>
        <v>5</v>
      </c>
      <c r="U248" s="79" t="n">
        <f aca="false">WEEKDAY($E248,2)</f>
        <v>3</v>
      </c>
      <c r="V248" s="79" t="str">
        <f aca="false">INDEX(Lists!$F$2:$F$8,$U248)</f>
        <v>Wednesday</v>
      </c>
      <c r="W248" s="81" t="n">
        <f aca="false">($G248+$H248)-($E248+$F248)</f>
        <v>4.87497685185185</v>
      </c>
      <c r="X248" s="79" t="str">
        <f aca="false">LOOKUP($M248,Lists!$G$2:$G$5,Lists!$H$2:$H$5)</f>
        <v>₹1,000 - 1,499</v>
      </c>
      <c r="Y248" s="79" t="str">
        <f aca="false">LOOKUP($W248,Lists!$I$2:$I$7,Lists!$J$2:$J$7)</f>
        <v>4 - 6 days</v>
      </c>
    </row>
    <row r="249" customFormat="false" ht="15" hidden="false" customHeight="false" outlineLevel="0" collapsed="false">
      <c r="A249" s="2" t="n">
        <v>248</v>
      </c>
      <c r="B249" s="2" t="s">
        <v>236</v>
      </c>
      <c r="C249" s="2" t="n">
        <v>19</v>
      </c>
      <c r="D249" s="2" t="n">
        <v>5</v>
      </c>
      <c r="E249" s="82" t="n">
        <v>44965</v>
      </c>
      <c r="F249" s="83" t="n">
        <v>0.363668981481482</v>
      </c>
      <c r="G249" s="82" t="n">
        <v>44967</v>
      </c>
      <c r="H249" s="83" t="n">
        <v>0.177094907407407</v>
      </c>
      <c r="I249" s="2" t="s">
        <v>156</v>
      </c>
      <c r="J249" s="2" t="s">
        <v>179</v>
      </c>
      <c r="K249" s="46" t="str">
        <f aca="false">INDEX(Products!$B$2:$B$71,MATCH($C249,Products!$A$2:$A$71,0))</f>
        <v>Iure Gift</v>
      </c>
      <c r="L249" s="46" t="str">
        <f aca="false">INDEX(Products!$C$2:$C$71,MATCH($C249,Products!$A$2:$A$71,0))</f>
        <v>Mugs</v>
      </c>
      <c r="M249" s="84" t="n">
        <f aca="false">INDEX(Products!$D$2:$D$71,MATCH($C249,Products!$A$2:$A$71,0))</f>
        <v>1234</v>
      </c>
      <c r="N249" s="84" t="n">
        <f aca="false">$D249*$M249</f>
        <v>6170</v>
      </c>
      <c r="O249" s="46" t="str">
        <f aca="false">INDEX(Customers!$C$2:$C$101,MATCH($B249,Customers!$A$2:$A$101,0))</f>
        <v>Agra</v>
      </c>
      <c r="P249" s="46" t="str">
        <f aca="false">INDEX(Customers!$F$2:$F$101,MATCH($B249,Customers!$A$2:$A$101,0))</f>
        <v>Male</v>
      </c>
      <c r="Q249" s="46" t="str">
        <f aca="false">INDEX(Customers!$B$2:$B$101,MATCH($B249,Customers!$A$2:$A$101,0))</f>
        <v>Seher Mann</v>
      </c>
      <c r="R249" s="46" t="n">
        <f aca="false">MONTH($E249)</f>
        <v>2</v>
      </c>
      <c r="S249" s="46" t="str">
        <f aca="false">INDEX(Lists!$B$2:$B$13,$R249)</f>
        <v>February</v>
      </c>
      <c r="T249" s="46" t="n">
        <f aca="false">HOUR($F249)</f>
        <v>8</v>
      </c>
      <c r="U249" s="46" t="n">
        <f aca="false">WEEKDAY($E249,2)</f>
        <v>3</v>
      </c>
      <c r="V249" s="46" t="str">
        <f aca="false">INDEX(Lists!$F$2:$F$8,$U249)</f>
        <v>Wednesday</v>
      </c>
      <c r="W249" s="85" t="n">
        <f aca="false">($G249+$H249)-($E249+$F249)</f>
        <v>1.81342592592593</v>
      </c>
      <c r="X249" s="46" t="str">
        <f aca="false">LOOKUP($M249,Lists!$G$2:$G$5,Lists!$H$2:$H$5)</f>
        <v>₹1,000 - 1,499</v>
      </c>
      <c r="Y249" s="46" t="str">
        <f aca="false">LOOKUP($W249,Lists!$I$2:$I$7,Lists!$J$2:$J$7)</f>
        <v>0 - 2 days</v>
      </c>
    </row>
    <row r="250" customFormat="false" ht="15" hidden="false" customHeight="false" outlineLevel="0" collapsed="false">
      <c r="A250" s="7" t="n">
        <v>249</v>
      </c>
      <c r="B250" s="7" t="s">
        <v>130</v>
      </c>
      <c r="C250" s="7" t="n">
        <v>14</v>
      </c>
      <c r="D250" s="7" t="n">
        <v>2</v>
      </c>
      <c r="E250" s="77" t="n">
        <v>45179</v>
      </c>
      <c r="F250" s="78" t="n">
        <v>0.93212962962963</v>
      </c>
      <c r="G250" s="77" t="n">
        <v>45188</v>
      </c>
      <c r="H250" s="78" t="n">
        <v>0.970555555555556</v>
      </c>
      <c r="I250" s="7" t="s">
        <v>203</v>
      </c>
      <c r="J250" s="7" t="s">
        <v>31</v>
      </c>
      <c r="K250" s="79" t="str">
        <f aca="false">INDEX(Products!$B$2:$B$71,MATCH($C250,Products!$A$2:$A$71,0))</f>
        <v>Deserunt Box</v>
      </c>
      <c r="L250" s="79" t="str">
        <f aca="false">INDEX(Products!$C$2:$C$71,MATCH($C250,Products!$A$2:$A$71,0))</f>
        <v>Colors</v>
      </c>
      <c r="M250" s="80" t="n">
        <f aca="false">INDEX(Products!$D$2:$D$71,MATCH($C250,Products!$A$2:$A$71,0))</f>
        <v>1915</v>
      </c>
      <c r="N250" s="80" t="n">
        <f aca="false">$D250*$M250</f>
        <v>3830</v>
      </c>
      <c r="O250" s="79" t="str">
        <f aca="false">INDEX(Customers!$C$2:$C$101,MATCH($B250,Customers!$A$2:$A$101,0))</f>
        <v>Bilaspur</v>
      </c>
      <c r="P250" s="79" t="str">
        <f aca="false">INDEX(Customers!$F$2:$F$101,MATCH($B250,Customers!$A$2:$A$101,0))</f>
        <v>Male</v>
      </c>
      <c r="Q250" s="79" t="str">
        <f aca="false">INDEX(Customers!$B$2:$B$101,MATCH($B250,Customers!$A$2:$A$101,0))</f>
        <v>Jayesh Lanka</v>
      </c>
      <c r="R250" s="79" t="n">
        <f aca="false">MONTH($E250)</f>
        <v>9</v>
      </c>
      <c r="S250" s="79" t="str">
        <f aca="false">INDEX(Lists!$B$2:$B$13,$R250)</f>
        <v>September</v>
      </c>
      <c r="T250" s="79" t="n">
        <f aca="false">HOUR($F250)</f>
        <v>22</v>
      </c>
      <c r="U250" s="79" t="n">
        <f aca="false">WEEKDAY($E250,2)</f>
        <v>7</v>
      </c>
      <c r="V250" s="79" t="str">
        <f aca="false">INDEX(Lists!$F$2:$F$8,$U250)</f>
        <v>Sunday</v>
      </c>
      <c r="W250" s="81" t="n">
        <f aca="false">($G250+$H250)-($E250+$F250)</f>
        <v>9.03842592592593</v>
      </c>
      <c r="X250" s="79" t="str">
        <f aca="false">LOOKUP($M250,Lists!$G$2:$G$5,Lists!$H$2:$H$5)</f>
        <v>₹1,500 - 2,000</v>
      </c>
      <c r="Y250" s="79" t="str">
        <f aca="false">LOOKUP($W250,Lists!$I$2:$I$7,Lists!$J$2:$J$7)</f>
        <v>8 - 10 days</v>
      </c>
    </row>
    <row r="251" customFormat="false" ht="15" hidden="false" customHeight="false" outlineLevel="0" collapsed="false">
      <c r="A251" s="2" t="n">
        <v>250</v>
      </c>
      <c r="B251" s="2" t="s">
        <v>355</v>
      </c>
      <c r="C251" s="2" t="n">
        <v>37</v>
      </c>
      <c r="D251" s="2" t="n">
        <v>5</v>
      </c>
      <c r="E251" s="82" t="n">
        <v>45238</v>
      </c>
      <c r="F251" s="83" t="n">
        <v>0.630173611111111</v>
      </c>
      <c r="G251" s="82" t="n">
        <v>45239</v>
      </c>
      <c r="H251" s="83" t="n">
        <v>0.0639583333333333</v>
      </c>
      <c r="I251" s="2" t="s">
        <v>464</v>
      </c>
      <c r="J251" s="2" t="s">
        <v>32</v>
      </c>
      <c r="K251" s="46" t="str">
        <f aca="false">INDEX(Products!$B$2:$B$71,MATCH($C251,Products!$A$2:$A$71,0))</f>
        <v>Officiis Pack</v>
      </c>
      <c r="L251" s="46" t="str">
        <f aca="false">INDEX(Products!$C$2:$C$71,MATCH($C251,Products!$A$2:$A$71,0))</f>
        <v>Colors</v>
      </c>
      <c r="M251" s="84" t="n">
        <f aca="false">INDEX(Products!$D$2:$D$71,MATCH($C251,Products!$A$2:$A$71,0))</f>
        <v>1428</v>
      </c>
      <c r="N251" s="84" t="n">
        <f aca="false">$D251*$M251</f>
        <v>7140</v>
      </c>
      <c r="O251" s="46" t="str">
        <f aca="false">INDEX(Customers!$C$2:$C$101,MATCH($B251,Customers!$A$2:$A$101,0))</f>
        <v>Purnia</v>
      </c>
      <c r="P251" s="46" t="str">
        <f aca="false">INDEX(Customers!$F$2:$F$101,MATCH($B251,Customers!$A$2:$A$101,0))</f>
        <v>Female</v>
      </c>
      <c r="Q251" s="46" t="str">
        <f aca="false">INDEX(Customers!$B$2:$B$101,MATCH($B251,Customers!$A$2:$A$101,0))</f>
        <v>Ivana Amble</v>
      </c>
      <c r="R251" s="46" t="n">
        <f aca="false">MONTH($E251)</f>
        <v>11</v>
      </c>
      <c r="S251" s="46" t="str">
        <f aca="false">INDEX(Lists!$B$2:$B$13,$R251)</f>
        <v>November</v>
      </c>
      <c r="T251" s="46" t="n">
        <f aca="false">HOUR($F251)</f>
        <v>15</v>
      </c>
      <c r="U251" s="46" t="n">
        <f aca="false">WEEKDAY($E251,2)</f>
        <v>3</v>
      </c>
      <c r="V251" s="46" t="str">
        <f aca="false">INDEX(Lists!$F$2:$F$8,$U251)</f>
        <v>Wednesday</v>
      </c>
      <c r="W251" s="85" t="n">
        <f aca="false">($G251+$H251)-($E251+$F251)</f>
        <v>0.433784722222222</v>
      </c>
      <c r="X251" s="46" t="str">
        <f aca="false">LOOKUP($M251,Lists!$G$2:$G$5,Lists!$H$2:$H$5)</f>
        <v>₹1,000 - 1,499</v>
      </c>
      <c r="Y251" s="46" t="str">
        <f aca="false">LOOKUP($W251,Lists!$I$2:$I$7,Lists!$J$2:$J$7)</f>
        <v>0 - 2 days</v>
      </c>
    </row>
    <row r="252" customFormat="false" ht="15" hidden="false" customHeight="false" outlineLevel="0" collapsed="false">
      <c r="A252" s="7" t="n">
        <v>251</v>
      </c>
      <c r="B252" s="7" t="s">
        <v>257</v>
      </c>
      <c r="C252" s="7" t="n">
        <v>7</v>
      </c>
      <c r="D252" s="7" t="n">
        <v>4</v>
      </c>
      <c r="E252" s="77" t="n">
        <v>44985</v>
      </c>
      <c r="F252" s="78" t="n">
        <v>0.0220833333333333</v>
      </c>
      <c r="G252" s="77" t="n">
        <v>44987</v>
      </c>
      <c r="H252" s="78" t="n">
        <v>0.0137037037037037</v>
      </c>
      <c r="I252" s="7" t="s">
        <v>457</v>
      </c>
      <c r="J252" s="7" t="s">
        <v>33</v>
      </c>
      <c r="K252" s="79" t="str">
        <f aca="false">INDEX(Products!$B$2:$B$71,MATCH($C252,Products!$A$2:$A$71,0))</f>
        <v>Quos Set</v>
      </c>
      <c r="L252" s="79" t="str">
        <f aca="false">INDEX(Products!$C$2:$C$71,MATCH($C252,Products!$A$2:$A$71,0))</f>
        <v>Soft Toys</v>
      </c>
      <c r="M252" s="80" t="n">
        <f aca="false">INDEX(Products!$D$2:$D$71,MATCH($C252,Products!$A$2:$A$71,0))</f>
        <v>409</v>
      </c>
      <c r="N252" s="80" t="n">
        <f aca="false">$D252*$M252</f>
        <v>1636</v>
      </c>
      <c r="O252" s="79" t="str">
        <f aca="false">INDEX(Customers!$C$2:$C$101,MATCH($B252,Customers!$A$2:$A$101,0))</f>
        <v>Kota</v>
      </c>
      <c r="P252" s="79" t="str">
        <f aca="false">INDEX(Customers!$F$2:$F$101,MATCH($B252,Customers!$A$2:$A$101,0))</f>
        <v>Female</v>
      </c>
      <c r="Q252" s="79" t="str">
        <f aca="false">INDEX(Customers!$B$2:$B$101,MATCH($B252,Customers!$A$2:$A$101,0))</f>
        <v>Aradhya Batta</v>
      </c>
      <c r="R252" s="79" t="n">
        <f aca="false">MONTH($E252)</f>
        <v>2</v>
      </c>
      <c r="S252" s="79" t="str">
        <f aca="false">INDEX(Lists!$B$2:$B$13,$R252)</f>
        <v>February</v>
      </c>
      <c r="T252" s="79" t="n">
        <f aca="false">HOUR($F252)</f>
        <v>0</v>
      </c>
      <c r="U252" s="79" t="n">
        <f aca="false">WEEKDAY($E252,2)</f>
        <v>2</v>
      </c>
      <c r="V252" s="79" t="str">
        <f aca="false">INDEX(Lists!$F$2:$F$8,$U252)</f>
        <v>Tuesday</v>
      </c>
      <c r="W252" s="81" t="n">
        <f aca="false">($G252+$H252)-($E252+$F252)</f>
        <v>1.99162037037037</v>
      </c>
      <c r="X252" s="79" t="str">
        <f aca="false">LOOKUP($M252,Lists!$G$2:$G$5,Lists!$H$2:$H$5)</f>
        <v>₹0 - 499</v>
      </c>
      <c r="Y252" s="79" t="str">
        <f aca="false">LOOKUP($W252,Lists!$I$2:$I$7,Lists!$J$2:$J$7)</f>
        <v>0 - 2 days</v>
      </c>
    </row>
    <row r="253" customFormat="false" ht="15" hidden="false" customHeight="false" outlineLevel="0" collapsed="false">
      <c r="A253" s="2" t="n">
        <v>252</v>
      </c>
      <c r="B253" s="2" t="s">
        <v>224</v>
      </c>
      <c r="C253" s="2" t="n">
        <v>69</v>
      </c>
      <c r="D253" s="2" t="n">
        <v>2</v>
      </c>
      <c r="E253" s="82" t="n">
        <v>44983</v>
      </c>
      <c r="F253" s="83" t="n">
        <v>0.23712962962963</v>
      </c>
      <c r="G253" s="82" t="n">
        <v>44985</v>
      </c>
      <c r="H253" s="83" t="n">
        <v>0.341157407407407</v>
      </c>
      <c r="I253" s="2" t="s">
        <v>504</v>
      </c>
      <c r="J253" s="2" t="s">
        <v>33</v>
      </c>
      <c r="K253" s="46" t="str">
        <f aca="false">INDEX(Products!$B$2:$B$71,MATCH($C253,Products!$A$2:$A$71,0))</f>
        <v>Id Box</v>
      </c>
      <c r="L253" s="46" t="str">
        <f aca="false">INDEX(Products!$C$2:$C$71,MATCH($C253,Products!$A$2:$A$71,0))</f>
        <v>Cake</v>
      </c>
      <c r="M253" s="84" t="n">
        <f aca="false">INDEX(Products!$D$2:$D$71,MATCH($C253,Products!$A$2:$A$71,0))</f>
        <v>998</v>
      </c>
      <c r="N253" s="84" t="n">
        <f aca="false">$D253*$M253</f>
        <v>1996</v>
      </c>
      <c r="O253" s="46" t="str">
        <f aca="false">INDEX(Customers!$C$2:$C$101,MATCH($B253,Customers!$A$2:$A$101,0))</f>
        <v>Pallavaram</v>
      </c>
      <c r="P253" s="46" t="str">
        <f aca="false">INDEX(Customers!$F$2:$F$101,MATCH($B253,Customers!$A$2:$A$101,0))</f>
        <v>Female</v>
      </c>
      <c r="Q253" s="46" t="str">
        <f aca="false">INDEX(Customers!$B$2:$B$101,MATCH($B253,Customers!$A$2:$A$101,0))</f>
        <v>Hazel Mangat</v>
      </c>
      <c r="R253" s="46" t="n">
        <f aca="false">MONTH($E253)</f>
        <v>2</v>
      </c>
      <c r="S253" s="46" t="str">
        <f aca="false">INDEX(Lists!$B$2:$B$13,$R253)</f>
        <v>February</v>
      </c>
      <c r="T253" s="46" t="n">
        <f aca="false">HOUR($F253)</f>
        <v>5</v>
      </c>
      <c r="U253" s="46" t="n">
        <f aca="false">WEEKDAY($E253,2)</f>
        <v>7</v>
      </c>
      <c r="V253" s="46" t="str">
        <f aca="false">INDEX(Lists!$F$2:$F$8,$U253)</f>
        <v>Sunday</v>
      </c>
      <c r="W253" s="85" t="n">
        <f aca="false">($G253+$H253)-($E253+$F253)</f>
        <v>2.10402777777778</v>
      </c>
      <c r="X253" s="46" t="str">
        <f aca="false">LOOKUP($M253,Lists!$G$2:$G$5,Lists!$H$2:$H$5)</f>
        <v>₹500 - 999</v>
      </c>
      <c r="Y253" s="46" t="str">
        <f aca="false">LOOKUP($W253,Lists!$I$2:$I$7,Lists!$J$2:$J$7)</f>
        <v>2 - 4 days</v>
      </c>
    </row>
    <row r="254" customFormat="false" ht="15" hidden="false" customHeight="false" outlineLevel="0" collapsed="false">
      <c r="A254" s="7" t="n">
        <v>253</v>
      </c>
      <c r="B254" s="7" t="s">
        <v>151</v>
      </c>
      <c r="C254" s="7" t="n">
        <v>68</v>
      </c>
      <c r="D254" s="7" t="n">
        <v>2</v>
      </c>
      <c r="E254" s="77" t="n">
        <v>44969</v>
      </c>
      <c r="F254" s="78" t="n">
        <v>0.600532407407407</v>
      </c>
      <c r="G254" s="77" t="n">
        <v>44971</v>
      </c>
      <c r="H254" s="78" t="n">
        <v>0.235729166666667</v>
      </c>
      <c r="I254" s="7" t="s">
        <v>197</v>
      </c>
      <c r="J254" s="7" t="s">
        <v>179</v>
      </c>
      <c r="K254" s="79" t="str">
        <f aca="false">INDEX(Products!$B$2:$B$71,MATCH($C254,Products!$A$2:$A$71,0))</f>
        <v>Quas Gift</v>
      </c>
      <c r="L254" s="79" t="str">
        <f aca="false">INDEX(Products!$C$2:$C$71,MATCH($C254,Products!$A$2:$A$71,0))</f>
        <v>Soft Toys</v>
      </c>
      <c r="M254" s="80" t="n">
        <f aca="false">INDEX(Products!$D$2:$D$71,MATCH($C254,Products!$A$2:$A$71,0))</f>
        <v>597</v>
      </c>
      <c r="N254" s="80" t="n">
        <f aca="false">$D254*$M254</f>
        <v>1194</v>
      </c>
      <c r="O254" s="79" t="str">
        <f aca="false">INDEX(Customers!$C$2:$C$101,MATCH($B254,Customers!$A$2:$A$101,0))</f>
        <v>Kanpur</v>
      </c>
      <c r="P254" s="79" t="str">
        <f aca="false">INDEX(Customers!$F$2:$F$101,MATCH($B254,Customers!$A$2:$A$101,0))</f>
        <v>Male</v>
      </c>
      <c r="Q254" s="79" t="str">
        <f aca="false">INDEX(Customers!$B$2:$B$101,MATCH($B254,Customers!$A$2:$A$101,0))</f>
        <v>Darshit Dave</v>
      </c>
      <c r="R254" s="79" t="n">
        <f aca="false">MONTH($E254)</f>
        <v>2</v>
      </c>
      <c r="S254" s="79" t="str">
        <f aca="false">INDEX(Lists!$B$2:$B$13,$R254)</f>
        <v>February</v>
      </c>
      <c r="T254" s="79" t="n">
        <f aca="false">HOUR($F254)</f>
        <v>14</v>
      </c>
      <c r="U254" s="79" t="n">
        <f aca="false">WEEKDAY($E254,2)</f>
        <v>7</v>
      </c>
      <c r="V254" s="79" t="str">
        <f aca="false">INDEX(Lists!$F$2:$F$8,$U254)</f>
        <v>Sunday</v>
      </c>
      <c r="W254" s="81" t="n">
        <f aca="false">($G254+$H254)-($E254+$F254)</f>
        <v>1.63519675925926</v>
      </c>
      <c r="X254" s="79" t="str">
        <f aca="false">LOOKUP($M254,Lists!$G$2:$G$5,Lists!$H$2:$H$5)</f>
        <v>₹500 - 999</v>
      </c>
      <c r="Y254" s="79" t="str">
        <f aca="false">LOOKUP($W254,Lists!$I$2:$I$7,Lists!$J$2:$J$7)</f>
        <v>0 - 2 days</v>
      </c>
    </row>
    <row r="255" customFormat="false" ht="15" hidden="false" customHeight="false" outlineLevel="0" collapsed="false">
      <c r="A255" s="2" t="n">
        <v>254</v>
      </c>
      <c r="B255" s="2" t="s">
        <v>375</v>
      </c>
      <c r="C255" s="2" t="n">
        <v>1</v>
      </c>
      <c r="D255" s="2" t="n">
        <v>5</v>
      </c>
      <c r="E255" s="82" t="n">
        <v>45114</v>
      </c>
      <c r="F255" s="83" t="n">
        <v>0.00675925925925926</v>
      </c>
      <c r="G255" s="82" t="n">
        <v>45122</v>
      </c>
      <c r="H255" s="83" t="n">
        <v>0.227650462962963</v>
      </c>
      <c r="I255" s="2" t="s">
        <v>241</v>
      </c>
      <c r="J255" s="2" t="s">
        <v>165</v>
      </c>
      <c r="K255" s="46" t="str">
        <f aca="false">INDEX(Products!$B$2:$B$71,MATCH($C255,Products!$A$2:$A$71,0))</f>
        <v>Magnam Set</v>
      </c>
      <c r="L255" s="46" t="str">
        <f aca="false">INDEX(Products!$C$2:$C$71,MATCH($C255,Products!$A$2:$A$71,0))</f>
        <v>Soft Toys</v>
      </c>
      <c r="M255" s="84" t="n">
        <f aca="false">INDEX(Products!$D$2:$D$71,MATCH($C255,Products!$A$2:$A$71,0))</f>
        <v>1935</v>
      </c>
      <c r="N255" s="84" t="n">
        <f aca="false">$D255*$M255</f>
        <v>9675</v>
      </c>
      <c r="O255" s="46" t="str">
        <f aca="false">INDEX(Customers!$C$2:$C$101,MATCH($B255,Customers!$A$2:$A$101,0))</f>
        <v>Tumkur</v>
      </c>
      <c r="P255" s="46" t="str">
        <f aca="false">INDEX(Customers!$F$2:$F$101,MATCH($B255,Customers!$A$2:$A$101,0))</f>
        <v>Male</v>
      </c>
      <c r="Q255" s="46" t="str">
        <f aca="false">INDEX(Customers!$B$2:$B$101,MATCH($B255,Customers!$A$2:$A$101,0))</f>
        <v>Mamooty Bawa</v>
      </c>
      <c r="R255" s="46" t="n">
        <f aca="false">MONTH($E255)</f>
        <v>7</v>
      </c>
      <c r="S255" s="46" t="str">
        <f aca="false">INDEX(Lists!$B$2:$B$13,$R255)</f>
        <v>July</v>
      </c>
      <c r="T255" s="46" t="n">
        <f aca="false">HOUR($F255)</f>
        <v>0</v>
      </c>
      <c r="U255" s="46" t="n">
        <f aca="false">WEEKDAY($E255,2)</f>
        <v>5</v>
      </c>
      <c r="V255" s="46" t="str">
        <f aca="false">INDEX(Lists!$F$2:$F$8,$U255)</f>
        <v>Friday</v>
      </c>
      <c r="W255" s="85" t="n">
        <f aca="false">($G255+$H255)-($E255+$F255)</f>
        <v>8.22089120370371</v>
      </c>
      <c r="X255" s="46" t="str">
        <f aca="false">LOOKUP($M255,Lists!$G$2:$G$5,Lists!$H$2:$H$5)</f>
        <v>₹1,500 - 2,000</v>
      </c>
      <c r="Y255" s="46" t="str">
        <f aca="false">LOOKUP($W255,Lists!$I$2:$I$7,Lists!$J$2:$J$7)</f>
        <v>8 - 10 days</v>
      </c>
    </row>
    <row r="256" customFormat="false" ht="15" hidden="false" customHeight="false" outlineLevel="0" collapsed="false">
      <c r="A256" s="7" t="n">
        <v>255</v>
      </c>
      <c r="B256" s="7" t="s">
        <v>372</v>
      </c>
      <c r="C256" s="7" t="n">
        <v>45</v>
      </c>
      <c r="D256" s="7" t="n">
        <v>2</v>
      </c>
      <c r="E256" s="77" t="n">
        <v>45287</v>
      </c>
      <c r="F256" s="78" t="n">
        <v>0.154571759259259</v>
      </c>
      <c r="G256" s="77" t="n">
        <v>45297</v>
      </c>
      <c r="H256" s="78" t="n">
        <v>0.391134259259259</v>
      </c>
      <c r="I256" s="7" t="s">
        <v>581</v>
      </c>
      <c r="J256" s="7" t="s">
        <v>31</v>
      </c>
      <c r="K256" s="79" t="str">
        <f aca="false">INDEX(Products!$B$2:$B$71,MATCH($C256,Products!$A$2:$A$71,0))</f>
        <v>Iusto Set</v>
      </c>
      <c r="L256" s="79" t="str">
        <f aca="false">INDEX(Products!$C$2:$C$71,MATCH($C256,Products!$A$2:$A$71,0))</f>
        <v>Raksha Bandhan</v>
      </c>
      <c r="M256" s="80" t="n">
        <f aca="false">INDEX(Products!$D$2:$D$71,MATCH($C256,Products!$A$2:$A$71,0))</f>
        <v>722</v>
      </c>
      <c r="N256" s="80" t="n">
        <f aca="false">$D256*$M256</f>
        <v>1444</v>
      </c>
      <c r="O256" s="79" t="str">
        <f aca="false">INDEX(Customers!$C$2:$C$101,MATCH($B256,Customers!$A$2:$A$101,0))</f>
        <v>Dibrugarh</v>
      </c>
      <c r="P256" s="79" t="str">
        <f aca="false">INDEX(Customers!$F$2:$F$101,MATCH($B256,Customers!$A$2:$A$101,0))</f>
        <v>Male</v>
      </c>
      <c r="Q256" s="79" t="str">
        <f aca="false">INDEX(Customers!$B$2:$B$101,MATCH($B256,Customers!$A$2:$A$101,0))</f>
        <v>Zoya Mani</v>
      </c>
      <c r="R256" s="79" t="n">
        <f aca="false">MONTH($E256)</f>
        <v>12</v>
      </c>
      <c r="S256" s="79" t="str">
        <f aca="false">INDEX(Lists!$B$2:$B$13,$R256)</f>
        <v>December</v>
      </c>
      <c r="T256" s="79" t="n">
        <f aca="false">HOUR($F256)</f>
        <v>3</v>
      </c>
      <c r="U256" s="79" t="n">
        <f aca="false">WEEKDAY($E256,2)</f>
        <v>3</v>
      </c>
      <c r="V256" s="79" t="str">
        <f aca="false">INDEX(Lists!$F$2:$F$8,$U256)</f>
        <v>Wednesday</v>
      </c>
      <c r="W256" s="81" t="n">
        <f aca="false">($G256+$H256)-($E256+$F256)</f>
        <v>10.2365625</v>
      </c>
      <c r="X256" s="79" t="str">
        <f aca="false">LOOKUP($M256,Lists!$G$2:$G$5,Lists!$H$2:$H$5)</f>
        <v>₹500 - 999</v>
      </c>
      <c r="Y256" s="79" t="str">
        <f aca="false">LOOKUP($W256,Lists!$I$2:$I$7,Lists!$J$2:$J$7)</f>
        <v>Over 10 days</v>
      </c>
    </row>
    <row r="257" customFormat="false" ht="15" hidden="false" customHeight="false" outlineLevel="0" collapsed="false">
      <c r="A257" s="2" t="n">
        <v>256</v>
      </c>
      <c r="B257" s="2" t="s">
        <v>297</v>
      </c>
      <c r="C257" s="2" t="n">
        <v>4</v>
      </c>
      <c r="D257" s="2" t="n">
        <v>5</v>
      </c>
      <c r="E257" s="82" t="n">
        <v>45236</v>
      </c>
      <c r="F257" s="83" t="n">
        <v>0.801261574074074</v>
      </c>
      <c r="G257" s="82" t="n">
        <v>45244</v>
      </c>
      <c r="H257" s="83" t="n">
        <v>0.754108796296296</v>
      </c>
      <c r="I257" s="2" t="s">
        <v>581</v>
      </c>
      <c r="J257" s="2" t="s">
        <v>32</v>
      </c>
      <c r="K257" s="46" t="str">
        <f aca="false">INDEX(Products!$B$2:$B$71,MATCH($C257,Products!$A$2:$A$71,0))</f>
        <v>Accusantium Set</v>
      </c>
      <c r="L257" s="46" t="str">
        <f aca="false">INDEX(Products!$C$2:$C$71,MATCH($C257,Products!$A$2:$A$71,0))</f>
        <v>Sweets</v>
      </c>
      <c r="M257" s="84" t="n">
        <f aca="false">INDEX(Products!$D$2:$D$71,MATCH($C257,Products!$A$2:$A$71,0))</f>
        <v>1199</v>
      </c>
      <c r="N257" s="84" t="n">
        <f aca="false">$D257*$M257</f>
        <v>5995</v>
      </c>
      <c r="O257" s="46" t="str">
        <f aca="false">INDEX(Customers!$C$2:$C$101,MATCH($B257,Customers!$A$2:$A$101,0))</f>
        <v>North Dumdum</v>
      </c>
      <c r="P257" s="46" t="str">
        <f aca="false">INDEX(Customers!$F$2:$F$101,MATCH($B257,Customers!$A$2:$A$101,0))</f>
        <v>Male</v>
      </c>
      <c r="Q257" s="46" t="str">
        <f aca="false">INDEX(Customers!$B$2:$B$101,MATCH($B257,Customers!$A$2:$A$101,0))</f>
        <v>Badal Vora</v>
      </c>
      <c r="R257" s="46" t="n">
        <f aca="false">MONTH($E257)</f>
        <v>11</v>
      </c>
      <c r="S257" s="46" t="str">
        <f aca="false">INDEX(Lists!$B$2:$B$13,$R257)</f>
        <v>November</v>
      </c>
      <c r="T257" s="46" t="n">
        <f aca="false">HOUR($F257)</f>
        <v>19</v>
      </c>
      <c r="U257" s="46" t="n">
        <f aca="false">WEEKDAY($E257,2)</f>
        <v>1</v>
      </c>
      <c r="V257" s="46" t="str">
        <f aca="false">INDEX(Lists!$F$2:$F$8,$U257)</f>
        <v>Monday</v>
      </c>
      <c r="W257" s="85" t="n">
        <f aca="false">($G257+$H257)-($E257+$F257)</f>
        <v>7.95284722222222</v>
      </c>
      <c r="X257" s="46" t="str">
        <f aca="false">LOOKUP($M257,Lists!$G$2:$G$5,Lists!$H$2:$H$5)</f>
        <v>₹1,000 - 1,499</v>
      </c>
      <c r="Y257" s="46" t="str">
        <f aca="false">LOOKUP($W257,Lists!$I$2:$I$7,Lists!$J$2:$J$7)</f>
        <v>6 - 8 days</v>
      </c>
    </row>
    <row r="258" customFormat="false" ht="15" hidden="false" customHeight="false" outlineLevel="0" collapsed="false">
      <c r="A258" s="7" t="n">
        <v>257</v>
      </c>
      <c r="B258" s="7" t="s">
        <v>331</v>
      </c>
      <c r="C258" s="7" t="n">
        <v>21</v>
      </c>
      <c r="D258" s="7" t="n">
        <v>3</v>
      </c>
      <c r="E258" s="77" t="n">
        <v>45160</v>
      </c>
      <c r="F258" s="78" t="n">
        <v>0.654849537037037</v>
      </c>
      <c r="G258" s="77" t="n">
        <v>45162</v>
      </c>
      <c r="H258" s="78" t="n">
        <v>0.944201388888889</v>
      </c>
      <c r="I258" s="7" t="s">
        <v>310</v>
      </c>
      <c r="J258" s="7" t="s">
        <v>40</v>
      </c>
      <c r="K258" s="79" t="str">
        <f aca="false">INDEX(Products!$B$2:$B$71,MATCH($C258,Products!$A$2:$A$71,0))</f>
        <v>Quia Gift</v>
      </c>
      <c r="L258" s="79" t="str">
        <f aca="false">INDEX(Products!$C$2:$C$71,MATCH($C258,Products!$A$2:$A$71,0))</f>
        <v>Colors</v>
      </c>
      <c r="M258" s="80" t="n">
        <f aca="false">INDEX(Products!$D$2:$D$71,MATCH($C258,Products!$A$2:$A$71,0))</f>
        <v>1561</v>
      </c>
      <c r="N258" s="80" t="n">
        <f aca="false">$D258*$M258</f>
        <v>4683</v>
      </c>
      <c r="O258" s="79" t="str">
        <f aca="false">INDEX(Customers!$C$2:$C$101,MATCH($B258,Customers!$A$2:$A$101,0))</f>
        <v>Panchkula</v>
      </c>
      <c r="P258" s="79" t="str">
        <f aca="false">INDEX(Customers!$F$2:$F$101,MATCH($B258,Customers!$A$2:$A$101,0))</f>
        <v>Female</v>
      </c>
      <c r="Q258" s="79" t="str">
        <f aca="false">INDEX(Customers!$B$2:$B$101,MATCH($B258,Customers!$A$2:$A$101,0))</f>
        <v>Gokul Ahluwalia</v>
      </c>
      <c r="R258" s="79" t="n">
        <f aca="false">MONTH($E258)</f>
        <v>8</v>
      </c>
      <c r="S258" s="79" t="str">
        <f aca="false">INDEX(Lists!$B$2:$B$13,$R258)</f>
        <v>August</v>
      </c>
      <c r="T258" s="79" t="n">
        <f aca="false">HOUR($F258)</f>
        <v>15</v>
      </c>
      <c r="U258" s="79" t="n">
        <f aca="false">WEEKDAY($E258,2)</f>
        <v>2</v>
      </c>
      <c r="V258" s="79" t="str">
        <f aca="false">INDEX(Lists!$F$2:$F$8,$U258)</f>
        <v>Tuesday</v>
      </c>
      <c r="W258" s="81" t="n">
        <f aca="false">($G258+$H258)-($E258+$F258)</f>
        <v>2.28935185185185</v>
      </c>
      <c r="X258" s="79" t="str">
        <f aca="false">LOOKUP($M258,Lists!$G$2:$G$5,Lists!$H$2:$H$5)</f>
        <v>₹1,500 - 2,000</v>
      </c>
      <c r="Y258" s="79" t="str">
        <f aca="false">LOOKUP($W258,Lists!$I$2:$I$7,Lists!$J$2:$J$7)</f>
        <v>2 - 4 days</v>
      </c>
    </row>
    <row r="259" customFormat="false" ht="15" hidden="false" customHeight="false" outlineLevel="0" collapsed="false">
      <c r="A259" s="2" t="n">
        <v>258</v>
      </c>
      <c r="B259" s="2" t="s">
        <v>236</v>
      </c>
      <c r="C259" s="2" t="n">
        <v>46</v>
      </c>
      <c r="D259" s="2" t="n">
        <v>5</v>
      </c>
      <c r="E259" s="82" t="n">
        <v>45032</v>
      </c>
      <c r="F259" s="83" t="n">
        <v>0.2365625</v>
      </c>
      <c r="G259" s="82" t="n">
        <v>45036</v>
      </c>
      <c r="H259" s="83" t="n">
        <v>0.837175925925926</v>
      </c>
      <c r="I259" s="2" t="s">
        <v>607</v>
      </c>
      <c r="J259" s="2" t="s">
        <v>168</v>
      </c>
      <c r="K259" s="46" t="str">
        <f aca="false">INDEX(Products!$B$2:$B$71,MATCH($C259,Products!$A$2:$A$71,0))</f>
        <v>Pariatur Set</v>
      </c>
      <c r="L259" s="46" t="str">
        <f aca="false">INDEX(Products!$C$2:$C$71,MATCH($C259,Products!$A$2:$A$71,0))</f>
        <v>Cake</v>
      </c>
      <c r="M259" s="84" t="n">
        <f aca="false">INDEX(Products!$D$2:$D$71,MATCH($C259,Products!$A$2:$A$71,0))</f>
        <v>758</v>
      </c>
      <c r="N259" s="84" t="n">
        <f aca="false">$D259*$M259</f>
        <v>3790</v>
      </c>
      <c r="O259" s="46" t="str">
        <f aca="false">INDEX(Customers!$C$2:$C$101,MATCH($B259,Customers!$A$2:$A$101,0))</f>
        <v>Agra</v>
      </c>
      <c r="P259" s="46" t="str">
        <f aca="false">INDEX(Customers!$F$2:$F$101,MATCH($B259,Customers!$A$2:$A$101,0))</f>
        <v>Male</v>
      </c>
      <c r="Q259" s="46" t="str">
        <f aca="false">INDEX(Customers!$B$2:$B$101,MATCH($B259,Customers!$A$2:$A$101,0))</f>
        <v>Seher Mann</v>
      </c>
      <c r="R259" s="46" t="n">
        <f aca="false">MONTH($E259)</f>
        <v>4</v>
      </c>
      <c r="S259" s="46" t="str">
        <f aca="false">INDEX(Lists!$B$2:$B$13,$R259)</f>
        <v>April</v>
      </c>
      <c r="T259" s="46" t="n">
        <f aca="false">HOUR($F259)</f>
        <v>5</v>
      </c>
      <c r="U259" s="46" t="n">
        <f aca="false">WEEKDAY($E259,2)</f>
        <v>7</v>
      </c>
      <c r="V259" s="46" t="str">
        <f aca="false">INDEX(Lists!$F$2:$F$8,$U259)</f>
        <v>Sunday</v>
      </c>
      <c r="W259" s="85" t="n">
        <f aca="false">($G259+$H259)-($E259+$F259)</f>
        <v>4.60061342592593</v>
      </c>
      <c r="X259" s="46" t="str">
        <f aca="false">LOOKUP($M259,Lists!$G$2:$G$5,Lists!$H$2:$H$5)</f>
        <v>₹500 - 999</v>
      </c>
      <c r="Y259" s="46" t="str">
        <f aca="false">LOOKUP($W259,Lists!$I$2:$I$7,Lists!$J$2:$J$7)</f>
        <v>4 - 6 days</v>
      </c>
    </row>
    <row r="260" customFormat="false" ht="15" hidden="false" customHeight="false" outlineLevel="0" collapsed="false">
      <c r="A260" s="7" t="n">
        <v>259</v>
      </c>
      <c r="B260" s="7" t="s">
        <v>124</v>
      </c>
      <c r="C260" s="7" t="n">
        <v>62</v>
      </c>
      <c r="D260" s="7" t="n">
        <v>1</v>
      </c>
      <c r="E260" s="77" t="n">
        <v>44990</v>
      </c>
      <c r="F260" s="78" t="n">
        <v>0.640208333333333</v>
      </c>
      <c r="G260" s="77" t="n">
        <v>44995</v>
      </c>
      <c r="H260" s="78" t="n">
        <v>0.00278935185185185</v>
      </c>
      <c r="I260" s="7" t="s">
        <v>570</v>
      </c>
      <c r="J260" s="7" t="s">
        <v>33</v>
      </c>
      <c r="K260" s="79" t="str">
        <f aca="false">INDEX(Products!$B$2:$B$71,MATCH($C260,Products!$A$2:$A$71,0))</f>
        <v>Sed Set</v>
      </c>
      <c r="L260" s="79" t="str">
        <f aca="false">INDEX(Products!$C$2:$C$71,MATCH($C260,Products!$A$2:$A$71,0))</f>
        <v>Colors</v>
      </c>
      <c r="M260" s="80" t="n">
        <f aca="false">INDEX(Products!$D$2:$D$71,MATCH($C260,Products!$A$2:$A$71,0))</f>
        <v>1356</v>
      </c>
      <c r="N260" s="80" t="n">
        <f aca="false">$D260*$M260</f>
        <v>1356</v>
      </c>
      <c r="O260" s="79" t="str">
        <f aca="false">INDEX(Customers!$C$2:$C$101,MATCH($B260,Customers!$A$2:$A$101,0))</f>
        <v>Panchkula</v>
      </c>
      <c r="P260" s="79" t="str">
        <f aca="false">INDEX(Customers!$F$2:$F$101,MATCH($B260,Customers!$A$2:$A$101,0))</f>
        <v>Female</v>
      </c>
      <c r="Q260" s="79" t="str">
        <f aca="false">INDEX(Customers!$B$2:$B$101,MATCH($B260,Customers!$A$2:$A$101,0))</f>
        <v>Tara Krishnan</v>
      </c>
      <c r="R260" s="79" t="n">
        <f aca="false">MONTH($E260)</f>
        <v>3</v>
      </c>
      <c r="S260" s="79" t="str">
        <f aca="false">INDEX(Lists!$B$2:$B$13,$R260)</f>
        <v>March</v>
      </c>
      <c r="T260" s="79" t="n">
        <f aca="false">HOUR($F260)</f>
        <v>15</v>
      </c>
      <c r="U260" s="79" t="n">
        <f aca="false">WEEKDAY($E260,2)</f>
        <v>7</v>
      </c>
      <c r="V260" s="79" t="str">
        <f aca="false">INDEX(Lists!$F$2:$F$8,$U260)</f>
        <v>Sunday</v>
      </c>
      <c r="W260" s="81" t="n">
        <f aca="false">($G260+$H260)-($E260+$F260)</f>
        <v>4.36258101851852</v>
      </c>
      <c r="X260" s="79" t="str">
        <f aca="false">LOOKUP($M260,Lists!$G$2:$G$5,Lists!$H$2:$H$5)</f>
        <v>₹1,000 - 1,499</v>
      </c>
      <c r="Y260" s="79" t="str">
        <f aca="false">LOOKUP($W260,Lists!$I$2:$I$7,Lists!$J$2:$J$7)</f>
        <v>4 - 6 days</v>
      </c>
    </row>
    <row r="261" customFormat="false" ht="15" hidden="false" customHeight="false" outlineLevel="0" collapsed="false">
      <c r="A261" s="2" t="n">
        <v>260</v>
      </c>
      <c r="B261" s="2" t="s">
        <v>392</v>
      </c>
      <c r="C261" s="2" t="n">
        <v>69</v>
      </c>
      <c r="D261" s="2" t="n">
        <v>5</v>
      </c>
      <c r="E261" s="82" t="n">
        <v>44991</v>
      </c>
      <c r="F261" s="83" t="n">
        <v>0.545960648148148</v>
      </c>
      <c r="G261" s="82" t="n">
        <v>45001</v>
      </c>
      <c r="H261" s="83" t="n">
        <v>0.932291666666667</v>
      </c>
      <c r="I261" s="2" t="s">
        <v>558</v>
      </c>
      <c r="J261" s="2" t="s">
        <v>33</v>
      </c>
      <c r="K261" s="46" t="str">
        <f aca="false">INDEX(Products!$B$2:$B$71,MATCH($C261,Products!$A$2:$A$71,0))</f>
        <v>Id Box</v>
      </c>
      <c r="L261" s="46" t="str">
        <f aca="false">INDEX(Products!$C$2:$C$71,MATCH($C261,Products!$A$2:$A$71,0))</f>
        <v>Cake</v>
      </c>
      <c r="M261" s="84" t="n">
        <f aca="false">INDEX(Products!$D$2:$D$71,MATCH($C261,Products!$A$2:$A$71,0))</f>
        <v>998</v>
      </c>
      <c r="N261" s="84" t="n">
        <f aca="false">$D261*$M261</f>
        <v>4990</v>
      </c>
      <c r="O261" s="46" t="str">
        <f aca="false">INDEX(Customers!$C$2:$C$101,MATCH($B261,Customers!$A$2:$A$101,0))</f>
        <v>Phagwara</v>
      </c>
      <c r="P261" s="46" t="str">
        <f aca="false">INDEX(Customers!$F$2:$F$101,MATCH($B261,Customers!$A$2:$A$101,0))</f>
        <v>Female</v>
      </c>
      <c r="Q261" s="46" t="str">
        <f aca="false">INDEX(Customers!$B$2:$B$101,MATCH($B261,Customers!$A$2:$A$101,0))</f>
        <v>Pranay Chaudhary</v>
      </c>
      <c r="R261" s="46" t="n">
        <f aca="false">MONTH($E261)</f>
        <v>3</v>
      </c>
      <c r="S261" s="46" t="str">
        <f aca="false">INDEX(Lists!$B$2:$B$13,$R261)</f>
        <v>March</v>
      </c>
      <c r="T261" s="46" t="n">
        <f aca="false">HOUR($F261)</f>
        <v>13</v>
      </c>
      <c r="U261" s="46" t="n">
        <f aca="false">WEEKDAY($E261,2)</f>
        <v>1</v>
      </c>
      <c r="V261" s="46" t="str">
        <f aca="false">INDEX(Lists!$F$2:$F$8,$U261)</f>
        <v>Monday</v>
      </c>
      <c r="W261" s="85" t="n">
        <f aca="false">($G261+$H261)-($E261+$F261)</f>
        <v>10.3863310185185</v>
      </c>
      <c r="X261" s="46" t="str">
        <f aca="false">LOOKUP($M261,Lists!$G$2:$G$5,Lists!$H$2:$H$5)</f>
        <v>₹500 - 999</v>
      </c>
      <c r="Y261" s="46" t="str">
        <f aca="false">LOOKUP($W261,Lists!$I$2:$I$7,Lists!$J$2:$J$7)</f>
        <v>Over 10 days</v>
      </c>
    </row>
    <row r="262" customFormat="false" ht="15" hidden="false" customHeight="false" outlineLevel="0" collapsed="false">
      <c r="A262" s="7" t="n">
        <v>261</v>
      </c>
      <c r="B262" s="7" t="s">
        <v>227</v>
      </c>
      <c r="C262" s="7" t="n">
        <v>37</v>
      </c>
      <c r="D262" s="7" t="n">
        <v>3</v>
      </c>
      <c r="E262" s="77" t="n">
        <v>45236</v>
      </c>
      <c r="F262" s="78" t="n">
        <v>0.58599537037037</v>
      </c>
      <c r="G262" s="77" t="n">
        <v>45242</v>
      </c>
      <c r="H262" s="78" t="n">
        <v>0.84568287037037</v>
      </c>
      <c r="I262" s="7" t="s">
        <v>481</v>
      </c>
      <c r="J262" s="7" t="s">
        <v>32</v>
      </c>
      <c r="K262" s="79" t="str">
        <f aca="false">INDEX(Products!$B$2:$B$71,MATCH($C262,Products!$A$2:$A$71,0))</f>
        <v>Officiis Pack</v>
      </c>
      <c r="L262" s="79" t="str">
        <f aca="false">INDEX(Products!$C$2:$C$71,MATCH($C262,Products!$A$2:$A$71,0))</f>
        <v>Colors</v>
      </c>
      <c r="M262" s="80" t="n">
        <f aca="false">INDEX(Products!$D$2:$D$71,MATCH($C262,Products!$A$2:$A$71,0))</f>
        <v>1428</v>
      </c>
      <c r="N262" s="80" t="n">
        <f aca="false">$D262*$M262</f>
        <v>4284</v>
      </c>
      <c r="O262" s="79" t="str">
        <f aca="false">INDEX(Customers!$C$2:$C$101,MATCH($B262,Customers!$A$2:$A$101,0))</f>
        <v>Karaikudi</v>
      </c>
      <c r="P262" s="79" t="str">
        <f aca="false">INDEX(Customers!$F$2:$F$101,MATCH($B262,Customers!$A$2:$A$101,0))</f>
        <v>Male</v>
      </c>
      <c r="Q262" s="79" t="str">
        <f aca="false">INDEX(Customers!$B$2:$B$101,MATCH($B262,Customers!$A$2:$A$101,0))</f>
        <v>Rati Dhingra</v>
      </c>
      <c r="R262" s="79" t="n">
        <f aca="false">MONTH($E262)</f>
        <v>11</v>
      </c>
      <c r="S262" s="79" t="str">
        <f aca="false">INDEX(Lists!$B$2:$B$13,$R262)</f>
        <v>November</v>
      </c>
      <c r="T262" s="79" t="n">
        <f aca="false">HOUR($F262)</f>
        <v>14</v>
      </c>
      <c r="U262" s="79" t="n">
        <f aca="false">WEEKDAY($E262,2)</f>
        <v>1</v>
      </c>
      <c r="V262" s="79" t="str">
        <f aca="false">INDEX(Lists!$F$2:$F$8,$U262)</f>
        <v>Monday</v>
      </c>
      <c r="W262" s="81" t="n">
        <f aca="false">($G262+$H262)-($E262+$F262)</f>
        <v>6.2596875</v>
      </c>
      <c r="X262" s="79" t="str">
        <f aca="false">LOOKUP($M262,Lists!$G$2:$G$5,Lists!$H$2:$H$5)</f>
        <v>₹1,000 - 1,499</v>
      </c>
      <c r="Y262" s="79" t="str">
        <f aca="false">LOOKUP($W262,Lists!$I$2:$I$7,Lists!$J$2:$J$7)</f>
        <v>6 - 8 days</v>
      </c>
    </row>
    <row r="263" customFormat="false" ht="15" hidden="false" customHeight="false" outlineLevel="0" collapsed="false">
      <c r="A263" s="2" t="n">
        <v>262</v>
      </c>
      <c r="B263" s="2" t="s">
        <v>218</v>
      </c>
      <c r="C263" s="2" t="n">
        <v>49</v>
      </c>
      <c r="D263" s="2" t="n">
        <v>3</v>
      </c>
      <c r="E263" s="82" t="n">
        <v>44964</v>
      </c>
      <c r="F263" s="83" t="n">
        <v>0.336990740740741</v>
      </c>
      <c r="G263" s="82" t="n">
        <v>44968</v>
      </c>
      <c r="H263" s="83" t="n">
        <v>0.0464930555555556</v>
      </c>
      <c r="I263" s="2" t="s">
        <v>592</v>
      </c>
      <c r="J263" s="2" t="s">
        <v>179</v>
      </c>
      <c r="K263" s="46" t="str">
        <f aca="false">INDEX(Products!$B$2:$B$71,MATCH($C263,Products!$A$2:$A$71,0))</f>
        <v>Voluptate Pack</v>
      </c>
      <c r="L263" s="46" t="str">
        <f aca="false">INDEX(Products!$C$2:$C$71,MATCH($C263,Products!$A$2:$A$71,0))</f>
        <v>Colors</v>
      </c>
      <c r="M263" s="84" t="n">
        <f aca="false">INDEX(Products!$D$2:$D$71,MATCH($C263,Products!$A$2:$A$71,0))</f>
        <v>903</v>
      </c>
      <c r="N263" s="84" t="n">
        <f aca="false">$D263*$M263</f>
        <v>2709</v>
      </c>
      <c r="O263" s="46" t="str">
        <f aca="false">INDEX(Customers!$C$2:$C$101,MATCH($B263,Customers!$A$2:$A$101,0))</f>
        <v>Aizawl</v>
      </c>
      <c r="P263" s="46" t="str">
        <f aca="false">INDEX(Customers!$F$2:$F$101,MATCH($B263,Customers!$A$2:$A$101,0))</f>
        <v>Female</v>
      </c>
      <c r="Q263" s="46" t="str">
        <f aca="false">INDEX(Customers!$B$2:$B$101,MATCH($B263,Customers!$A$2:$A$101,0))</f>
        <v>Yakshit Shah</v>
      </c>
      <c r="R263" s="46" t="n">
        <f aca="false">MONTH($E263)</f>
        <v>2</v>
      </c>
      <c r="S263" s="46" t="str">
        <f aca="false">INDEX(Lists!$B$2:$B$13,$R263)</f>
        <v>February</v>
      </c>
      <c r="T263" s="46" t="n">
        <f aca="false">HOUR($F263)</f>
        <v>8</v>
      </c>
      <c r="U263" s="46" t="n">
        <f aca="false">WEEKDAY($E263,2)</f>
        <v>2</v>
      </c>
      <c r="V263" s="46" t="str">
        <f aca="false">INDEX(Lists!$F$2:$F$8,$U263)</f>
        <v>Tuesday</v>
      </c>
      <c r="W263" s="85" t="n">
        <f aca="false">($G263+$H263)-($E263+$F263)</f>
        <v>3.70950231481481</v>
      </c>
      <c r="X263" s="46" t="str">
        <f aca="false">LOOKUP($M263,Lists!$G$2:$G$5,Lists!$H$2:$H$5)</f>
        <v>₹500 - 999</v>
      </c>
      <c r="Y263" s="46" t="str">
        <f aca="false">LOOKUP($W263,Lists!$I$2:$I$7,Lists!$J$2:$J$7)</f>
        <v>2 - 4 days</v>
      </c>
    </row>
    <row r="264" customFormat="false" ht="15" hidden="false" customHeight="false" outlineLevel="0" collapsed="false">
      <c r="A264" s="7" t="n">
        <v>263</v>
      </c>
      <c r="B264" s="7" t="s">
        <v>341</v>
      </c>
      <c r="C264" s="7" t="n">
        <v>57</v>
      </c>
      <c r="D264" s="7" t="n">
        <v>4</v>
      </c>
      <c r="E264" s="77" t="n">
        <v>44997</v>
      </c>
      <c r="F264" s="78" t="n">
        <v>0.399421296296296</v>
      </c>
      <c r="G264" s="77" t="n">
        <v>44998</v>
      </c>
      <c r="H264" s="78" t="n">
        <v>0.640289351851852</v>
      </c>
      <c r="I264" s="7" t="s">
        <v>312</v>
      </c>
      <c r="J264" s="7" t="s">
        <v>31</v>
      </c>
      <c r="K264" s="79" t="str">
        <f aca="false">INDEX(Products!$B$2:$B$71,MATCH($C264,Products!$A$2:$A$71,0))</f>
        <v>Voluptatem Box</v>
      </c>
      <c r="L264" s="79" t="str">
        <f aca="false">INDEX(Products!$C$2:$C$71,MATCH($C264,Products!$A$2:$A$71,0))</f>
        <v>Colors</v>
      </c>
      <c r="M264" s="80" t="n">
        <f aca="false">INDEX(Products!$D$2:$D$71,MATCH($C264,Products!$A$2:$A$71,0))</f>
        <v>1582</v>
      </c>
      <c r="N264" s="80" t="n">
        <f aca="false">$D264*$M264</f>
        <v>6328</v>
      </c>
      <c r="O264" s="79" t="str">
        <f aca="false">INDEX(Customers!$C$2:$C$101,MATCH($B264,Customers!$A$2:$A$101,0))</f>
        <v>Ratlam</v>
      </c>
      <c r="P264" s="79" t="str">
        <f aca="false">INDEX(Customers!$F$2:$F$101,MATCH($B264,Customers!$A$2:$A$101,0))</f>
        <v>Male</v>
      </c>
      <c r="Q264" s="79" t="str">
        <f aca="false">INDEX(Customers!$B$2:$B$101,MATCH($B264,Customers!$A$2:$A$101,0))</f>
        <v>Kaira Ramachandran</v>
      </c>
      <c r="R264" s="79" t="n">
        <f aca="false">MONTH($E264)</f>
        <v>3</v>
      </c>
      <c r="S264" s="79" t="str">
        <f aca="false">INDEX(Lists!$B$2:$B$13,$R264)</f>
        <v>March</v>
      </c>
      <c r="T264" s="79" t="n">
        <f aca="false">HOUR($F264)</f>
        <v>9</v>
      </c>
      <c r="U264" s="79" t="n">
        <f aca="false">WEEKDAY($E264,2)</f>
        <v>7</v>
      </c>
      <c r="V264" s="79" t="str">
        <f aca="false">INDEX(Lists!$F$2:$F$8,$U264)</f>
        <v>Sunday</v>
      </c>
      <c r="W264" s="81" t="n">
        <f aca="false">($G264+$H264)-($E264+$F264)</f>
        <v>1.24086805555556</v>
      </c>
      <c r="X264" s="79" t="str">
        <f aca="false">LOOKUP($M264,Lists!$G$2:$G$5,Lists!$H$2:$H$5)</f>
        <v>₹1,500 - 2,000</v>
      </c>
      <c r="Y264" s="79" t="str">
        <f aca="false">LOOKUP($W264,Lists!$I$2:$I$7,Lists!$J$2:$J$7)</f>
        <v>0 - 2 days</v>
      </c>
    </row>
    <row r="265" customFormat="false" ht="15" hidden="false" customHeight="false" outlineLevel="0" collapsed="false">
      <c r="A265" s="2" t="n">
        <v>264</v>
      </c>
      <c r="B265" s="2" t="s">
        <v>151</v>
      </c>
      <c r="C265" s="2" t="n">
        <v>52</v>
      </c>
      <c r="D265" s="2" t="n">
        <v>3</v>
      </c>
      <c r="E265" s="82" t="n">
        <v>44966</v>
      </c>
      <c r="F265" s="83" t="n">
        <v>0.232858796296296</v>
      </c>
      <c r="G265" s="82" t="n">
        <v>44975</v>
      </c>
      <c r="H265" s="83" t="n">
        <v>0.655393518518519</v>
      </c>
      <c r="I265" s="2" t="s">
        <v>184</v>
      </c>
      <c r="J265" s="2" t="s">
        <v>179</v>
      </c>
      <c r="K265" s="46" t="str">
        <f aca="false">INDEX(Products!$B$2:$B$71,MATCH($C265,Products!$A$2:$A$71,0))</f>
        <v>Dolorum Box</v>
      </c>
      <c r="L265" s="46" t="str">
        <f aca="false">INDEX(Products!$C$2:$C$71,MATCH($C265,Products!$A$2:$A$71,0))</f>
        <v>Raksha Bandhan</v>
      </c>
      <c r="M265" s="84" t="n">
        <f aca="false">INDEX(Products!$D$2:$D$71,MATCH($C265,Products!$A$2:$A$71,0))</f>
        <v>236</v>
      </c>
      <c r="N265" s="84" t="n">
        <f aca="false">$D265*$M265</f>
        <v>708</v>
      </c>
      <c r="O265" s="46" t="str">
        <f aca="false">INDEX(Customers!$C$2:$C$101,MATCH($B265,Customers!$A$2:$A$101,0))</f>
        <v>Kanpur</v>
      </c>
      <c r="P265" s="46" t="str">
        <f aca="false">INDEX(Customers!$F$2:$F$101,MATCH($B265,Customers!$A$2:$A$101,0))</f>
        <v>Male</v>
      </c>
      <c r="Q265" s="46" t="str">
        <f aca="false">INDEX(Customers!$B$2:$B$101,MATCH($B265,Customers!$A$2:$A$101,0))</f>
        <v>Darshit Dave</v>
      </c>
      <c r="R265" s="46" t="n">
        <f aca="false">MONTH($E265)</f>
        <v>2</v>
      </c>
      <c r="S265" s="46" t="str">
        <f aca="false">INDEX(Lists!$B$2:$B$13,$R265)</f>
        <v>February</v>
      </c>
      <c r="T265" s="46" t="n">
        <f aca="false">HOUR($F265)</f>
        <v>5</v>
      </c>
      <c r="U265" s="46" t="n">
        <f aca="false">WEEKDAY($E265,2)</f>
        <v>4</v>
      </c>
      <c r="V265" s="46" t="str">
        <f aca="false">INDEX(Lists!$F$2:$F$8,$U265)</f>
        <v>Thursday</v>
      </c>
      <c r="W265" s="85" t="n">
        <f aca="false">($G265+$H265)-($E265+$F265)</f>
        <v>9.42253472222222</v>
      </c>
      <c r="X265" s="46" t="str">
        <f aca="false">LOOKUP($M265,Lists!$G$2:$G$5,Lists!$H$2:$H$5)</f>
        <v>₹0 - 499</v>
      </c>
      <c r="Y265" s="46" t="str">
        <f aca="false">LOOKUP($W265,Lists!$I$2:$I$7,Lists!$J$2:$J$7)</f>
        <v>8 - 10 days</v>
      </c>
    </row>
    <row r="266" customFormat="false" ht="15" hidden="false" customHeight="false" outlineLevel="0" collapsed="false">
      <c r="A266" s="7" t="n">
        <v>265</v>
      </c>
      <c r="B266" s="7" t="s">
        <v>283</v>
      </c>
      <c r="C266" s="7" t="n">
        <v>58</v>
      </c>
      <c r="D266" s="7" t="n">
        <v>1</v>
      </c>
      <c r="E266" s="77" t="n">
        <v>44967</v>
      </c>
      <c r="F266" s="78" t="n">
        <v>0.887013888888889</v>
      </c>
      <c r="G266" s="77" t="n">
        <v>44975</v>
      </c>
      <c r="H266" s="78" t="n">
        <v>0.269826388888889</v>
      </c>
      <c r="I266" s="7" t="s">
        <v>395</v>
      </c>
      <c r="J266" s="7" t="s">
        <v>179</v>
      </c>
      <c r="K266" s="79" t="str">
        <f aca="false">INDEX(Products!$B$2:$B$71,MATCH($C266,Products!$A$2:$A$71,0))</f>
        <v>Sed Pack</v>
      </c>
      <c r="L266" s="79" t="str">
        <f aca="false">INDEX(Products!$C$2:$C$71,MATCH($C266,Products!$A$2:$A$71,0))</f>
        <v>Cake</v>
      </c>
      <c r="M266" s="80" t="n">
        <f aca="false">INDEX(Products!$D$2:$D$71,MATCH($C266,Products!$A$2:$A$71,0))</f>
        <v>1492</v>
      </c>
      <c r="N266" s="80" t="n">
        <f aca="false">$D266*$M266</f>
        <v>1492</v>
      </c>
      <c r="O266" s="79" t="str">
        <f aca="false">INDEX(Customers!$C$2:$C$101,MATCH($B266,Customers!$A$2:$A$101,0))</f>
        <v>Satara</v>
      </c>
      <c r="P266" s="79" t="str">
        <f aca="false">INDEX(Customers!$F$2:$F$101,MATCH($B266,Customers!$A$2:$A$101,0))</f>
        <v>Male</v>
      </c>
      <c r="Q266" s="79" t="str">
        <f aca="false">INDEX(Customers!$B$2:$B$101,MATCH($B266,Customers!$A$2:$A$101,0))</f>
        <v>Riya Wagle</v>
      </c>
      <c r="R266" s="79" t="n">
        <f aca="false">MONTH($E266)</f>
        <v>2</v>
      </c>
      <c r="S266" s="79" t="str">
        <f aca="false">INDEX(Lists!$B$2:$B$13,$R266)</f>
        <v>February</v>
      </c>
      <c r="T266" s="79" t="n">
        <f aca="false">HOUR($F266)</f>
        <v>21</v>
      </c>
      <c r="U266" s="79" t="n">
        <f aca="false">WEEKDAY($E266,2)</f>
        <v>5</v>
      </c>
      <c r="V266" s="79" t="str">
        <f aca="false">INDEX(Lists!$F$2:$F$8,$U266)</f>
        <v>Friday</v>
      </c>
      <c r="W266" s="81" t="n">
        <f aca="false">($G266+$H266)-($E266+$F266)</f>
        <v>7.3828125</v>
      </c>
      <c r="X266" s="79" t="str">
        <f aca="false">LOOKUP($M266,Lists!$G$2:$G$5,Lists!$H$2:$H$5)</f>
        <v>₹1,000 - 1,499</v>
      </c>
      <c r="Y266" s="79" t="str">
        <f aca="false">LOOKUP($W266,Lists!$I$2:$I$7,Lists!$J$2:$J$7)</f>
        <v>6 - 8 days</v>
      </c>
    </row>
    <row r="267" customFormat="false" ht="15" hidden="false" customHeight="false" outlineLevel="0" collapsed="false">
      <c r="A267" s="2" t="n">
        <v>266</v>
      </c>
      <c r="B267" s="2" t="s">
        <v>218</v>
      </c>
      <c r="C267" s="2" t="n">
        <v>36</v>
      </c>
      <c r="D267" s="2" t="n">
        <v>1</v>
      </c>
      <c r="E267" s="82" t="n">
        <v>45058</v>
      </c>
      <c r="F267" s="83" t="n">
        <v>0.574259259259259</v>
      </c>
      <c r="G267" s="82" t="n">
        <v>45059</v>
      </c>
      <c r="H267" s="83" t="n">
        <v>0.805659722222222</v>
      </c>
      <c r="I267" s="2" t="s">
        <v>573</v>
      </c>
      <c r="J267" s="2" t="s">
        <v>31</v>
      </c>
      <c r="K267" s="46" t="str">
        <f aca="false">INDEX(Products!$B$2:$B$71,MATCH($C267,Products!$A$2:$A$71,0))</f>
        <v>Cum Gift</v>
      </c>
      <c r="L267" s="46" t="str">
        <f aca="false">INDEX(Products!$C$2:$C$71,MATCH($C267,Products!$A$2:$A$71,0))</f>
        <v>Plants</v>
      </c>
      <c r="M267" s="84" t="n">
        <f aca="false">INDEX(Products!$D$2:$D$71,MATCH($C267,Products!$A$2:$A$71,0))</f>
        <v>203</v>
      </c>
      <c r="N267" s="84" t="n">
        <f aca="false">$D267*$M267</f>
        <v>203</v>
      </c>
      <c r="O267" s="46" t="str">
        <f aca="false">INDEX(Customers!$C$2:$C$101,MATCH($B267,Customers!$A$2:$A$101,0))</f>
        <v>Aizawl</v>
      </c>
      <c r="P267" s="46" t="str">
        <f aca="false">INDEX(Customers!$F$2:$F$101,MATCH($B267,Customers!$A$2:$A$101,0))</f>
        <v>Female</v>
      </c>
      <c r="Q267" s="46" t="str">
        <f aca="false">INDEX(Customers!$B$2:$B$101,MATCH($B267,Customers!$A$2:$A$101,0))</f>
        <v>Yakshit Shah</v>
      </c>
      <c r="R267" s="46" t="n">
        <f aca="false">MONTH($E267)</f>
        <v>5</v>
      </c>
      <c r="S267" s="46" t="str">
        <f aca="false">INDEX(Lists!$B$2:$B$13,$R267)</f>
        <v>May</v>
      </c>
      <c r="T267" s="46" t="n">
        <f aca="false">HOUR($F267)</f>
        <v>13</v>
      </c>
      <c r="U267" s="46" t="n">
        <f aca="false">WEEKDAY($E267,2)</f>
        <v>5</v>
      </c>
      <c r="V267" s="46" t="str">
        <f aca="false">INDEX(Lists!$F$2:$F$8,$U267)</f>
        <v>Friday</v>
      </c>
      <c r="W267" s="85" t="n">
        <f aca="false">($G267+$H267)-($E267+$F267)</f>
        <v>1.23140046296296</v>
      </c>
      <c r="X267" s="46" t="str">
        <f aca="false">LOOKUP($M267,Lists!$G$2:$G$5,Lists!$H$2:$H$5)</f>
        <v>₹0 - 499</v>
      </c>
      <c r="Y267" s="46" t="str">
        <f aca="false">LOOKUP($W267,Lists!$I$2:$I$7,Lists!$J$2:$J$7)</f>
        <v>0 - 2 days</v>
      </c>
    </row>
    <row r="268" customFormat="false" ht="15" hidden="false" customHeight="false" outlineLevel="0" collapsed="false">
      <c r="A268" s="7" t="n">
        <v>267</v>
      </c>
      <c r="B268" s="7" t="s">
        <v>269</v>
      </c>
      <c r="C268" s="7" t="n">
        <v>35</v>
      </c>
      <c r="D268" s="7" t="n">
        <v>3</v>
      </c>
      <c r="E268" s="77" t="n">
        <v>44989</v>
      </c>
      <c r="F268" s="78" t="n">
        <v>0.568715277777778</v>
      </c>
      <c r="G268" s="77" t="n">
        <v>44997</v>
      </c>
      <c r="H268" s="78" t="n">
        <v>0.161111111111111</v>
      </c>
      <c r="I268" s="7" t="s">
        <v>302</v>
      </c>
      <c r="J268" s="7" t="s">
        <v>33</v>
      </c>
      <c r="K268" s="79" t="str">
        <f aca="false">INDEX(Products!$B$2:$B$71,MATCH($C268,Products!$A$2:$A$71,0))</f>
        <v>Nam Gift</v>
      </c>
      <c r="L268" s="79" t="str">
        <f aca="false">INDEX(Products!$C$2:$C$71,MATCH($C268,Products!$A$2:$A$71,0))</f>
        <v>Colors</v>
      </c>
      <c r="M268" s="80" t="n">
        <f aca="false">INDEX(Products!$D$2:$D$71,MATCH($C268,Products!$A$2:$A$71,0))</f>
        <v>1865</v>
      </c>
      <c r="N268" s="80" t="n">
        <f aca="false">$D268*$M268</f>
        <v>5595</v>
      </c>
      <c r="O268" s="79" t="str">
        <f aca="false">INDEX(Customers!$C$2:$C$101,MATCH($B268,Customers!$A$2:$A$101,0))</f>
        <v>Imphal</v>
      </c>
      <c r="P268" s="79" t="str">
        <f aca="false">INDEX(Customers!$F$2:$F$101,MATCH($B268,Customers!$A$2:$A$101,0))</f>
        <v>Male</v>
      </c>
      <c r="Q268" s="79" t="str">
        <f aca="false">INDEX(Customers!$B$2:$B$101,MATCH($B268,Customers!$A$2:$A$101,0))</f>
        <v>Umang Luthra</v>
      </c>
      <c r="R268" s="79" t="n">
        <f aca="false">MONTH($E268)</f>
        <v>3</v>
      </c>
      <c r="S268" s="79" t="str">
        <f aca="false">INDEX(Lists!$B$2:$B$13,$R268)</f>
        <v>March</v>
      </c>
      <c r="T268" s="79" t="n">
        <f aca="false">HOUR($F268)</f>
        <v>13</v>
      </c>
      <c r="U268" s="79" t="n">
        <f aca="false">WEEKDAY($E268,2)</f>
        <v>6</v>
      </c>
      <c r="V268" s="79" t="str">
        <f aca="false">INDEX(Lists!$F$2:$F$8,$U268)</f>
        <v>Saturday</v>
      </c>
      <c r="W268" s="81" t="n">
        <f aca="false">($G268+$H268)-($E268+$F268)</f>
        <v>7.59239583333333</v>
      </c>
      <c r="X268" s="79" t="str">
        <f aca="false">LOOKUP($M268,Lists!$G$2:$G$5,Lists!$H$2:$H$5)</f>
        <v>₹1,500 - 2,000</v>
      </c>
      <c r="Y268" s="79" t="str">
        <f aca="false">LOOKUP($W268,Lists!$I$2:$I$7,Lists!$J$2:$J$7)</f>
        <v>6 - 8 days</v>
      </c>
    </row>
    <row r="269" customFormat="false" ht="15" hidden="false" customHeight="false" outlineLevel="0" collapsed="false">
      <c r="A269" s="2" t="n">
        <v>268</v>
      </c>
      <c r="B269" s="2" t="s">
        <v>263</v>
      </c>
      <c r="C269" s="2" t="n">
        <v>38</v>
      </c>
      <c r="D269" s="2" t="n">
        <v>1</v>
      </c>
      <c r="E269" s="82" t="n">
        <v>45152</v>
      </c>
      <c r="F269" s="83" t="n">
        <v>0.323599537037037</v>
      </c>
      <c r="G269" s="82" t="n">
        <v>45161</v>
      </c>
      <c r="H269" s="83" t="n">
        <v>0.703819444444444</v>
      </c>
      <c r="I269" s="2" t="s">
        <v>452</v>
      </c>
      <c r="J269" s="2" t="s">
        <v>31</v>
      </c>
      <c r="K269" s="46" t="str">
        <f aca="false">INDEX(Products!$B$2:$B$71,MATCH($C269,Products!$A$2:$A$71,0))</f>
        <v>Mollitia Set</v>
      </c>
      <c r="L269" s="46" t="str">
        <f aca="false">INDEX(Products!$C$2:$C$71,MATCH($C269,Products!$A$2:$A$71,0))</f>
        <v>Cake</v>
      </c>
      <c r="M269" s="84" t="n">
        <f aca="false">INDEX(Products!$D$2:$D$71,MATCH($C269,Products!$A$2:$A$71,0))</f>
        <v>562</v>
      </c>
      <c r="N269" s="84" t="n">
        <f aca="false">$D269*$M269</f>
        <v>562</v>
      </c>
      <c r="O269" s="46" t="str">
        <f aca="false">INDEX(Customers!$C$2:$C$101,MATCH($B269,Customers!$A$2:$A$101,0))</f>
        <v>Bharatpur</v>
      </c>
      <c r="P269" s="46" t="str">
        <f aca="false">INDEX(Customers!$F$2:$F$101,MATCH($B269,Customers!$A$2:$A$101,0))</f>
        <v>Female</v>
      </c>
      <c r="Q269" s="46" t="str">
        <f aca="false">INDEX(Customers!$B$2:$B$101,MATCH($B269,Customers!$A$2:$A$101,0))</f>
        <v>Kismat Kapadia</v>
      </c>
      <c r="R269" s="46" t="n">
        <f aca="false">MONTH($E269)</f>
        <v>8</v>
      </c>
      <c r="S269" s="46" t="str">
        <f aca="false">INDEX(Lists!$B$2:$B$13,$R269)</f>
        <v>August</v>
      </c>
      <c r="T269" s="46" t="n">
        <f aca="false">HOUR($F269)</f>
        <v>7</v>
      </c>
      <c r="U269" s="46" t="n">
        <f aca="false">WEEKDAY($E269,2)</f>
        <v>1</v>
      </c>
      <c r="V269" s="46" t="str">
        <f aca="false">INDEX(Lists!$F$2:$F$8,$U269)</f>
        <v>Monday</v>
      </c>
      <c r="W269" s="85" t="n">
        <f aca="false">($G269+$H269)-($E269+$F269)</f>
        <v>9.38021990740741</v>
      </c>
      <c r="X269" s="46" t="str">
        <f aca="false">LOOKUP($M269,Lists!$G$2:$G$5,Lists!$H$2:$H$5)</f>
        <v>₹500 - 999</v>
      </c>
      <c r="Y269" s="46" t="str">
        <f aca="false">LOOKUP($W269,Lists!$I$2:$I$7,Lists!$J$2:$J$7)</f>
        <v>8 - 10 days</v>
      </c>
    </row>
    <row r="270" customFormat="false" ht="15" hidden="false" customHeight="false" outlineLevel="0" collapsed="false">
      <c r="A270" s="7" t="n">
        <v>269</v>
      </c>
      <c r="B270" s="7" t="s">
        <v>185</v>
      </c>
      <c r="C270" s="7" t="n">
        <v>36</v>
      </c>
      <c r="D270" s="7" t="n">
        <v>1</v>
      </c>
      <c r="E270" s="77" t="n">
        <v>45224</v>
      </c>
      <c r="F270" s="78" t="n">
        <v>0.0501388888888889</v>
      </c>
      <c r="G270" s="77" t="n">
        <v>45225</v>
      </c>
      <c r="H270" s="78" t="n">
        <v>0.748761574074074</v>
      </c>
      <c r="I270" s="7" t="s">
        <v>534</v>
      </c>
      <c r="J270" s="7" t="s">
        <v>31</v>
      </c>
      <c r="K270" s="79" t="str">
        <f aca="false">INDEX(Products!$B$2:$B$71,MATCH($C270,Products!$A$2:$A$71,0))</f>
        <v>Cum Gift</v>
      </c>
      <c r="L270" s="79" t="str">
        <f aca="false">INDEX(Products!$C$2:$C$71,MATCH($C270,Products!$A$2:$A$71,0))</f>
        <v>Plants</v>
      </c>
      <c r="M270" s="80" t="n">
        <f aca="false">INDEX(Products!$D$2:$D$71,MATCH($C270,Products!$A$2:$A$71,0))</f>
        <v>203</v>
      </c>
      <c r="N270" s="80" t="n">
        <f aca="false">$D270*$M270</f>
        <v>203</v>
      </c>
      <c r="O270" s="79" t="str">
        <f aca="false">INDEX(Customers!$C$2:$C$101,MATCH($B270,Customers!$A$2:$A$101,0))</f>
        <v>Kavali</v>
      </c>
      <c r="P270" s="79" t="str">
        <f aca="false">INDEX(Customers!$F$2:$F$101,MATCH($B270,Customers!$A$2:$A$101,0))</f>
        <v>Female</v>
      </c>
      <c r="Q270" s="79" t="str">
        <f aca="false">INDEX(Customers!$B$2:$B$101,MATCH($B270,Customers!$A$2:$A$101,0))</f>
        <v>Jhanvi Chowdhury</v>
      </c>
      <c r="R270" s="79" t="n">
        <f aca="false">MONTH($E270)</f>
        <v>10</v>
      </c>
      <c r="S270" s="79" t="str">
        <f aca="false">INDEX(Lists!$B$2:$B$13,$R270)</f>
        <v>October</v>
      </c>
      <c r="T270" s="79" t="n">
        <f aca="false">HOUR($F270)</f>
        <v>1</v>
      </c>
      <c r="U270" s="79" t="n">
        <f aca="false">WEEKDAY($E270,2)</f>
        <v>3</v>
      </c>
      <c r="V270" s="79" t="str">
        <f aca="false">INDEX(Lists!$F$2:$F$8,$U270)</f>
        <v>Wednesday</v>
      </c>
      <c r="W270" s="81" t="n">
        <f aca="false">($G270+$H270)-($E270+$F270)</f>
        <v>1.69862268518519</v>
      </c>
      <c r="X270" s="79" t="str">
        <f aca="false">LOOKUP($M270,Lists!$G$2:$G$5,Lists!$H$2:$H$5)</f>
        <v>₹0 - 499</v>
      </c>
      <c r="Y270" s="79" t="str">
        <f aca="false">LOOKUP($W270,Lists!$I$2:$I$7,Lists!$J$2:$J$7)</f>
        <v>0 - 2 days</v>
      </c>
    </row>
    <row r="271" customFormat="false" ht="15" hidden="false" customHeight="false" outlineLevel="0" collapsed="false">
      <c r="A271" s="2" t="n">
        <v>270</v>
      </c>
      <c r="B271" s="2" t="s">
        <v>350</v>
      </c>
      <c r="C271" s="2" t="n">
        <v>21</v>
      </c>
      <c r="D271" s="2" t="n">
        <v>5</v>
      </c>
      <c r="E271" s="82" t="n">
        <v>45160</v>
      </c>
      <c r="F271" s="83" t="n">
        <v>0.848252314814815</v>
      </c>
      <c r="G271" s="82" t="n">
        <v>45170</v>
      </c>
      <c r="H271" s="83" t="n">
        <v>0.66943287037037</v>
      </c>
      <c r="I271" s="2" t="s">
        <v>189</v>
      </c>
      <c r="J271" s="2" t="s">
        <v>40</v>
      </c>
      <c r="K271" s="46" t="str">
        <f aca="false">INDEX(Products!$B$2:$B$71,MATCH($C271,Products!$A$2:$A$71,0))</f>
        <v>Quia Gift</v>
      </c>
      <c r="L271" s="46" t="str">
        <f aca="false">INDEX(Products!$C$2:$C$71,MATCH($C271,Products!$A$2:$A$71,0))</f>
        <v>Colors</v>
      </c>
      <c r="M271" s="84" t="n">
        <f aca="false">INDEX(Products!$D$2:$D$71,MATCH($C271,Products!$A$2:$A$71,0))</f>
        <v>1561</v>
      </c>
      <c r="N271" s="84" t="n">
        <f aca="false">$D271*$M271</f>
        <v>7805</v>
      </c>
      <c r="O271" s="46" t="str">
        <f aca="false">INDEX(Customers!$C$2:$C$101,MATCH($B271,Customers!$A$2:$A$101,0))</f>
        <v>Tiruchirappalli</v>
      </c>
      <c r="P271" s="46" t="str">
        <f aca="false">INDEX(Customers!$F$2:$F$101,MATCH($B271,Customers!$A$2:$A$101,0))</f>
        <v>Male</v>
      </c>
      <c r="Q271" s="46" t="str">
        <f aca="false">INDEX(Customers!$B$2:$B$101,MATCH($B271,Customers!$A$2:$A$101,0))</f>
        <v>Anahita Shankar</v>
      </c>
      <c r="R271" s="46" t="n">
        <f aca="false">MONTH($E271)</f>
        <v>8</v>
      </c>
      <c r="S271" s="46" t="str">
        <f aca="false">INDEX(Lists!$B$2:$B$13,$R271)</f>
        <v>August</v>
      </c>
      <c r="T271" s="46" t="n">
        <f aca="false">HOUR($F271)</f>
        <v>20</v>
      </c>
      <c r="U271" s="46" t="n">
        <f aca="false">WEEKDAY($E271,2)</f>
        <v>2</v>
      </c>
      <c r="V271" s="46" t="str">
        <f aca="false">INDEX(Lists!$F$2:$F$8,$U271)</f>
        <v>Tuesday</v>
      </c>
      <c r="W271" s="85" t="n">
        <f aca="false">($G271+$H271)-($E271+$F271)</f>
        <v>9.82118055555556</v>
      </c>
      <c r="X271" s="46" t="str">
        <f aca="false">LOOKUP($M271,Lists!$G$2:$G$5,Lists!$H$2:$H$5)</f>
        <v>₹1,500 - 2,000</v>
      </c>
      <c r="Y271" s="46" t="str">
        <f aca="false">LOOKUP($W271,Lists!$I$2:$I$7,Lists!$J$2:$J$7)</f>
        <v>8 - 10 days</v>
      </c>
    </row>
    <row r="272" customFormat="false" ht="15" hidden="false" customHeight="false" outlineLevel="0" collapsed="false">
      <c r="A272" s="7" t="n">
        <v>271</v>
      </c>
      <c r="B272" s="7" t="s">
        <v>221</v>
      </c>
      <c r="C272" s="7" t="n">
        <v>36</v>
      </c>
      <c r="D272" s="7" t="n">
        <v>5</v>
      </c>
      <c r="E272" s="77" t="n">
        <v>45100</v>
      </c>
      <c r="F272" s="78" t="n">
        <v>0.769236111111111</v>
      </c>
      <c r="G272" s="77" t="n">
        <v>45107</v>
      </c>
      <c r="H272" s="78" t="n">
        <v>0.763946759259259</v>
      </c>
      <c r="I272" s="7" t="s">
        <v>525</v>
      </c>
      <c r="J272" s="7" t="s">
        <v>31</v>
      </c>
      <c r="K272" s="79" t="str">
        <f aca="false">INDEX(Products!$B$2:$B$71,MATCH($C272,Products!$A$2:$A$71,0))</f>
        <v>Cum Gift</v>
      </c>
      <c r="L272" s="79" t="str">
        <f aca="false">INDEX(Products!$C$2:$C$71,MATCH($C272,Products!$A$2:$A$71,0))</f>
        <v>Plants</v>
      </c>
      <c r="M272" s="80" t="n">
        <f aca="false">INDEX(Products!$D$2:$D$71,MATCH($C272,Products!$A$2:$A$71,0))</f>
        <v>203</v>
      </c>
      <c r="N272" s="80" t="n">
        <f aca="false">$D272*$M272</f>
        <v>1015</v>
      </c>
      <c r="O272" s="79" t="str">
        <f aca="false">INDEX(Customers!$C$2:$C$101,MATCH($B272,Customers!$A$2:$A$101,0))</f>
        <v>Kamarhati</v>
      </c>
      <c r="P272" s="79" t="str">
        <f aca="false">INDEX(Customers!$F$2:$F$101,MATCH($B272,Customers!$A$2:$A$101,0))</f>
        <v>Male</v>
      </c>
      <c r="Q272" s="79" t="str">
        <f aca="false">INDEX(Customers!$B$2:$B$101,MATCH($B272,Customers!$A$2:$A$101,0))</f>
        <v>Kaira Bahl</v>
      </c>
      <c r="R272" s="79" t="n">
        <f aca="false">MONTH($E272)</f>
        <v>6</v>
      </c>
      <c r="S272" s="79" t="str">
        <f aca="false">INDEX(Lists!$B$2:$B$13,$R272)</f>
        <v>June</v>
      </c>
      <c r="T272" s="79" t="n">
        <f aca="false">HOUR($F272)</f>
        <v>18</v>
      </c>
      <c r="U272" s="79" t="n">
        <f aca="false">WEEKDAY($E272,2)</f>
        <v>5</v>
      </c>
      <c r="V272" s="79" t="str">
        <f aca="false">INDEX(Lists!$F$2:$F$8,$U272)</f>
        <v>Friday</v>
      </c>
      <c r="W272" s="81" t="n">
        <f aca="false">($G272+$H272)-($E272+$F272)</f>
        <v>6.99471064814815</v>
      </c>
      <c r="X272" s="79" t="str">
        <f aca="false">LOOKUP($M272,Lists!$G$2:$G$5,Lists!$H$2:$H$5)</f>
        <v>₹0 - 499</v>
      </c>
      <c r="Y272" s="79" t="str">
        <f aca="false">LOOKUP($W272,Lists!$I$2:$I$7,Lists!$J$2:$J$7)</f>
        <v>6 - 8 days</v>
      </c>
    </row>
    <row r="273" customFormat="false" ht="15" hidden="false" customHeight="false" outlineLevel="0" collapsed="false">
      <c r="A273" s="2" t="n">
        <v>272</v>
      </c>
      <c r="B273" s="2" t="s">
        <v>167</v>
      </c>
      <c r="C273" s="2" t="n">
        <v>12</v>
      </c>
      <c r="D273" s="2" t="n">
        <v>1</v>
      </c>
      <c r="E273" s="82" t="n">
        <v>45024</v>
      </c>
      <c r="F273" s="83" t="n">
        <v>0.402835648148148</v>
      </c>
      <c r="G273" s="82" t="n">
        <v>45034</v>
      </c>
      <c r="H273" s="83" t="n">
        <v>0.843009259259259</v>
      </c>
      <c r="I273" s="2" t="s">
        <v>469</v>
      </c>
      <c r="J273" s="2" t="s">
        <v>168</v>
      </c>
      <c r="K273" s="46" t="str">
        <f aca="false">INDEX(Products!$B$2:$B$71,MATCH($C273,Products!$A$2:$A$71,0))</f>
        <v>Non Set</v>
      </c>
      <c r="L273" s="46" t="str">
        <f aca="false">INDEX(Products!$C$2:$C$71,MATCH($C273,Products!$A$2:$A$71,0))</f>
        <v>Plants</v>
      </c>
      <c r="M273" s="84" t="n">
        <f aca="false">INDEX(Products!$D$2:$D$71,MATCH($C273,Products!$A$2:$A$71,0))</f>
        <v>672</v>
      </c>
      <c r="N273" s="84" t="n">
        <f aca="false">$D273*$M273</f>
        <v>672</v>
      </c>
      <c r="O273" s="46" t="str">
        <f aca="false">INDEX(Customers!$C$2:$C$101,MATCH($B273,Customers!$A$2:$A$101,0))</f>
        <v>Tenali</v>
      </c>
      <c r="P273" s="46" t="str">
        <f aca="false">INDEX(Customers!$F$2:$F$101,MATCH($B273,Customers!$A$2:$A$101,0))</f>
        <v>Male</v>
      </c>
      <c r="Q273" s="46" t="str">
        <f aca="false">INDEX(Customers!$B$2:$B$101,MATCH($B273,Customers!$A$2:$A$101,0))</f>
        <v>Amani Ganesh</v>
      </c>
      <c r="R273" s="46" t="n">
        <f aca="false">MONTH($E273)</f>
        <v>4</v>
      </c>
      <c r="S273" s="46" t="str">
        <f aca="false">INDEX(Lists!$B$2:$B$13,$R273)</f>
        <v>April</v>
      </c>
      <c r="T273" s="46" t="n">
        <f aca="false">HOUR($F273)</f>
        <v>9</v>
      </c>
      <c r="U273" s="46" t="n">
        <f aca="false">WEEKDAY($E273,2)</f>
        <v>6</v>
      </c>
      <c r="V273" s="46" t="str">
        <f aca="false">INDEX(Lists!$F$2:$F$8,$U273)</f>
        <v>Saturday</v>
      </c>
      <c r="W273" s="85" t="n">
        <f aca="false">($G273+$H273)-($E273+$F273)</f>
        <v>10.4401736111111</v>
      </c>
      <c r="X273" s="46" t="str">
        <f aca="false">LOOKUP($M273,Lists!$G$2:$G$5,Lists!$H$2:$H$5)</f>
        <v>₹500 - 999</v>
      </c>
      <c r="Y273" s="46" t="str">
        <f aca="false">LOOKUP($W273,Lists!$I$2:$I$7,Lists!$J$2:$J$7)</f>
        <v>Over 10 days</v>
      </c>
    </row>
    <row r="274" customFormat="false" ht="15" hidden="false" customHeight="false" outlineLevel="0" collapsed="false">
      <c r="A274" s="7" t="n">
        <v>273</v>
      </c>
      <c r="B274" s="7" t="s">
        <v>245</v>
      </c>
      <c r="C274" s="7" t="n">
        <v>10</v>
      </c>
      <c r="D274" s="7" t="n">
        <v>2</v>
      </c>
      <c r="E274" s="77" t="n">
        <v>45252</v>
      </c>
      <c r="F274" s="78" t="n">
        <v>0.675405092592593</v>
      </c>
      <c r="G274" s="77" t="n">
        <v>45254</v>
      </c>
      <c r="H274" s="78" t="n">
        <v>0.0783333333333333</v>
      </c>
      <c r="I274" s="7" t="s">
        <v>492</v>
      </c>
      <c r="J274" s="7" t="s">
        <v>31</v>
      </c>
      <c r="K274" s="79" t="str">
        <f aca="false">INDEX(Products!$B$2:$B$71,MATCH($C274,Products!$A$2:$A$71,0))</f>
        <v>Accusantium Gift</v>
      </c>
      <c r="L274" s="79" t="str">
        <f aca="false">INDEX(Products!$C$2:$C$71,MATCH($C274,Products!$A$2:$A$71,0))</f>
        <v>Cake</v>
      </c>
      <c r="M274" s="80" t="n">
        <f aca="false">INDEX(Products!$D$2:$D$71,MATCH($C274,Products!$A$2:$A$71,0))</f>
        <v>259</v>
      </c>
      <c r="N274" s="80" t="n">
        <f aca="false">$D274*$M274</f>
        <v>518</v>
      </c>
      <c r="O274" s="79" t="str">
        <f aca="false">INDEX(Customers!$C$2:$C$101,MATCH($B274,Customers!$A$2:$A$101,0))</f>
        <v>Jorhat</v>
      </c>
      <c r="P274" s="79" t="str">
        <f aca="false">INDEX(Customers!$F$2:$F$101,MATCH($B274,Customers!$A$2:$A$101,0))</f>
        <v>Male</v>
      </c>
      <c r="Q274" s="79" t="str">
        <f aca="false">INDEX(Customers!$B$2:$B$101,MATCH($B274,Customers!$A$2:$A$101,0))</f>
        <v>Bhamini Ravi</v>
      </c>
      <c r="R274" s="79" t="n">
        <f aca="false">MONTH($E274)</f>
        <v>11</v>
      </c>
      <c r="S274" s="79" t="str">
        <f aca="false">INDEX(Lists!$B$2:$B$13,$R274)</f>
        <v>November</v>
      </c>
      <c r="T274" s="79" t="n">
        <f aca="false">HOUR($F274)</f>
        <v>16</v>
      </c>
      <c r="U274" s="79" t="n">
        <f aca="false">WEEKDAY($E274,2)</f>
        <v>3</v>
      </c>
      <c r="V274" s="79" t="str">
        <f aca="false">INDEX(Lists!$F$2:$F$8,$U274)</f>
        <v>Wednesday</v>
      </c>
      <c r="W274" s="81" t="n">
        <f aca="false">($G274+$H274)-($E274+$F274)</f>
        <v>1.40292824074074</v>
      </c>
      <c r="X274" s="79" t="str">
        <f aca="false">LOOKUP($M274,Lists!$G$2:$G$5,Lists!$H$2:$H$5)</f>
        <v>₹0 - 499</v>
      </c>
      <c r="Y274" s="79" t="str">
        <f aca="false">LOOKUP($W274,Lists!$I$2:$I$7,Lists!$J$2:$J$7)</f>
        <v>0 - 2 days</v>
      </c>
    </row>
    <row r="275" customFormat="false" ht="15" hidden="false" customHeight="false" outlineLevel="0" collapsed="false">
      <c r="A275" s="2" t="n">
        <v>274</v>
      </c>
      <c r="B275" s="2" t="s">
        <v>334</v>
      </c>
      <c r="C275" s="2" t="n">
        <v>41</v>
      </c>
      <c r="D275" s="2" t="n">
        <v>5</v>
      </c>
      <c r="E275" s="82" t="n">
        <v>45232</v>
      </c>
      <c r="F275" s="83" t="n">
        <v>0.276284722222222</v>
      </c>
      <c r="G275" s="82" t="n">
        <v>45242</v>
      </c>
      <c r="H275" s="83" t="n">
        <v>0.870555555555556</v>
      </c>
      <c r="I275" s="2" t="s">
        <v>534</v>
      </c>
      <c r="J275" s="2" t="s">
        <v>32</v>
      </c>
      <c r="K275" s="46" t="str">
        <f aca="false">INDEX(Products!$B$2:$B$71,MATCH($C275,Products!$A$2:$A$71,0))</f>
        <v>Aut Box</v>
      </c>
      <c r="L275" s="46" t="str">
        <f aca="false">INDEX(Products!$C$2:$C$71,MATCH($C275,Products!$A$2:$A$71,0))</f>
        <v>Sweets</v>
      </c>
      <c r="M275" s="84" t="n">
        <f aca="false">INDEX(Products!$D$2:$D$71,MATCH($C275,Products!$A$2:$A$71,0))</f>
        <v>1977</v>
      </c>
      <c r="N275" s="84" t="n">
        <f aca="false">$D275*$M275</f>
        <v>9885</v>
      </c>
      <c r="O275" s="46" t="str">
        <f aca="false">INDEX(Customers!$C$2:$C$101,MATCH($B275,Customers!$A$2:$A$101,0))</f>
        <v>Bhubaneswar</v>
      </c>
      <c r="P275" s="46" t="str">
        <f aca="false">INDEX(Customers!$F$2:$F$101,MATCH($B275,Customers!$A$2:$A$101,0))</f>
        <v>Female</v>
      </c>
      <c r="Q275" s="46" t="str">
        <f aca="false">INDEX(Customers!$B$2:$B$101,MATCH($B275,Customers!$A$2:$A$101,0))</f>
        <v>Jivika Rajan</v>
      </c>
      <c r="R275" s="46" t="n">
        <f aca="false">MONTH($E275)</f>
        <v>11</v>
      </c>
      <c r="S275" s="46" t="str">
        <f aca="false">INDEX(Lists!$B$2:$B$13,$R275)</f>
        <v>November</v>
      </c>
      <c r="T275" s="46" t="n">
        <f aca="false">HOUR($F275)</f>
        <v>6</v>
      </c>
      <c r="U275" s="46" t="n">
        <f aca="false">WEEKDAY($E275,2)</f>
        <v>4</v>
      </c>
      <c r="V275" s="46" t="str">
        <f aca="false">INDEX(Lists!$F$2:$F$8,$U275)</f>
        <v>Thursday</v>
      </c>
      <c r="W275" s="85" t="n">
        <f aca="false">($G275+$H275)-($E275+$F275)</f>
        <v>10.5942708333333</v>
      </c>
      <c r="X275" s="46" t="str">
        <f aca="false">LOOKUP($M275,Lists!$G$2:$G$5,Lists!$H$2:$H$5)</f>
        <v>₹1,500 - 2,000</v>
      </c>
      <c r="Y275" s="46" t="str">
        <f aca="false">LOOKUP($W275,Lists!$I$2:$I$7,Lists!$J$2:$J$7)</f>
        <v>Over 10 days</v>
      </c>
    </row>
    <row r="276" customFormat="false" ht="15" hidden="false" customHeight="false" outlineLevel="0" collapsed="false">
      <c r="A276" s="7" t="n">
        <v>275</v>
      </c>
      <c r="B276" s="7" t="s">
        <v>194</v>
      </c>
      <c r="C276" s="7" t="n">
        <v>29</v>
      </c>
      <c r="D276" s="7" t="n">
        <v>1</v>
      </c>
      <c r="E276" s="77" t="n">
        <v>44987</v>
      </c>
      <c r="F276" s="78" t="n">
        <v>0.176238425925926</v>
      </c>
      <c r="G276" s="77" t="n">
        <v>44990</v>
      </c>
      <c r="H276" s="78" t="n">
        <v>0.0539236111111111</v>
      </c>
      <c r="I276" s="7" t="s">
        <v>544</v>
      </c>
      <c r="J276" s="7" t="s">
        <v>33</v>
      </c>
      <c r="K276" s="79" t="str">
        <f aca="false">INDEX(Products!$B$2:$B$71,MATCH($C276,Products!$A$2:$A$71,0))</f>
        <v>In Set</v>
      </c>
      <c r="L276" s="79" t="str">
        <f aca="false">INDEX(Products!$C$2:$C$71,MATCH($C276,Products!$A$2:$A$71,0))</f>
        <v>Colors</v>
      </c>
      <c r="M276" s="80" t="n">
        <f aca="false">INDEX(Products!$D$2:$D$71,MATCH($C276,Products!$A$2:$A$71,0))</f>
        <v>1252</v>
      </c>
      <c r="N276" s="80" t="n">
        <f aca="false">$D276*$M276</f>
        <v>1252</v>
      </c>
      <c r="O276" s="79" t="str">
        <f aca="false">INDEX(Customers!$C$2:$C$101,MATCH($B276,Customers!$A$2:$A$101,0))</f>
        <v>Noida</v>
      </c>
      <c r="P276" s="79" t="str">
        <f aca="false">INDEX(Customers!$F$2:$F$101,MATCH($B276,Customers!$A$2:$A$101,0))</f>
        <v>Female</v>
      </c>
      <c r="Q276" s="79" t="str">
        <f aca="false">INDEX(Customers!$B$2:$B$101,MATCH($B276,Customers!$A$2:$A$101,0))</f>
        <v>Hridaan Rajagopalan</v>
      </c>
      <c r="R276" s="79" t="n">
        <f aca="false">MONTH($E276)</f>
        <v>3</v>
      </c>
      <c r="S276" s="79" t="str">
        <f aca="false">INDEX(Lists!$B$2:$B$13,$R276)</f>
        <v>March</v>
      </c>
      <c r="T276" s="79" t="n">
        <f aca="false">HOUR($F276)</f>
        <v>4</v>
      </c>
      <c r="U276" s="79" t="n">
        <f aca="false">WEEKDAY($E276,2)</f>
        <v>4</v>
      </c>
      <c r="V276" s="79" t="str">
        <f aca="false">INDEX(Lists!$F$2:$F$8,$U276)</f>
        <v>Thursday</v>
      </c>
      <c r="W276" s="81" t="n">
        <f aca="false">($G276+$H276)-($E276+$F276)</f>
        <v>2.87768518518519</v>
      </c>
      <c r="X276" s="79" t="str">
        <f aca="false">LOOKUP($M276,Lists!$G$2:$G$5,Lists!$H$2:$H$5)</f>
        <v>₹1,000 - 1,499</v>
      </c>
      <c r="Y276" s="79" t="str">
        <f aca="false">LOOKUP($W276,Lists!$I$2:$I$7,Lists!$J$2:$J$7)</f>
        <v>2 - 4 days</v>
      </c>
    </row>
    <row r="277" customFormat="false" ht="15" hidden="false" customHeight="false" outlineLevel="0" collapsed="false">
      <c r="A277" s="2" t="n">
        <v>276</v>
      </c>
      <c r="B277" s="2" t="s">
        <v>297</v>
      </c>
      <c r="C277" s="2" t="n">
        <v>15</v>
      </c>
      <c r="D277" s="2" t="n">
        <v>2</v>
      </c>
      <c r="E277" s="82" t="n">
        <v>45074</v>
      </c>
      <c r="F277" s="83" t="n">
        <v>0.0653472222222222</v>
      </c>
      <c r="G277" s="82" t="n">
        <v>45078</v>
      </c>
      <c r="H277" s="83" t="n">
        <v>0.295520833333333</v>
      </c>
      <c r="I277" s="2" t="s">
        <v>498</v>
      </c>
      <c r="J277" s="2" t="s">
        <v>168</v>
      </c>
      <c r="K277" s="46" t="str">
        <f aca="false">INDEX(Products!$B$2:$B$71,MATCH($C277,Products!$A$2:$A$71,0))</f>
        <v>Repudiandae Box</v>
      </c>
      <c r="L277" s="46" t="str">
        <f aca="false">INDEX(Products!$C$2:$C$71,MATCH($C277,Products!$A$2:$A$71,0))</f>
        <v>Raksha Bandhan</v>
      </c>
      <c r="M277" s="84" t="n">
        <f aca="false">INDEX(Products!$D$2:$D$71,MATCH($C277,Products!$A$2:$A$71,0))</f>
        <v>1488</v>
      </c>
      <c r="N277" s="84" t="n">
        <f aca="false">$D277*$M277</f>
        <v>2976</v>
      </c>
      <c r="O277" s="46" t="str">
        <f aca="false">INDEX(Customers!$C$2:$C$101,MATCH($B277,Customers!$A$2:$A$101,0))</f>
        <v>North Dumdum</v>
      </c>
      <c r="P277" s="46" t="str">
        <f aca="false">INDEX(Customers!$F$2:$F$101,MATCH($B277,Customers!$A$2:$A$101,0))</f>
        <v>Male</v>
      </c>
      <c r="Q277" s="46" t="str">
        <f aca="false">INDEX(Customers!$B$2:$B$101,MATCH($B277,Customers!$A$2:$A$101,0))</f>
        <v>Badal Vora</v>
      </c>
      <c r="R277" s="46" t="n">
        <f aca="false">MONTH($E277)</f>
        <v>5</v>
      </c>
      <c r="S277" s="46" t="str">
        <f aca="false">INDEX(Lists!$B$2:$B$13,$R277)</f>
        <v>May</v>
      </c>
      <c r="T277" s="46" t="n">
        <f aca="false">HOUR($F277)</f>
        <v>1</v>
      </c>
      <c r="U277" s="46" t="n">
        <f aca="false">WEEKDAY($E277,2)</f>
        <v>7</v>
      </c>
      <c r="V277" s="46" t="str">
        <f aca="false">INDEX(Lists!$F$2:$F$8,$U277)</f>
        <v>Sunday</v>
      </c>
      <c r="W277" s="85" t="n">
        <f aca="false">($G277+$H277)-($E277+$F277)</f>
        <v>4.23017361111111</v>
      </c>
      <c r="X277" s="46" t="str">
        <f aca="false">LOOKUP($M277,Lists!$G$2:$G$5,Lists!$H$2:$H$5)</f>
        <v>₹1,000 - 1,499</v>
      </c>
      <c r="Y277" s="46" t="str">
        <f aca="false">LOOKUP($W277,Lists!$I$2:$I$7,Lists!$J$2:$J$7)</f>
        <v>4 - 6 days</v>
      </c>
    </row>
    <row r="278" customFormat="false" ht="15" hidden="false" customHeight="false" outlineLevel="0" collapsed="false">
      <c r="A278" s="7" t="n">
        <v>277</v>
      </c>
      <c r="B278" s="7" t="s">
        <v>288</v>
      </c>
      <c r="C278" s="7" t="n">
        <v>34</v>
      </c>
      <c r="D278" s="7" t="n">
        <v>5</v>
      </c>
      <c r="E278" s="77" t="n">
        <v>45161</v>
      </c>
      <c r="F278" s="78" t="n">
        <v>0.803240740740741</v>
      </c>
      <c r="G278" s="77" t="n">
        <v>45167</v>
      </c>
      <c r="H278" s="78" t="n">
        <v>0.659930555555556</v>
      </c>
      <c r="I278" s="7" t="s">
        <v>241</v>
      </c>
      <c r="J278" s="7" t="s">
        <v>40</v>
      </c>
      <c r="K278" s="79" t="str">
        <f aca="false">INDEX(Products!$B$2:$B$71,MATCH($C278,Products!$A$2:$A$71,0))</f>
        <v>Placeat Pack</v>
      </c>
      <c r="L278" s="79" t="str">
        <f aca="false">INDEX(Products!$C$2:$C$71,MATCH($C278,Products!$A$2:$A$71,0))</f>
        <v>Soft Toys</v>
      </c>
      <c r="M278" s="80" t="n">
        <f aca="false">INDEX(Products!$D$2:$D$71,MATCH($C278,Products!$A$2:$A$71,0))</f>
        <v>1335</v>
      </c>
      <c r="N278" s="80" t="n">
        <f aca="false">$D278*$M278</f>
        <v>6675</v>
      </c>
      <c r="O278" s="79" t="str">
        <f aca="false">INDEX(Customers!$C$2:$C$101,MATCH($B278,Customers!$A$2:$A$101,0))</f>
        <v>Nagpur</v>
      </c>
      <c r="P278" s="79" t="str">
        <f aca="false">INDEX(Customers!$F$2:$F$101,MATCH($B278,Customers!$A$2:$A$101,0))</f>
        <v>Male</v>
      </c>
      <c r="Q278" s="79" t="str">
        <f aca="false">INDEX(Customers!$B$2:$B$101,MATCH($B278,Customers!$A$2:$A$101,0))</f>
        <v>Inaaya  Sarraf</v>
      </c>
      <c r="R278" s="79" t="n">
        <f aca="false">MONTH($E278)</f>
        <v>8</v>
      </c>
      <c r="S278" s="79" t="str">
        <f aca="false">INDEX(Lists!$B$2:$B$13,$R278)</f>
        <v>August</v>
      </c>
      <c r="T278" s="79" t="n">
        <f aca="false">HOUR($F278)</f>
        <v>19</v>
      </c>
      <c r="U278" s="79" t="n">
        <f aca="false">WEEKDAY($E278,2)</f>
        <v>3</v>
      </c>
      <c r="V278" s="79" t="str">
        <f aca="false">INDEX(Lists!$F$2:$F$8,$U278)</f>
        <v>Wednesday</v>
      </c>
      <c r="W278" s="81" t="n">
        <f aca="false">($G278+$H278)-($E278+$F278)</f>
        <v>5.85668981481482</v>
      </c>
      <c r="X278" s="79" t="str">
        <f aca="false">LOOKUP($M278,Lists!$G$2:$G$5,Lists!$H$2:$H$5)</f>
        <v>₹1,000 - 1,499</v>
      </c>
      <c r="Y278" s="79" t="str">
        <f aca="false">LOOKUP($W278,Lists!$I$2:$I$7,Lists!$J$2:$J$7)</f>
        <v>4 - 6 days</v>
      </c>
    </row>
    <row r="279" customFormat="false" ht="15" hidden="false" customHeight="false" outlineLevel="0" collapsed="false">
      <c r="A279" s="2" t="n">
        <v>278</v>
      </c>
      <c r="B279" s="2" t="s">
        <v>236</v>
      </c>
      <c r="C279" s="2" t="n">
        <v>1</v>
      </c>
      <c r="D279" s="2" t="n">
        <v>2</v>
      </c>
      <c r="E279" s="82" t="n">
        <v>45097</v>
      </c>
      <c r="F279" s="83" t="n">
        <v>0.981851851851852</v>
      </c>
      <c r="G279" s="82" t="n">
        <v>45101</v>
      </c>
      <c r="H279" s="83" t="n">
        <v>0.238009259259259</v>
      </c>
      <c r="I279" s="2" t="s">
        <v>193</v>
      </c>
      <c r="J279" s="2" t="s">
        <v>165</v>
      </c>
      <c r="K279" s="46" t="str">
        <f aca="false">INDEX(Products!$B$2:$B$71,MATCH($C279,Products!$A$2:$A$71,0))</f>
        <v>Magnam Set</v>
      </c>
      <c r="L279" s="46" t="str">
        <f aca="false">INDEX(Products!$C$2:$C$71,MATCH($C279,Products!$A$2:$A$71,0))</f>
        <v>Soft Toys</v>
      </c>
      <c r="M279" s="84" t="n">
        <f aca="false">INDEX(Products!$D$2:$D$71,MATCH($C279,Products!$A$2:$A$71,0))</f>
        <v>1935</v>
      </c>
      <c r="N279" s="84" t="n">
        <f aca="false">$D279*$M279</f>
        <v>3870</v>
      </c>
      <c r="O279" s="46" t="str">
        <f aca="false">INDEX(Customers!$C$2:$C$101,MATCH($B279,Customers!$A$2:$A$101,0))</f>
        <v>Agra</v>
      </c>
      <c r="P279" s="46" t="str">
        <f aca="false">INDEX(Customers!$F$2:$F$101,MATCH($B279,Customers!$A$2:$A$101,0))</f>
        <v>Male</v>
      </c>
      <c r="Q279" s="46" t="str">
        <f aca="false">INDEX(Customers!$B$2:$B$101,MATCH($B279,Customers!$A$2:$A$101,0))</f>
        <v>Seher Mann</v>
      </c>
      <c r="R279" s="46" t="n">
        <f aca="false">MONTH($E279)</f>
        <v>6</v>
      </c>
      <c r="S279" s="46" t="str">
        <f aca="false">INDEX(Lists!$B$2:$B$13,$R279)</f>
        <v>June</v>
      </c>
      <c r="T279" s="46" t="n">
        <f aca="false">HOUR($F279)</f>
        <v>23</v>
      </c>
      <c r="U279" s="46" t="n">
        <f aca="false">WEEKDAY($E279,2)</f>
        <v>2</v>
      </c>
      <c r="V279" s="46" t="str">
        <f aca="false">INDEX(Lists!$F$2:$F$8,$U279)</f>
        <v>Tuesday</v>
      </c>
      <c r="W279" s="85" t="n">
        <f aca="false">($G279+$H279)-($E279+$F279)</f>
        <v>3.25615740740741</v>
      </c>
      <c r="X279" s="46" t="str">
        <f aca="false">LOOKUP($M279,Lists!$G$2:$G$5,Lists!$H$2:$H$5)</f>
        <v>₹1,500 - 2,000</v>
      </c>
      <c r="Y279" s="46" t="str">
        <f aca="false">LOOKUP($W279,Lists!$I$2:$I$7,Lists!$J$2:$J$7)</f>
        <v>2 - 4 days</v>
      </c>
    </row>
    <row r="280" customFormat="false" ht="15" hidden="false" customHeight="false" outlineLevel="0" collapsed="false">
      <c r="A280" s="7" t="n">
        <v>279</v>
      </c>
      <c r="B280" s="7" t="s">
        <v>303</v>
      </c>
      <c r="C280" s="7" t="n">
        <v>23</v>
      </c>
      <c r="D280" s="7" t="n">
        <v>4</v>
      </c>
      <c r="E280" s="77" t="n">
        <v>45254</v>
      </c>
      <c r="F280" s="78" t="n">
        <v>0.38525462962963</v>
      </c>
      <c r="G280" s="77" t="n">
        <v>45256</v>
      </c>
      <c r="H280" s="78" t="n">
        <v>0.744016203703704</v>
      </c>
      <c r="I280" s="7" t="s">
        <v>310</v>
      </c>
      <c r="J280" s="7" t="s">
        <v>168</v>
      </c>
      <c r="K280" s="79" t="str">
        <f aca="false">INDEX(Products!$B$2:$B$71,MATCH($C280,Products!$A$2:$A$71,0))</f>
        <v>Dignissimos Pack</v>
      </c>
      <c r="L280" s="79" t="str">
        <f aca="false">INDEX(Products!$C$2:$C$71,MATCH($C280,Products!$A$2:$A$71,0))</f>
        <v>Sweets</v>
      </c>
      <c r="M280" s="80" t="n">
        <f aca="false">INDEX(Products!$D$2:$D$71,MATCH($C280,Products!$A$2:$A$71,0))</f>
        <v>1098</v>
      </c>
      <c r="N280" s="80" t="n">
        <f aca="false">$D280*$M280</f>
        <v>4392</v>
      </c>
      <c r="O280" s="79" t="str">
        <f aca="false">INDEX(Customers!$C$2:$C$101,MATCH($B280,Customers!$A$2:$A$101,0))</f>
        <v>Anand</v>
      </c>
      <c r="P280" s="79" t="str">
        <f aca="false">INDEX(Customers!$F$2:$F$101,MATCH($B280,Customers!$A$2:$A$101,0))</f>
        <v>Male</v>
      </c>
      <c r="Q280" s="79" t="str">
        <f aca="false">INDEX(Customers!$B$2:$B$101,MATCH($B280,Customers!$A$2:$A$101,0))</f>
        <v>Eva Sankaran</v>
      </c>
      <c r="R280" s="79" t="n">
        <f aca="false">MONTH($E280)</f>
        <v>11</v>
      </c>
      <c r="S280" s="79" t="str">
        <f aca="false">INDEX(Lists!$B$2:$B$13,$R280)</f>
        <v>November</v>
      </c>
      <c r="T280" s="79" t="n">
        <f aca="false">HOUR($F280)</f>
        <v>9</v>
      </c>
      <c r="U280" s="79" t="n">
        <f aca="false">WEEKDAY($E280,2)</f>
        <v>5</v>
      </c>
      <c r="V280" s="79" t="str">
        <f aca="false">INDEX(Lists!$F$2:$F$8,$U280)</f>
        <v>Friday</v>
      </c>
      <c r="W280" s="81" t="n">
        <f aca="false">($G280+$H280)-($E280+$F280)</f>
        <v>2.35876157407407</v>
      </c>
      <c r="X280" s="79" t="str">
        <f aca="false">LOOKUP($M280,Lists!$G$2:$G$5,Lists!$H$2:$H$5)</f>
        <v>₹1,000 - 1,499</v>
      </c>
      <c r="Y280" s="79" t="str">
        <f aca="false">LOOKUP($W280,Lists!$I$2:$I$7,Lists!$J$2:$J$7)</f>
        <v>2 - 4 days</v>
      </c>
    </row>
    <row r="281" customFormat="false" ht="15" hidden="false" customHeight="false" outlineLevel="0" collapsed="false">
      <c r="A281" s="2" t="n">
        <v>280</v>
      </c>
      <c r="B281" s="2" t="s">
        <v>130</v>
      </c>
      <c r="C281" s="2" t="n">
        <v>19</v>
      </c>
      <c r="D281" s="2" t="n">
        <v>3</v>
      </c>
      <c r="E281" s="82" t="n">
        <v>44964</v>
      </c>
      <c r="F281" s="83" t="n">
        <v>0.73943287037037</v>
      </c>
      <c r="G281" s="82" t="n">
        <v>44969</v>
      </c>
      <c r="H281" s="83" t="n">
        <v>0.688252314814815</v>
      </c>
      <c r="I281" s="2" t="s">
        <v>482</v>
      </c>
      <c r="J281" s="2" t="s">
        <v>179</v>
      </c>
      <c r="K281" s="46" t="str">
        <f aca="false">INDEX(Products!$B$2:$B$71,MATCH($C281,Products!$A$2:$A$71,0))</f>
        <v>Iure Gift</v>
      </c>
      <c r="L281" s="46" t="str">
        <f aca="false">INDEX(Products!$C$2:$C$71,MATCH($C281,Products!$A$2:$A$71,0))</f>
        <v>Mugs</v>
      </c>
      <c r="M281" s="84" t="n">
        <f aca="false">INDEX(Products!$D$2:$D$71,MATCH($C281,Products!$A$2:$A$71,0))</f>
        <v>1234</v>
      </c>
      <c r="N281" s="84" t="n">
        <f aca="false">$D281*$M281</f>
        <v>3702</v>
      </c>
      <c r="O281" s="46" t="str">
        <f aca="false">INDEX(Customers!$C$2:$C$101,MATCH($B281,Customers!$A$2:$A$101,0))</f>
        <v>Bilaspur</v>
      </c>
      <c r="P281" s="46" t="str">
        <f aca="false">INDEX(Customers!$F$2:$F$101,MATCH($B281,Customers!$A$2:$A$101,0))</f>
        <v>Male</v>
      </c>
      <c r="Q281" s="46" t="str">
        <f aca="false">INDEX(Customers!$B$2:$B$101,MATCH($B281,Customers!$A$2:$A$101,0))</f>
        <v>Jayesh Lanka</v>
      </c>
      <c r="R281" s="46" t="n">
        <f aca="false">MONTH($E281)</f>
        <v>2</v>
      </c>
      <c r="S281" s="46" t="str">
        <f aca="false">INDEX(Lists!$B$2:$B$13,$R281)</f>
        <v>February</v>
      </c>
      <c r="T281" s="46" t="n">
        <f aca="false">HOUR($F281)</f>
        <v>17</v>
      </c>
      <c r="U281" s="46" t="n">
        <f aca="false">WEEKDAY($E281,2)</f>
        <v>2</v>
      </c>
      <c r="V281" s="46" t="str">
        <f aca="false">INDEX(Lists!$F$2:$F$8,$U281)</f>
        <v>Tuesday</v>
      </c>
      <c r="W281" s="85" t="n">
        <f aca="false">($G281+$H281)-($E281+$F281)</f>
        <v>4.94881944444444</v>
      </c>
      <c r="X281" s="46" t="str">
        <f aca="false">LOOKUP($M281,Lists!$G$2:$G$5,Lists!$H$2:$H$5)</f>
        <v>₹1,000 - 1,499</v>
      </c>
      <c r="Y281" s="46" t="str">
        <f aca="false">LOOKUP($W281,Lists!$I$2:$I$7,Lists!$J$2:$J$7)</f>
        <v>4 - 6 days</v>
      </c>
    </row>
    <row r="282" customFormat="false" ht="15" hidden="false" customHeight="false" outlineLevel="0" collapsed="false">
      <c r="A282" s="7" t="n">
        <v>281</v>
      </c>
      <c r="B282" s="7" t="s">
        <v>145</v>
      </c>
      <c r="C282" s="7" t="n">
        <v>15</v>
      </c>
      <c r="D282" s="7" t="n">
        <v>3</v>
      </c>
      <c r="E282" s="77" t="n">
        <v>45190</v>
      </c>
      <c r="F282" s="78" t="n">
        <v>0.858877314814815</v>
      </c>
      <c r="G282" s="77" t="n">
        <v>45194</v>
      </c>
      <c r="H282" s="78" t="n">
        <v>0.435578703703704</v>
      </c>
      <c r="I282" s="7" t="s">
        <v>509</v>
      </c>
      <c r="J282" s="7" t="s">
        <v>168</v>
      </c>
      <c r="K282" s="79" t="str">
        <f aca="false">INDEX(Products!$B$2:$B$71,MATCH($C282,Products!$A$2:$A$71,0))</f>
        <v>Repudiandae Box</v>
      </c>
      <c r="L282" s="79" t="str">
        <f aca="false">INDEX(Products!$C$2:$C$71,MATCH($C282,Products!$A$2:$A$71,0))</f>
        <v>Raksha Bandhan</v>
      </c>
      <c r="M282" s="80" t="n">
        <f aca="false">INDEX(Products!$D$2:$D$71,MATCH($C282,Products!$A$2:$A$71,0))</f>
        <v>1488</v>
      </c>
      <c r="N282" s="80" t="n">
        <f aca="false">$D282*$M282</f>
        <v>4464</v>
      </c>
      <c r="O282" s="79" t="str">
        <f aca="false">INDEX(Customers!$C$2:$C$101,MATCH($B282,Customers!$A$2:$A$101,0))</f>
        <v>Chinsurah</v>
      </c>
      <c r="P282" s="79" t="str">
        <f aca="false">INDEX(Customers!$F$2:$F$101,MATCH($B282,Customers!$A$2:$A$101,0))</f>
        <v>Female</v>
      </c>
      <c r="Q282" s="79" t="str">
        <f aca="false">INDEX(Customers!$B$2:$B$101,MATCH($B282,Customers!$A$2:$A$101,0))</f>
        <v>Veer Ray</v>
      </c>
      <c r="R282" s="79" t="n">
        <f aca="false">MONTH($E282)</f>
        <v>9</v>
      </c>
      <c r="S282" s="79" t="str">
        <f aca="false">INDEX(Lists!$B$2:$B$13,$R282)</f>
        <v>September</v>
      </c>
      <c r="T282" s="79" t="n">
        <f aca="false">HOUR($F282)</f>
        <v>20</v>
      </c>
      <c r="U282" s="79" t="n">
        <f aca="false">WEEKDAY($E282,2)</f>
        <v>4</v>
      </c>
      <c r="V282" s="79" t="str">
        <f aca="false">INDEX(Lists!$F$2:$F$8,$U282)</f>
        <v>Thursday</v>
      </c>
      <c r="W282" s="81" t="n">
        <f aca="false">($G282+$H282)-($E282+$F282)</f>
        <v>3.57670138888889</v>
      </c>
      <c r="X282" s="79" t="str">
        <f aca="false">LOOKUP($M282,Lists!$G$2:$G$5,Lists!$H$2:$H$5)</f>
        <v>₹1,000 - 1,499</v>
      </c>
      <c r="Y282" s="79" t="str">
        <f aca="false">LOOKUP($W282,Lists!$I$2:$I$7,Lists!$J$2:$J$7)</f>
        <v>2 - 4 days</v>
      </c>
    </row>
    <row r="283" customFormat="false" ht="15" hidden="false" customHeight="false" outlineLevel="0" collapsed="false">
      <c r="A283" s="2" t="n">
        <v>282</v>
      </c>
      <c r="B283" s="2" t="s">
        <v>372</v>
      </c>
      <c r="C283" s="2" t="n">
        <v>41</v>
      </c>
      <c r="D283" s="2" t="n">
        <v>2</v>
      </c>
      <c r="E283" s="82" t="n">
        <v>45241</v>
      </c>
      <c r="F283" s="83" t="n">
        <v>0.431122685185185</v>
      </c>
      <c r="G283" s="82" t="n">
        <v>45249</v>
      </c>
      <c r="H283" s="83" t="n">
        <v>0.924768518518519</v>
      </c>
      <c r="I283" s="2" t="s">
        <v>482</v>
      </c>
      <c r="J283" s="2" t="s">
        <v>32</v>
      </c>
      <c r="K283" s="46" t="str">
        <f aca="false">INDEX(Products!$B$2:$B$71,MATCH($C283,Products!$A$2:$A$71,0))</f>
        <v>Aut Box</v>
      </c>
      <c r="L283" s="46" t="str">
        <f aca="false">INDEX(Products!$C$2:$C$71,MATCH($C283,Products!$A$2:$A$71,0))</f>
        <v>Sweets</v>
      </c>
      <c r="M283" s="84" t="n">
        <f aca="false">INDEX(Products!$D$2:$D$71,MATCH($C283,Products!$A$2:$A$71,0))</f>
        <v>1977</v>
      </c>
      <c r="N283" s="84" t="n">
        <f aca="false">$D283*$M283</f>
        <v>3954</v>
      </c>
      <c r="O283" s="46" t="str">
        <f aca="false">INDEX(Customers!$C$2:$C$101,MATCH($B283,Customers!$A$2:$A$101,0))</f>
        <v>Dibrugarh</v>
      </c>
      <c r="P283" s="46" t="str">
        <f aca="false">INDEX(Customers!$F$2:$F$101,MATCH($B283,Customers!$A$2:$A$101,0))</f>
        <v>Male</v>
      </c>
      <c r="Q283" s="46" t="str">
        <f aca="false">INDEX(Customers!$B$2:$B$101,MATCH($B283,Customers!$A$2:$A$101,0))</f>
        <v>Zoya Mani</v>
      </c>
      <c r="R283" s="46" t="n">
        <f aca="false">MONTH($E283)</f>
        <v>11</v>
      </c>
      <c r="S283" s="46" t="str">
        <f aca="false">INDEX(Lists!$B$2:$B$13,$R283)</f>
        <v>November</v>
      </c>
      <c r="T283" s="46" t="n">
        <f aca="false">HOUR($F283)</f>
        <v>10</v>
      </c>
      <c r="U283" s="46" t="n">
        <f aca="false">WEEKDAY($E283,2)</f>
        <v>6</v>
      </c>
      <c r="V283" s="46" t="str">
        <f aca="false">INDEX(Lists!$F$2:$F$8,$U283)</f>
        <v>Saturday</v>
      </c>
      <c r="W283" s="85" t="n">
        <f aca="false">($G283+$H283)-($E283+$F283)</f>
        <v>8.49364583333333</v>
      </c>
      <c r="X283" s="46" t="str">
        <f aca="false">LOOKUP($M283,Lists!$G$2:$G$5,Lists!$H$2:$H$5)</f>
        <v>₹1,500 - 2,000</v>
      </c>
      <c r="Y283" s="46" t="str">
        <f aca="false">LOOKUP($W283,Lists!$I$2:$I$7,Lists!$J$2:$J$7)</f>
        <v>8 - 10 days</v>
      </c>
    </row>
    <row r="284" customFormat="false" ht="15" hidden="false" customHeight="false" outlineLevel="0" collapsed="false">
      <c r="A284" s="7" t="n">
        <v>283</v>
      </c>
      <c r="B284" s="7" t="s">
        <v>355</v>
      </c>
      <c r="C284" s="7" t="n">
        <v>23</v>
      </c>
      <c r="D284" s="7" t="n">
        <v>2</v>
      </c>
      <c r="E284" s="77" t="n">
        <v>45253</v>
      </c>
      <c r="F284" s="78" t="n">
        <v>0.119143518518519</v>
      </c>
      <c r="G284" s="77" t="n">
        <v>45260</v>
      </c>
      <c r="H284" s="78" t="n">
        <v>0.765046296296296</v>
      </c>
      <c r="I284" s="7" t="s">
        <v>362</v>
      </c>
      <c r="J284" s="7" t="s">
        <v>168</v>
      </c>
      <c r="K284" s="79" t="str">
        <f aca="false">INDEX(Products!$B$2:$B$71,MATCH($C284,Products!$A$2:$A$71,0))</f>
        <v>Dignissimos Pack</v>
      </c>
      <c r="L284" s="79" t="str">
        <f aca="false">INDEX(Products!$C$2:$C$71,MATCH($C284,Products!$A$2:$A$71,0))</f>
        <v>Sweets</v>
      </c>
      <c r="M284" s="80" t="n">
        <f aca="false">INDEX(Products!$D$2:$D$71,MATCH($C284,Products!$A$2:$A$71,0))</f>
        <v>1098</v>
      </c>
      <c r="N284" s="80" t="n">
        <f aca="false">$D284*$M284</f>
        <v>2196</v>
      </c>
      <c r="O284" s="79" t="str">
        <f aca="false">INDEX(Customers!$C$2:$C$101,MATCH($B284,Customers!$A$2:$A$101,0))</f>
        <v>Purnia</v>
      </c>
      <c r="P284" s="79" t="str">
        <f aca="false">INDEX(Customers!$F$2:$F$101,MATCH($B284,Customers!$A$2:$A$101,0))</f>
        <v>Female</v>
      </c>
      <c r="Q284" s="79" t="str">
        <f aca="false">INDEX(Customers!$B$2:$B$101,MATCH($B284,Customers!$A$2:$A$101,0))</f>
        <v>Ivana Amble</v>
      </c>
      <c r="R284" s="79" t="n">
        <f aca="false">MONTH($E284)</f>
        <v>11</v>
      </c>
      <c r="S284" s="79" t="str">
        <f aca="false">INDEX(Lists!$B$2:$B$13,$R284)</f>
        <v>November</v>
      </c>
      <c r="T284" s="79" t="n">
        <f aca="false">HOUR($F284)</f>
        <v>2</v>
      </c>
      <c r="U284" s="79" t="n">
        <f aca="false">WEEKDAY($E284,2)</f>
        <v>4</v>
      </c>
      <c r="V284" s="79" t="str">
        <f aca="false">INDEX(Lists!$F$2:$F$8,$U284)</f>
        <v>Thursday</v>
      </c>
      <c r="W284" s="81" t="n">
        <f aca="false">($G284+$H284)-($E284+$F284)</f>
        <v>7.64590277777778</v>
      </c>
      <c r="X284" s="79" t="str">
        <f aca="false">LOOKUP($M284,Lists!$G$2:$G$5,Lists!$H$2:$H$5)</f>
        <v>₹1,000 - 1,499</v>
      </c>
      <c r="Y284" s="79" t="str">
        <f aca="false">LOOKUP($W284,Lists!$I$2:$I$7,Lists!$J$2:$J$7)</f>
        <v>6 - 8 days</v>
      </c>
    </row>
    <row r="285" customFormat="false" ht="15" hidden="false" customHeight="false" outlineLevel="0" collapsed="false">
      <c r="A285" s="2" t="n">
        <v>284</v>
      </c>
      <c r="B285" s="2" t="s">
        <v>275</v>
      </c>
      <c r="C285" s="2" t="n">
        <v>17</v>
      </c>
      <c r="D285" s="2" t="n">
        <v>1</v>
      </c>
      <c r="E285" s="82" t="n">
        <v>45148</v>
      </c>
      <c r="F285" s="83" t="n">
        <v>0.675740740740741</v>
      </c>
      <c r="G285" s="82" t="n">
        <v>45154</v>
      </c>
      <c r="H285" s="83" t="n">
        <v>0.473576388888889</v>
      </c>
      <c r="I285" s="2" t="s">
        <v>187</v>
      </c>
      <c r="J285" s="2" t="s">
        <v>168</v>
      </c>
      <c r="K285" s="46" t="str">
        <f aca="false">INDEX(Products!$B$2:$B$71,MATCH($C285,Products!$A$2:$A$71,0))</f>
        <v>Delectus Gift</v>
      </c>
      <c r="L285" s="46" t="str">
        <f aca="false">INDEX(Products!$C$2:$C$71,MATCH($C285,Products!$A$2:$A$71,0))</f>
        <v>Soft Toys</v>
      </c>
      <c r="M285" s="84" t="n">
        <f aca="false">INDEX(Products!$D$2:$D$71,MATCH($C285,Products!$A$2:$A$71,0))</f>
        <v>1899</v>
      </c>
      <c r="N285" s="84" t="n">
        <f aca="false">$D285*$M285</f>
        <v>1899</v>
      </c>
      <c r="O285" s="46" t="str">
        <f aca="false">INDEX(Customers!$C$2:$C$101,MATCH($B285,Customers!$A$2:$A$101,0))</f>
        <v>Delhi</v>
      </c>
      <c r="P285" s="46" t="str">
        <f aca="false">INDEX(Customers!$F$2:$F$101,MATCH($B285,Customers!$A$2:$A$101,0))</f>
        <v>Female</v>
      </c>
      <c r="Q285" s="46" t="str">
        <f aca="false">INDEX(Customers!$B$2:$B$101,MATCH($B285,Customers!$A$2:$A$101,0))</f>
        <v>Zain Hegde</v>
      </c>
      <c r="R285" s="46" t="n">
        <f aca="false">MONTH($E285)</f>
        <v>8</v>
      </c>
      <c r="S285" s="46" t="str">
        <f aca="false">INDEX(Lists!$B$2:$B$13,$R285)</f>
        <v>August</v>
      </c>
      <c r="T285" s="46" t="n">
        <f aca="false">HOUR($F285)</f>
        <v>16</v>
      </c>
      <c r="U285" s="46" t="n">
        <f aca="false">WEEKDAY($E285,2)</f>
        <v>4</v>
      </c>
      <c r="V285" s="46" t="str">
        <f aca="false">INDEX(Lists!$F$2:$F$8,$U285)</f>
        <v>Thursday</v>
      </c>
      <c r="W285" s="85" t="n">
        <f aca="false">($G285+$H285)-($E285+$F285)</f>
        <v>5.79783564814815</v>
      </c>
      <c r="X285" s="46" t="str">
        <f aca="false">LOOKUP($M285,Lists!$G$2:$G$5,Lists!$H$2:$H$5)</f>
        <v>₹1,500 - 2,000</v>
      </c>
      <c r="Y285" s="46" t="str">
        <f aca="false">LOOKUP($W285,Lists!$I$2:$I$7,Lists!$J$2:$J$7)</f>
        <v>4 - 6 days</v>
      </c>
    </row>
    <row r="286" customFormat="false" ht="15" hidden="false" customHeight="false" outlineLevel="0" collapsed="false">
      <c r="A286" s="7" t="n">
        <v>285</v>
      </c>
      <c r="B286" s="7" t="s">
        <v>344</v>
      </c>
      <c r="C286" s="7" t="n">
        <v>7</v>
      </c>
      <c r="D286" s="7" t="n">
        <v>5</v>
      </c>
      <c r="E286" s="77" t="n">
        <v>44983</v>
      </c>
      <c r="F286" s="78" t="n">
        <v>0.726898148148148</v>
      </c>
      <c r="G286" s="77" t="n">
        <v>44986</v>
      </c>
      <c r="H286" s="78" t="n">
        <v>0.536342592592593</v>
      </c>
      <c r="I286" s="7" t="s">
        <v>592</v>
      </c>
      <c r="J286" s="7" t="s">
        <v>33</v>
      </c>
      <c r="K286" s="79" t="str">
        <f aca="false">INDEX(Products!$B$2:$B$71,MATCH($C286,Products!$A$2:$A$71,0))</f>
        <v>Quos Set</v>
      </c>
      <c r="L286" s="79" t="str">
        <f aca="false">INDEX(Products!$C$2:$C$71,MATCH($C286,Products!$A$2:$A$71,0))</f>
        <v>Soft Toys</v>
      </c>
      <c r="M286" s="80" t="n">
        <f aca="false">INDEX(Products!$D$2:$D$71,MATCH($C286,Products!$A$2:$A$71,0))</f>
        <v>409</v>
      </c>
      <c r="N286" s="80" t="n">
        <f aca="false">$D286*$M286</f>
        <v>2045</v>
      </c>
      <c r="O286" s="79" t="str">
        <f aca="false">INDEX(Customers!$C$2:$C$101,MATCH($B286,Customers!$A$2:$A$101,0))</f>
        <v>Ahmednagar</v>
      </c>
      <c r="P286" s="79" t="str">
        <f aca="false">INDEX(Customers!$F$2:$F$101,MATCH($B286,Customers!$A$2:$A$101,0))</f>
        <v>Female</v>
      </c>
      <c r="Q286" s="79" t="str">
        <f aca="false">INDEX(Customers!$B$2:$B$101,MATCH($B286,Customers!$A$2:$A$101,0))</f>
        <v>Anya Chaudhari</v>
      </c>
      <c r="R286" s="79" t="n">
        <f aca="false">MONTH($E286)</f>
        <v>2</v>
      </c>
      <c r="S286" s="79" t="str">
        <f aca="false">INDEX(Lists!$B$2:$B$13,$R286)</f>
        <v>February</v>
      </c>
      <c r="T286" s="79" t="n">
        <f aca="false">HOUR($F286)</f>
        <v>17</v>
      </c>
      <c r="U286" s="79" t="n">
        <f aca="false">WEEKDAY($E286,2)</f>
        <v>7</v>
      </c>
      <c r="V286" s="79" t="str">
        <f aca="false">INDEX(Lists!$F$2:$F$8,$U286)</f>
        <v>Sunday</v>
      </c>
      <c r="W286" s="81" t="n">
        <f aca="false">($G286+$H286)-($E286+$F286)</f>
        <v>2.80944444444444</v>
      </c>
      <c r="X286" s="79" t="str">
        <f aca="false">LOOKUP($M286,Lists!$G$2:$G$5,Lists!$H$2:$H$5)</f>
        <v>₹0 - 499</v>
      </c>
      <c r="Y286" s="79" t="str">
        <f aca="false">LOOKUP($W286,Lists!$I$2:$I$7,Lists!$J$2:$J$7)</f>
        <v>2 - 4 days</v>
      </c>
    </row>
    <row r="287" customFormat="false" ht="15" hidden="false" customHeight="false" outlineLevel="0" collapsed="false">
      <c r="A287" s="2" t="n">
        <v>286</v>
      </c>
      <c r="B287" s="2" t="s">
        <v>388</v>
      </c>
      <c r="C287" s="2" t="n">
        <v>50</v>
      </c>
      <c r="D287" s="2" t="n">
        <v>3</v>
      </c>
      <c r="E287" s="82" t="n">
        <v>44991</v>
      </c>
      <c r="F287" s="83" t="n">
        <v>0.837268518518519</v>
      </c>
      <c r="G287" s="82" t="n">
        <v>44997</v>
      </c>
      <c r="H287" s="83" t="n">
        <v>0.112118055555556</v>
      </c>
      <c r="I287" s="2" t="s">
        <v>483</v>
      </c>
      <c r="J287" s="2" t="s">
        <v>33</v>
      </c>
      <c r="K287" s="46" t="str">
        <f aca="false">INDEX(Products!$B$2:$B$71,MATCH($C287,Products!$A$2:$A$71,0))</f>
        <v>Eligendi Set</v>
      </c>
      <c r="L287" s="46" t="str">
        <f aca="false">INDEX(Products!$C$2:$C$71,MATCH($C287,Products!$A$2:$A$71,0))</f>
        <v>Plants</v>
      </c>
      <c r="M287" s="84" t="n">
        <f aca="false">INDEX(Products!$D$2:$D$71,MATCH($C287,Products!$A$2:$A$71,0))</f>
        <v>422</v>
      </c>
      <c r="N287" s="84" t="n">
        <f aca="false">$D287*$M287</f>
        <v>1266</v>
      </c>
      <c r="O287" s="46" t="str">
        <f aca="false">INDEX(Customers!$C$2:$C$101,MATCH($B287,Customers!$A$2:$A$101,0))</f>
        <v>Cuttack</v>
      </c>
      <c r="P287" s="46" t="str">
        <f aca="false">INDEX(Customers!$F$2:$F$101,MATCH($B287,Customers!$A$2:$A$101,0))</f>
        <v>Male</v>
      </c>
      <c r="Q287" s="46" t="str">
        <f aca="false">INDEX(Customers!$B$2:$B$101,MATCH($B287,Customers!$A$2:$A$101,0))</f>
        <v>Navya Golla</v>
      </c>
      <c r="R287" s="46" t="n">
        <f aca="false">MONTH($E287)</f>
        <v>3</v>
      </c>
      <c r="S287" s="46" t="str">
        <f aca="false">INDEX(Lists!$B$2:$B$13,$R287)</f>
        <v>March</v>
      </c>
      <c r="T287" s="46" t="n">
        <f aca="false">HOUR($F287)</f>
        <v>20</v>
      </c>
      <c r="U287" s="46" t="n">
        <f aca="false">WEEKDAY($E287,2)</f>
        <v>1</v>
      </c>
      <c r="V287" s="46" t="str">
        <f aca="false">INDEX(Lists!$F$2:$F$8,$U287)</f>
        <v>Monday</v>
      </c>
      <c r="W287" s="85" t="n">
        <f aca="false">($G287+$H287)-($E287+$F287)</f>
        <v>5.27484953703704</v>
      </c>
      <c r="X287" s="46" t="str">
        <f aca="false">LOOKUP($M287,Lists!$G$2:$G$5,Lists!$H$2:$H$5)</f>
        <v>₹0 - 499</v>
      </c>
      <c r="Y287" s="46" t="str">
        <f aca="false">LOOKUP($W287,Lists!$I$2:$I$7,Lists!$J$2:$J$7)</f>
        <v>4 - 6 days</v>
      </c>
    </row>
    <row r="288" customFormat="false" ht="15" hidden="false" customHeight="false" outlineLevel="0" collapsed="false">
      <c r="A288" s="7" t="n">
        <v>287</v>
      </c>
      <c r="B288" s="7" t="s">
        <v>154</v>
      </c>
      <c r="C288" s="7" t="n">
        <v>7</v>
      </c>
      <c r="D288" s="7" t="n">
        <v>5</v>
      </c>
      <c r="E288" s="77" t="n">
        <v>44988</v>
      </c>
      <c r="F288" s="78" t="n">
        <v>0.204212962962963</v>
      </c>
      <c r="G288" s="77" t="n">
        <v>44991</v>
      </c>
      <c r="H288" s="78" t="n">
        <v>0.652743055555556</v>
      </c>
      <c r="I288" s="7" t="s">
        <v>497</v>
      </c>
      <c r="J288" s="7" t="s">
        <v>33</v>
      </c>
      <c r="K288" s="79" t="str">
        <f aca="false">INDEX(Products!$B$2:$B$71,MATCH($C288,Products!$A$2:$A$71,0))</f>
        <v>Quos Set</v>
      </c>
      <c r="L288" s="79" t="str">
        <f aca="false">INDEX(Products!$C$2:$C$71,MATCH($C288,Products!$A$2:$A$71,0))</f>
        <v>Soft Toys</v>
      </c>
      <c r="M288" s="80" t="n">
        <f aca="false">INDEX(Products!$D$2:$D$71,MATCH($C288,Products!$A$2:$A$71,0))</f>
        <v>409</v>
      </c>
      <c r="N288" s="80" t="n">
        <f aca="false">$D288*$M288</f>
        <v>2045</v>
      </c>
      <c r="O288" s="79" t="str">
        <f aca="false">INDEX(Customers!$C$2:$C$101,MATCH($B288,Customers!$A$2:$A$101,0))</f>
        <v>Orai</v>
      </c>
      <c r="P288" s="79" t="str">
        <f aca="false">INDEX(Customers!$F$2:$F$101,MATCH($B288,Customers!$A$2:$A$101,0))</f>
        <v>Female</v>
      </c>
      <c r="Q288" s="79" t="str">
        <f aca="false">INDEX(Customers!$B$2:$B$101,MATCH($B288,Customers!$A$2:$A$101,0))</f>
        <v>Lagan Kapoor</v>
      </c>
      <c r="R288" s="79" t="n">
        <f aca="false">MONTH($E288)</f>
        <v>3</v>
      </c>
      <c r="S288" s="79" t="str">
        <f aca="false">INDEX(Lists!$B$2:$B$13,$R288)</f>
        <v>March</v>
      </c>
      <c r="T288" s="79" t="n">
        <f aca="false">HOUR($F288)</f>
        <v>4</v>
      </c>
      <c r="U288" s="79" t="n">
        <f aca="false">WEEKDAY($E288,2)</f>
        <v>5</v>
      </c>
      <c r="V288" s="79" t="str">
        <f aca="false">INDEX(Lists!$F$2:$F$8,$U288)</f>
        <v>Friday</v>
      </c>
      <c r="W288" s="81" t="n">
        <f aca="false">($G288+$H288)-($E288+$F288)</f>
        <v>3.44853009259259</v>
      </c>
      <c r="X288" s="79" t="str">
        <f aca="false">LOOKUP($M288,Lists!$G$2:$G$5,Lists!$H$2:$H$5)</f>
        <v>₹0 - 499</v>
      </c>
      <c r="Y288" s="79" t="str">
        <f aca="false">LOOKUP($W288,Lists!$I$2:$I$7,Lists!$J$2:$J$7)</f>
        <v>2 - 4 days</v>
      </c>
    </row>
    <row r="289" customFormat="false" ht="15" hidden="false" customHeight="false" outlineLevel="0" collapsed="false">
      <c r="A289" s="2" t="n">
        <v>288</v>
      </c>
      <c r="B289" s="2" t="s">
        <v>209</v>
      </c>
      <c r="C289" s="2" t="n">
        <v>34</v>
      </c>
      <c r="D289" s="2" t="n">
        <v>2</v>
      </c>
      <c r="E289" s="82" t="n">
        <v>45159</v>
      </c>
      <c r="F289" s="83" t="n">
        <v>0.665949074074074</v>
      </c>
      <c r="G289" s="82" t="n">
        <v>45161</v>
      </c>
      <c r="H289" s="83" t="n">
        <v>0.862916666666667</v>
      </c>
      <c r="I289" s="2" t="s">
        <v>193</v>
      </c>
      <c r="J289" s="2" t="s">
        <v>40</v>
      </c>
      <c r="K289" s="46" t="str">
        <f aca="false">INDEX(Products!$B$2:$B$71,MATCH($C289,Products!$A$2:$A$71,0))</f>
        <v>Placeat Pack</v>
      </c>
      <c r="L289" s="46" t="str">
        <f aca="false">INDEX(Products!$C$2:$C$71,MATCH($C289,Products!$A$2:$A$71,0))</f>
        <v>Soft Toys</v>
      </c>
      <c r="M289" s="84" t="n">
        <f aca="false">INDEX(Products!$D$2:$D$71,MATCH($C289,Products!$A$2:$A$71,0))</f>
        <v>1335</v>
      </c>
      <c r="N289" s="84" t="n">
        <f aca="false">$D289*$M289</f>
        <v>2670</v>
      </c>
      <c r="O289" s="46" t="str">
        <f aca="false">INDEX(Customers!$C$2:$C$101,MATCH($B289,Customers!$A$2:$A$101,0))</f>
        <v>Vellore</v>
      </c>
      <c r="P289" s="46" t="str">
        <f aca="false">INDEX(Customers!$F$2:$F$101,MATCH($B289,Customers!$A$2:$A$101,0))</f>
        <v>Male</v>
      </c>
      <c r="Q289" s="46" t="str">
        <f aca="false">INDEX(Customers!$B$2:$B$101,MATCH($B289,Customers!$A$2:$A$101,0))</f>
        <v>Ira Sarna</v>
      </c>
      <c r="R289" s="46" t="n">
        <f aca="false">MONTH($E289)</f>
        <v>8</v>
      </c>
      <c r="S289" s="46" t="str">
        <f aca="false">INDEX(Lists!$B$2:$B$13,$R289)</f>
        <v>August</v>
      </c>
      <c r="T289" s="46" t="n">
        <f aca="false">HOUR($F289)</f>
        <v>15</v>
      </c>
      <c r="U289" s="46" t="n">
        <f aca="false">WEEKDAY($E289,2)</f>
        <v>1</v>
      </c>
      <c r="V289" s="46" t="str">
        <f aca="false">INDEX(Lists!$F$2:$F$8,$U289)</f>
        <v>Monday</v>
      </c>
      <c r="W289" s="85" t="n">
        <f aca="false">($G289+$H289)-($E289+$F289)</f>
        <v>2.19696759259259</v>
      </c>
      <c r="X289" s="46" t="str">
        <f aca="false">LOOKUP($M289,Lists!$G$2:$G$5,Lists!$H$2:$H$5)</f>
        <v>₹1,000 - 1,499</v>
      </c>
      <c r="Y289" s="46" t="str">
        <f aca="false">LOOKUP($W289,Lists!$I$2:$I$7,Lists!$J$2:$J$7)</f>
        <v>2 - 4 days</v>
      </c>
    </row>
    <row r="290" customFormat="false" ht="15" hidden="false" customHeight="false" outlineLevel="0" collapsed="false">
      <c r="A290" s="7" t="n">
        <v>289</v>
      </c>
      <c r="B290" s="7" t="s">
        <v>172</v>
      </c>
      <c r="C290" s="7" t="n">
        <v>30</v>
      </c>
      <c r="D290" s="7" t="n">
        <v>4</v>
      </c>
      <c r="E290" s="77" t="n">
        <v>45167</v>
      </c>
      <c r="F290" s="78" t="n">
        <v>0.986122685185185</v>
      </c>
      <c r="G290" s="77" t="n">
        <v>45175</v>
      </c>
      <c r="H290" s="78" t="n">
        <v>0.118125</v>
      </c>
      <c r="I290" s="7" t="s">
        <v>422</v>
      </c>
      <c r="J290" s="7" t="s">
        <v>168</v>
      </c>
      <c r="K290" s="79" t="str">
        <f aca="false">INDEX(Products!$B$2:$B$71,MATCH($C290,Products!$A$2:$A$71,0))</f>
        <v>Recusandae Pack</v>
      </c>
      <c r="L290" s="79" t="str">
        <f aca="false">INDEX(Products!$C$2:$C$71,MATCH($C290,Products!$A$2:$A$71,0))</f>
        <v>Colors</v>
      </c>
      <c r="M290" s="80" t="n">
        <f aca="false">INDEX(Products!$D$2:$D$71,MATCH($C290,Products!$A$2:$A$71,0))</f>
        <v>751</v>
      </c>
      <c r="N290" s="80" t="n">
        <f aca="false">$D290*$M290</f>
        <v>3004</v>
      </c>
      <c r="O290" s="79" t="str">
        <f aca="false">INDEX(Customers!$C$2:$C$101,MATCH($B290,Customers!$A$2:$A$101,0))</f>
        <v>Nizamabad</v>
      </c>
      <c r="P290" s="79" t="str">
        <f aca="false">INDEX(Customers!$F$2:$F$101,MATCH($B290,Customers!$A$2:$A$101,0))</f>
        <v>Male</v>
      </c>
      <c r="Q290" s="79" t="str">
        <f aca="false">INDEX(Customers!$B$2:$B$101,MATCH($B290,Customers!$A$2:$A$101,0))</f>
        <v>Eva Vaidya</v>
      </c>
      <c r="R290" s="79" t="n">
        <f aca="false">MONTH($E290)</f>
        <v>8</v>
      </c>
      <c r="S290" s="79" t="str">
        <f aca="false">INDEX(Lists!$B$2:$B$13,$R290)</f>
        <v>August</v>
      </c>
      <c r="T290" s="79" t="n">
        <f aca="false">HOUR($F290)</f>
        <v>23</v>
      </c>
      <c r="U290" s="79" t="n">
        <f aca="false">WEEKDAY($E290,2)</f>
        <v>2</v>
      </c>
      <c r="V290" s="79" t="str">
        <f aca="false">INDEX(Lists!$F$2:$F$8,$U290)</f>
        <v>Tuesday</v>
      </c>
      <c r="W290" s="81" t="n">
        <f aca="false">($G290+$H290)-($E290+$F290)</f>
        <v>7.13200231481482</v>
      </c>
      <c r="X290" s="79" t="str">
        <f aca="false">LOOKUP($M290,Lists!$G$2:$G$5,Lists!$H$2:$H$5)</f>
        <v>₹500 - 999</v>
      </c>
      <c r="Y290" s="79" t="str">
        <f aca="false">LOOKUP($W290,Lists!$I$2:$I$7,Lists!$J$2:$J$7)</f>
        <v>6 - 8 days</v>
      </c>
    </row>
    <row r="291" customFormat="false" ht="15" hidden="false" customHeight="false" outlineLevel="0" collapsed="false">
      <c r="A291" s="2" t="n">
        <v>290</v>
      </c>
      <c r="B291" s="2" t="s">
        <v>336</v>
      </c>
      <c r="C291" s="2" t="n">
        <v>69</v>
      </c>
      <c r="D291" s="2" t="n">
        <v>3</v>
      </c>
      <c r="E291" s="82" t="n">
        <v>44991</v>
      </c>
      <c r="F291" s="83" t="n">
        <v>0.435625</v>
      </c>
      <c r="G291" s="82" t="n">
        <v>44995</v>
      </c>
      <c r="H291" s="83" t="n">
        <v>0.606643518518519</v>
      </c>
      <c r="I291" s="2" t="s">
        <v>156</v>
      </c>
      <c r="J291" s="2" t="s">
        <v>33</v>
      </c>
      <c r="K291" s="46" t="str">
        <f aca="false">INDEX(Products!$B$2:$B$71,MATCH($C291,Products!$A$2:$A$71,0))</f>
        <v>Id Box</v>
      </c>
      <c r="L291" s="46" t="str">
        <f aca="false">INDEX(Products!$C$2:$C$71,MATCH($C291,Products!$A$2:$A$71,0))</f>
        <v>Cake</v>
      </c>
      <c r="M291" s="84" t="n">
        <f aca="false">INDEX(Products!$D$2:$D$71,MATCH($C291,Products!$A$2:$A$71,0))</f>
        <v>998</v>
      </c>
      <c r="N291" s="84" t="n">
        <f aca="false">$D291*$M291</f>
        <v>2994</v>
      </c>
      <c r="O291" s="46" t="str">
        <f aca="false">INDEX(Customers!$C$2:$C$101,MATCH($B291,Customers!$A$2:$A$101,0))</f>
        <v>Bhilai</v>
      </c>
      <c r="P291" s="46" t="str">
        <f aca="false">INDEX(Customers!$F$2:$F$101,MATCH($B291,Customers!$A$2:$A$101,0))</f>
        <v>Female</v>
      </c>
      <c r="Q291" s="46" t="str">
        <f aca="false">INDEX(Customers!$B$2:$B$101,MATCH($B291,Customers!$A$2:$A$101,0))</f>
        <v>Vedika Sankaran</v>
      </c>
      <c r="R291" s="46" t="n">
        <f aca="false">MONTH($E291)</f>
        <v>3</v>
      </c>
      <c r="S291" s="46" t="str">
        <f aca="false">INDEX(Lists!$B$2:$B$13,$R291)</f>
        <v>March</v>
      </c>
      <c r="T291" s="46" t="n">
        <f aca="false">HOUR($F291)</f>
        <v>10</v>
      </c>
      <c r="U291" s="46" t="n">
        <f aca="false">WEEKDAY($E291,2)</f>
        <v>1</v>
      </c>
      <c r="V291" s="46" t="str">
        <f aca="false">INDEX(Lists!$F$2:$F$8,$U291)</f>
        <v>Monday</v>
      </c>
      <c r="W291" s="85" t="n">
        <f aca="false">($G291+$H291)-($E291+$F291)</f>
        <v>4.17101851851852</v>
      </c>
      <c r="X291" s="46" t="str">
        <f aca="false">LOOKUP($M291,Lists!$G$2:$G$5,Lists!$H$2:$H$5)</f>
        <v>₹500 - 999</v>
      </c>
      <c r="Y291" s="46" t="str">
        <f aca="false">LOOKUP($W291,Lists!$I$2:$I$7,Lists!$J$2:$J$7)</f>
        <v>4 - 6 days</v>
      </c>
    </row>
    <row r="292" customFormat="false" ht="15" hidden="false" customHeight="false" outlineLevel="0" collapsed="false">
      <c r="A292" s="7" t="n">
        <v>291</v>
      </c>
      <c r="B292" s="7" t="s">
        <v>316</v>
      </c>
      <c r="C292" s="7" t="n">
        <v>49</v>
      </c>
      <c r="D292" s="7" t="n">
        <v>2</v>
      </c>
      <c r="E292" s="77" t="n">
        <v>44967</v>
      </c>
      <c r="F292" s="78" t="n">
        <v>0.0087962962962963</v>
      </c>
      <c r="G292" s="77" t="n">
        <v>44968</v>
      </c>
      <c r="H292" s="78" t="n">
        <v>0.953368055555556</v>
      </c>
      <c r="I292" s="7" t="s">
        <v>500</v>
      </c>
      <c r="J292" s="7" t="s">
        <v>179</v>
      </c>
      <c r="K292" s="79" t="str">
        <f aca="false">INDEX(Products!$B$2:$B$71,MATCH($C292,Products!$A$2:$A$71,0))</f>
        <v>Voluptate Pack</v>
      </c>
      <c r="L292" s="79" t="str">
        <f aca="false">INDEX(Products!$C$2:$C$71,MATCH($C292,Products!$A$2:$A$71,0))</f>
        <v>Colors</v>
      </c>
      <c r="M292" s="80" t="n">
        <f aca="false">INDEX(Products!$D$2:$D$71,MATCH($C292,Products!$A$2:$A$71,0))</f>
        <v>903</v>
      </c>
      <c r="N292" s="80" t="n">
        <f aca="false">$D292*$M292</f>
        <v>1806</v>
      </c>
      <c r="O292" s="79" t="str">
        <f aca="false">INDEX(Customers!$C$2:$C$101,MATCH($B292,Customers!$A$2:$A$101,0))</f>
        <v>Hyderabad</v>
      </c>
      <c r="P292" s="79" t="str">
        <f aca="false">INDEX(Customers!$F$2:$F$101,MATCH($B292,Customers!$A$2:$A$101,0))</f>
        <v>Male</v>
      </c>
      <c r="Q292" s="79" t="str">
        <f aca="false">INDEX(Customers!$B$2:$B$101,MATCH($B292,Customers!$A$2:$A$101,0))</f>
        <v>Charvi Karnik</v>
      </c>
      <c r="R292" s="79" t="n">
        <f aca="false">MONTH($E292)</f>
        <v>2</v>
      </c>
      <c r="S292" s="79" t="str">
        <f aca="false">INDEX(Lists!$B$2:$B$13,$R292)</f>
        <v>February</v>
      </c>
      <c r="T292" s="79" t="n">
        <f aca="false">HOUR($F292)</f>
        <v>0</v>
      </c>
      <c r="U292" s="79" t="n">
        <f aca="false">WEEKDAY($E292,2)</f>
        <v>5</v>
      </c>
      <c r="V292" s="79" t="str">
        <f aca="false">INDEX(Lists!$F$2:$F$8,$U292)</f>
        <v>Friday</v>
      </c>
      <c r="W292" s="81" t="n">
        <f aca="false">($G292+$H292)-($E292+$F292)</f>
        <v>1.94457175925926</v>
      </c>
      <c r="X292" s="79" t="str">
        <f aca="false">LOOKUP($M292,Lists!$G$2:$G$5,Lists!$H$2:$H$5)</f>
        <v>₹500 - 999</v>
      </c>
      <c r="Y292" s="79" t="str">
        <f aca="false">LOOKUP($W292,Lists!$I$2:$I$7,Lists!$J$2:$J$7)</f>
        <v>0 - 2 days</v>
      </c>
    </row>
    <row r="293" customFormat="false" ht="15" hidden="false" customHeight="false" outlineLevel="0" collapsed="false">
      <c r="A293" s="2" t="n">
        <v>292</v>
      </c>
      <c r="B293" s="2" t="s">
        <v>263</v>
      </c>
      <c r="C293" s="2" t="n">
        <v>54</v>
      </c>
      <c r="D293" s="2" t="n">
        <v>1</v>
      </c>
      <c r="E293" s="82" t="n">
        <v>45196</v>
      </c>
      <c r="F293" s="83" t="n">
        <v>0.94693287037037</v>
      </c>
      <c r="G293" s="82" t="n">
        <v>45202</v>
      </c>
      <c r="H293" s="83" t="n">
        <v>0.0727662037037037</v>
      </c>
      <c r="I293" s="2" t="s">
        <v>416</v>
      </c>
      <c r="J293" s="2" t="s">
        <v>168</v>
      </c>
      <c r="K293" s="46" t="str">
        <f aca="false">INDEX(Products!$B$2:$B$71,MATCH($C293,Products!$A$2:$A$71,0))</f>
        <v>Occaecati Gift</v>
      </c>
      <c r="L293" s="46" t="str">
        <f aca="false">INDEX(Products!$C$2:$C$71,MATCH($C293,Products!$A$2:$A$71,0))</f>
        <v>Cake</v>
      </c>
      <c r="M293" s="84" t="n">
        <f aca="false">INDEX(Products!$D$2:$D$71,MATCH($C293,Products!$A$2:$A$71,0))</f>
        <v>1236</v>
      </c>
      <c r="N293" s="84" t="n">
        <f aca="false">$D293*$M293</f>
        <v>1236</v>
      </c>
      <c r="O293" s="46" t="str">
        <f aca="false">INDEX(Customers!$C$2:$C$101,MATCH($B293,Customers!$A$2:$A$101,0))</f>
        <v>Bharatpur</v>
      </c>
      <c r="P293" s="46" t="str">
        <f aca="false">INDEX(Customers!$F$2:$F$101,MATCH($B293,Customers!$A$2:$A$101,0))</f>
        <v>Female</v>
      </c>
      <c r="Q293" s="46" t="str">
        <f aca="false">INDEX(Customers!$B$2:$B$101,MATCH($B293,Customers!$A$2:$A$101,0))</f>
        <v>Kismat Kapadia</v>
      </c>
      <c r="R293" s="46" t="n">
        <f aca="false">MONTH($E293)</f>
        <v>9</v>
      </c>
      <c r="S293" s="46" t="str">
        <f aca="false">INDEX(Lists!$B$2:$B$13,$R293)</f>
        <v>September</v>
      </c>
      <c r="T293" s="46" t="n">
        <f aca="false">HOUR($F293)</f>
        <v>22</v>
      </c>
      <c r="U293" s="46" t="n">
        <f aca="false">WEEKDAY($E293,2)</f>
        <v>3</v>
      </c>
      <c r="V293" s="46" t="str">
        <f aca="false">INDEX(Lists!$F$2:$F$8,$U293)</f>
        <v>Wednesday</v>
      </c>
      <c r="W293" s="85" t="n">
        <f aca="false">($G293+$H293)-($E293+$F293)</f>
        <v>5.12583333333333</v>
      </c>
      <c r="X293" s="46" t="str">
        <f aca="false">LOOKUP($M293,Lists!$G$2:$G$5,Lists!$H$2:$H$5)</f>
        <v>₹1,000 - 1,499</v>
      </c>
      <c r="Y293" s="46" t="str">
        <f aca="false">LOOKUP($W293,Lists!$I$2:$I$7,Lists!$J$2:$J$7)</f>
        <v>4 - 6 days</v>
      </c>
    </row>
    <row r="294" customFormat="false" ht="15" hidden="false" customHeight="false" outlineLevel="0" collapsed="false">
      <c r="A294" s="7" t="n">
        <v>293</v>
      </c>
      <c r="B294" s="7" t="s">
        <v>130</v>
      </c>
      <c r="C294" s="7" t="n">
        <v>1</v>
      </c>
      <c r="D294" s="7" t="n">
        <v>4</v>
      </c>
      <c r="E294" s="77" t="n">
        <v>45173</v>
      </c>
      <c r="F294" s="78" t="n">
        <v>0.169293981481482</v>
      </c>
      <c r="G294" s="77" t="n">
        <v>45178</v>
      </c>
      <c r="H294" s="78" t="n">
        <v>0.757361111111111</v>
      </c>
      <c r="I294" s="7" t="s">
        <v>585</v>
      </c>
      <c r="J294" s="7" t="s">
        <v>165</v>
      </c>
      <c r="K294" s="79" t="str">
        <f aca="false">INDEX(Products!$B$2:$B$71,MATCH($C294,Products!$A$2:$A$71,0))</f>
        <v>Magnam Set</v>
      </c>
      <c r="L294" s="79" t="str">
        <f aca="false">INDEX(Products!$C$2:$C$71,MATCH($C294,Products!$A$2:$A$71,0))</f>
        <v>Soft Toys</v>
      </c>
      <c r="M294" s="80" t="n">
        <f aca="false">INDEX(Products!$D$2:$D$71,MATCH($C294,Products!$A$2:$A$71,0))</f>
        <v>1935</v>
      </c>
      <c r="N294" s="80" t="n">
        <f aca="false">$D294*$M294</f>
        <v>7740</v>
      </c>
      <c r="O294" s="79" t="str">
        <f aca="false">INDEX(Customers!$C$2:$C$101,MATCH($B294,Customers!$A$2:$A$101,0))</f>
        <v>Bilaspur</v>
      </c>
      <c r="P294" s="79" t="str">
        <f aca="false">INDEX(Customers!$F$2:$F$101,MATCH($B294,Customers!$A$2:$A$101,0))</f>
        <v>Male</v>
      </c>
      <c r="Q294" s="79" t="str">
        <f aca="false">INDEX(Customers!$B$2:$B$101,MATCH($B294,Customers!$A$2:$A$101,0))</f>
        <v>Jayesh Lanka</v>
      </c>
      <c r="R294" s="79" t="n">
        <f aca="false">MONTH($E294)</f>
        <v>9</v>
      </c>
      <c r="S294" s="79" t="str">
        <f aca="false">INDEX(Lists!$B$2:$B$13,$R294)</f>
        <v>September</v>
      </c>
      <c r="T294" s="79" t="n">
        <f aca="false">HOUR($F294)</f>
        <v>4</v>
      </c>
      <c r="U294" s="79" t="n">
        <f aca="false">WEEKDAY($E294,2)</f>
        <v>1</v>
      </c>
      <c r="V294" s="79" t="str">
        <f aca="false">INDEX(Lists!$F$2:$F$8,$U294)</f>
        <v>Monday</v>
      </c>
      <c r="W294" s="81" t="n">
        <f aca="false">($G294+$H294)-($E294+$F294)</f>
        <v>5.58806712962963</v>
      </c>
      <c r="X294" s="79" t="str">
        <f aca="false">LOOKUP($M294,Lists!$G$2:$G$5,Lists!$H$2:$H$5)</f>
        <v>₹1,500 - 2,000</v>
      </c>
      <c r="Y294" s="79" t="str">
        <f aca="false">LOOKUP($W294,Lists!$I$2:$I$7,Lists!$J$2:$J$7)</f>
        <v>4 - 6 days</v>
      </c>
    </row>
    <row r="295" customFormat="false" ht="15" hidden="false" customHeight="false" outlineLevel="0" collapsed="false">
      <c r="A295" s="2" t="n">
        <v>294</v>
      </c>
      <c r="B295" s="2" t="s">
        <v>245</v>
      </c>
      <c r="C295" s="2" t="n">
        <v>26</v>
      </c>
      <c r="D295" s="2" t="n">
        <v>5</v>
      </c>
      <c r="E295" s="82" t="n">
        <v>44986</v>
      </c>
      <c r="F295" s="83" t="n">
        <v>0.877986111111111</v>
      </c>
      <c r="G295" s="82" t="n">
        <v>44988</v>
      </c>
      <c r="H295" s="83" t="n">
        <v>0.822847222222222</v>
      </c>
      <c r="I295" s="2" t="s">
        <v>501</v>
      </c>
      <c r="J295" s="2" t="s">
        <v>33</v>
      </c>
      <c r="K295" s="46" t="str">
        <f aca="false">INDEX(Products!$B$2:$B$71,MATCH($C295,Products!$A$2:$A$71,0))</f>
        <v>Aliquam Box</v>
      </c>
      <c r="L295" s="46" t="str">
        <f aca="false">INDEX(Products!$C$2:$C$71,MATCH($C295,Products!$A$2:$A$71,0))</f>
        <v>Colors</v>
      </c>
      <c r="M295" s="84" t="n">
        <f aca="false">INDEX(Products!$D$2:$D$71,MATCH($C295,Products!$A$2:$A$71,0))</f>
        <v>289</v>
      </c>
      <c r="N295" s="84" t="n">
        <f aca="false">$D295*$M295</f>
        <v>1445</v>
      </c>
      <c r="O295" s="46" t="str">
        <f aca="false">INDEX(Customers!$C$2:$C$101,MATCH($B295,Customers!$A$2:$A$101,0))</f>
        <v>Jorhat</v>
      </c>
      <c r="P295" s="46" t="str">
        <f aca="false">INDEX(Customers!$F$2:$F$101,MATCH($B295,Customers!$A$2:$A$101,0))</f>
        <v>Male</v>
      </c>
      <c r="Q295" s="46" t="str">
        <f aca="false">INDEX(Customers!$B$2:$B$101,MATCH($B295,Customers!$A$2:$A$101,0))</f>
        <v>Bhamini Ravi</v>
      </c>
      <c r="R295" s="46" t="n">
        <f aca="false">MONTH($E295)</f>
        <v>3</v>
      </c>
      <c r="S295" s="46" t="str">
        <f aca="false">INDEX(Lists!$B$2:$B$13,$R295)</f>
        <v>March</v>
      </c>
      <c r="T295" s="46" t="n">
        <f aca="false">HOUR($F295)</f>
        <v>21</v>
      </c>
      <c r="U295" s="46" t="n">
        <f aca="false">WEEKDAY($E295,2)</f>
        <v>3</v>
      </c>
      <c r="V295" s="46" t="str">
        <f aca="false">INDEX(Lists!$F$2:$F$8,$U295)</f>
        <v>Wednesday</v>
      </c>
      <c r="W295" s="85" t="n">
        <f aca="false">($G295+$H295)-($E295+$F295)</f>
        <v>1.94486111111111</v>
      </c>
      <c r="X295" s="46" t="str">
        <f aca="false">LOOKUP($M295,Lists!$G$2:$G$5,Lists!$H$2:$H$5)</f>
        <v>₹0 - 499</v>
      </c>
      <c r="Y295" s="46" t="str">
        <f aca="false">LOOKUP($W295,Lists!$I$2:$I$7,Lists!$J$2:$J$7)</f>
        <v>0 - 2 days</v>
      </c>
    </row>
    <row r="296" customFormat="false" ht="15" hidden="false" customHeight="false" outlineLevel="0" collapsed="false">
      <c r="A296" s="7" t="n">
        <v>295</v>
      </c>
      <c r="B296" s="7" t="s">
        <v>336</v>
      </c>
      <c r="C296" s="7" t="n">
        <v>18</v>
      </c>
      <c r="D296" s="7" t="n">
        <v>1</v>
      </c>
      <c r="E296" s="77" t="n">
        <v>45075</v>
      </c>
      <c r="F296" s="78" t="n">
        <v>0.662604166666667</v>
      </c>
      <c r="G296" s="77" t="n">
        <v>45079</v>
      </c>
      <c r="H296" s="78" t="n">
        <v>0.421319444444445</v>
      </c>
      <c r="I296" s="7" t="s">
        <v>582</v>
      </c>
      <c r="J296" s="7" t="s">
        <v>31</v>
      </c>
      <c r="K296" s="79" t="str">
        <f aca="false">INDEX(Products!$B$2:$B$71,MATCH($C296,Products!$A$2:$A$71,0))</f>
        <v>Nemo Set</v>
      </c>
      <c r="L296" s="79" t="str">
        <f aca="false">INDEX(Products!$C$2:$C$71,MATCH($C296,Products!$A$2:$A$71,0))</f>
        <v>Plants</v>
      </c>
      <c r="M296" s="80" t="n">
        <f aca="false">INDEX(Products!$D$2:$D$71,MATCH($C296,Products!$A$2:$A$71,0))</f>
        <v>781</v>
      </c>
      <c r="N296" s="80" t="n">
        <f aca="false">$D296*$M296</f>
        <v>781</v>
      </c>
      <c r="O296" s="79" t="str">
        <f aca="false">INDEX(Customers!$C$2:$C$101,MATCH($B296,Customers!$A$2:$A$101,0))</f>
        <v>Bhilai</v>
      </c>
      <c r="P296" s="79" t="str">
        <f aca="false">INDEX(Customers!$F$2:$F$101,MATCH($B296,Customers!$A$2:$A$101,0))</f>
        <v>Female</v>
      </c>
      <c r="Q296" s="79" t="str">
        <f aca="false">INDEX(Customers!$B$2:$B$101,MATCH($B296,Customers!$A$2:$A$101,0))</f>
        <v>Vedika Sankaran</v>
      </c>
      <c r="R296" s="79" t="n">
        <f aca="false">MONTH($E296)</f>
        <v>5</v>
      </c>
      <c r="S296" s="79" t="str">
        <f aca="false">INDEX(Lists!$B$2:$B$13,$R296)</f>
        <v>May</v>
      </c>
      <c r="T296" s="79" t="n">
        <f aca="false">HOUR($F296)</f>
        <v>15</v>
      </c>
      <c r="U296" s="79" t="n">
        <f aca="false">WEEKDAY($E296,2)</f>
        <v>1</v>
      </c>
      <c r="V296" s="79" t="str">
        <f aca="false">INDEX(Lists!$F$2:$F$8,$U296)</f>
        <v>Monday</v>
      </c>
      <c r="W296" s="81" t="n">
        <f aca="false">($G296+$H296)-($E296+$F296)</f>
        <v>3.75871527777778</v>
      </c>
      <c r="X296" s="79" t="str">
        <f aca="false">LOOKUP($M296,Lists!$G$2:$G$5,Lists!$H$2:$H$5)</f>
        <v>₹500 - 999</v>
      </c>
      <c r="Y296" s="79" t="str">
        <f aca="false">LOOKUP($W296,Lists!$I$2:$I$7,Lists!$J$2:$J$7)</f>
        <v>2 - 4 days</v>
      </c>
    </row>
    <row r="297" customFormat="false" ht="15" hidden="false" customHeight="false" outlineLevel="0" collapsed="false">
      <c r="A297" s="2" t="n">
        <v>296</v>
      </c>
      <c r="B297" s="2" t="s">
        <v>341</v>
      </c>
      <c r="C297" s="2" t="n">
        <v>70</v>
      </c>
      <c r="D297" s="2" t="n">
        <v>5</v>
      </c>
      <c r="E297" s="82" t="n">
        <v>45017</v>
      </c>
      <c r="F297" s="83" t="n">
        <v>0.496689814814815</v>
      </c>
      <c r="G297" s="82" t="n">
        <v>45027</v>
      </c>
      <c r="H297" s="83" t="n">
        <v>0.815115740740741</v>
      </c>
      <c r="I297" s="2" t="s">
        <v>592</v>
      </c>
      <c r="J297" s="2" t="s">
        <v>31</v>
      </c>
      <c r="K297" s="46" t="str">
        <f aca="false">INDEX(Products!$B$2:$B$71,MATCH($C297,Products!$A$2:$A$71,0))</f>
        <v>Error Gift</v>
      </c>
      <c r="L297" s="46" t="str">
        <f aca="false">INDEX(Products!$C$2:$C$71,MATCH($C297,Products!$A$2:$A$71,0))</f>
        <v>Sweets</v>
      </c>
      <c r="M297" s="84" t="n">
        <f aca="false">INDEX(Products!$D$2:$D$71,MATCH($C297,Products!$A$2:$A$71,0))</f>
        <v>866</v>
      </c>
      <c r="N297" s="84" t="n">
        <f aca="false">$D297*$M297</f>
        <v>4330</v>
      </c>
      <c r="O297" s="46" t="str">
        <f aca="false">INDEX(Customers!$C$2:$C$101,MATCH($B297,Customers!$A$2:$A$101,0))</f>
        <v>Ratlam</v>
      </c>
      <c r="P297" s="46" t="str">
        <f aca="false">INDEX(Customers!$F$2:$F$101,MATCH($B297,Customers!$A$2:$A$101,0))</f>
        <v>Male</v>
      </c>
      <c r="Q297" s="46" t="str">
        <f aca="false">INDEX(Customers!$B$2:$B$101,MATCH($B297,Customers!$A$2:$A$101,0))</f>
        <v>Kaira Ramachandran</v>
      </c>
      <c r="R297" s="46" t="n">
        <f aca="false">MONTH($E297)</f>
        <v>4</v>
      </c>
      <c r="S297" s="46" t="str">
        <f aca="false">INDEX(Lists!$B$2:$B$13,$R297)</f>
        <v>April</v>
      </c>
      <c r="T297" s="46" t="n">
        <f aca="false">HOUR($F297)</f>
        <v>11</v>
      </c>
      <c r="U297" s="46" t="n">
        <f aca="false">WEEKDAY($E297,2)</f>
        <v>6</v>
      </c>
      <c r="V297" s="46" t="str">
        <f aca="false">INDEX(Lists!$F$2:$F$8,$U297)</f>
        <v>Saturday</v>
      </c>
      <c r="W297" s="85" t="n">
        <f aca="false">($G297+$H297)-($E297+$F297)</f>
        <v>10.3184259259259</v>
      </c>
      <c r="X297" s="46" t="str">
        <f aca="false">LOOKUP($M297,Lists!$G$2:$G$5,Lists!$H$2:$H$5)</f>
        <v>₹500 - 999</v>
      </c>
      <c r="Y297" s="46" t="str">
        <f aca="false">LOOKUP($W297,Lists!$I$2:$I$7,Lists!$J$2:$J$7)</f>
        <v>Over 10 days</v>
      </c>
    </row>
    <row r="298" customFormat="false" ht="15" hidden="false" customHeight="false" outlineLevel="0" collapsed="false">
      <c r="A298" s="7" t="n">
        <v>297</v>
      </c>
      <c r="B298" s="7" t="s">
        <v>245</v>
      </c>
      <c r="C298" s="7" t="n">
        <v>13</v>
      </c>
      <c r="D298" s="7" t="n">
        <v>3</v>
      </c>
      <c r="E298" s="77" t="n">
        <v>44985</v>
      </c>
      <c r="F298" s="78" t="n">
        <v>0.844085648148148</v>
      </c>
      <c r="G298" s="77" t="n">
        <v>44990</v>
      </c>
      <c r="H298" s="78" t="n">
        <v>0.869756944444444</v>
      </c>
      <c r="I298" s="7" t="s">
        <v>526</v>
      </c>
      <c r="J298" s="7" t="s">
        <v>33</v>
      </c>
      <c r="K298" s="79" t="str">
        <f aca="false">INDEX(Products!$B$2:$B$71,MATCH($C298,Products!$A$2:$A$71,0))</f>
        <v>Et Set</v>
      </c>
      <c r="L298" s="79" t="str">
        <f aca="false">INDEX(Products!$C$2:$C$71,MATCH($C298,Products!$A$2:$A$71,0))</f>
        <v>Mugs</v>
      </c>
      <c r="M298" s="80" t="n">
        <f aca="false">INDEX(Products!$D$2:$D$71,MATCH($C298,Products!$A$2:$A$71,0))</f>
        <v>1141</v>
      </c>
      <c r="N298" s="80" t="n">
        <f aca="false">$D298*$M298</f>
        <v>3423</v>
      </c>
      <c r="O298" s="79" t="str">
        <f aca="false">INDEX(Customers!$C$2:$C$101,MATCH($B298,Customers!$A$2:$A$101,0))</f>
        <v>Jorhat</v>
      </c>
      <c r="P298" s="79" t="str">
        <f aca="false">INDEX(Customers!$F$2:$F$101,MATCH($B298,Customers!$A$2:$A$101,0))</f>
        <v>Male</v>
      </c>
      <c r="Q298" s="79" t="str">
        <f aca="false">INDEX(Customers!$B$2:$B$101,MATCH($B298,Customers!$A$2:$A$101,0))</f>
        <v>Bhamini Ravi</v>
      </c>
      <c r="R298" s="79" t="n">
        <f aca="false">MONTH($E298)</f>
        <v>2</v>
      </c>
      <c r="S298" s="79" t="str">
        <f aca="false">INDEX(Lists!$B$2:$B$13,$R298)</f>
        <v>February</v>
      </c>
      <c r="T298" s="79" t="n">
        <f aca="false">HOUR($F298)</f>
        <v>20</v>
      </c>
      <c r="U298" s="79" t="n">
        <f aca="false">WEEKDAY($E298,2)</f>
        <v>2</v>
      </c>
      <c r="V298" s="79" t="str">
        <f aca="false">INDEX(Lists!$F$2:$F$8,$U298)</f>
        <v>Tuesday</v>
      </c>
      <c r="W298" s="81" t="n">
        <f aca="false">($G298+$H298)-($E298+$F298)</f>
        <v>5.0256712962963</v>
      </c>
      <c r="X298" s="79" t="str">
        <f aca="false">LOOKUP($M298,Lists!$G$2:$G$5,Lists!$H$2:$H$5)</f>
        <v>₹1,000 - 1,499</v>
      </c>
      <c r="Y298" s="79" t="str">
        <f aca="false">LOOKUP($W298,Lists!$I$2:$I$7,Lists!$J$2:$J$7)</f>
        <v>4 - 6 days</v>
      </c>
    </row>
    <row r="299" customFormat="false" ht="15" hidden="false" customHeight="false" outlineLevel="0" collapsed="false">
      <c r="A299" s="2" t="n">
        <v>298</v>
      </c>
      <c r="B299" s="2" t="s">
        <v>275</v>
      </c>
      <c r="C299" s="2" t="n">
        <v>3</v>
      </c>
      <c r="D299" s="2" t="n">
        <v>1</v>
      </c>
      <c r="E299" s="82" t="n">
        <v>44968</v>
      </c>
      <c r="F299" s="83" t="n">
        <v>0.962835648148148</v>
      </c>
      <c r="G299" s="82" t="n">
        <v>44969</v>
      </c>
      <c r="H299" s="83" t="n">
        <v>0.0956365740740741</v>
      </c>
      <c r="I299" s="2" t="s">
        <v>191</v>
      </c>
      <c r="J299" s="2" t="s">
        <v>179</v>
      </c>
      <c r="K299" s="46" t="str">
        <f aca="false">INDEX(Products!$B$2:$B$71,MATCH($C299,Products!$A$2:$A$71,0))</f>
        <v>Eius Gift</v>
      </c>
      <c r="L299" s="46" t="str">
        <f aca="false">INDEX(Products!$C$2:$C$71,MATCH($C299,Products!$A$2:$A$71,0))</f>
        <v>Colors</v>
      </c>
      <c r="M299" s="84" t="n">
        <f aca="false">INDEX(Products!$D$2:$D$71,MATCH($C299,Products!$A$2:$A$71,0))</f>
        <v>1534</v>
      </c>
      <c r="N299" s="84" t="n">
        <f aca="false">$D299*$M299</f>
        <v>1534</v>
      </c>
      <c r="O299" s="46" t="str">
        <f aca="false">INDEX(Customers!$C$2:$C$101,MATCH($B299,Customers!$A$2:$A$101,0))</f>
        <v>Delhi</v>
      </c>
      <c r="P299" s="46" t="str">
        <f aca="false">INDEX(Customers!$F$2:$F$101,MATCH($B299,Customers!$A$2:$A$101,0))</f>
        <v>Female</v>
      </c>
      <c r="Q299" s="46" t="str">
        <f aca="false">INDEX(Customers!$B$2:$B$101,MATCH($B299,Customers!$A$2:$A$101,0))</f>
        <v>Zain Hegde</v>
      </c>
      <c r="R299" s="46" t="n">
        <f aca="false">MONTH($E299)</f>
        <v>2</v>
      </c>
      <c r="S299" s="46" t="str">
        <f aca="false">INDEX(Lists!$B$2:$B$13,$R299)</f>
        <v>February</v>
      </c>
      <c r="T299" s="46" t="n">
        <f aca="false">HOUR($F299)</f>
        <v>23</v>
      </c>
      <c r="U299" s="46" t="n">
        <f aca="false">WEEKDAY($E299,2)</f>
        <v>6</v>
      </c>
      <c r="V299" s="46" t="str">
        <f aca="false">INDEX(Lists!$F$2:$F$8,$U299)</f>
        <v>Saturday</v>
      </c>
      <c r="W299" s="85" t="n">
        <f aca="false">($G299+$H299)-($E299+$F299)</f>
        <v>0.132800925925926</v>
      </c>
      <c r="X299" s="46" t="str">
        <f aca="false">LOOKUP($M299,Lists!$G$2:$G$5,Lists!$H$2:$H$5)</f>
        <v>₹1,500 - 2,000</v>
      </c>
      <c r="Y299" s="46" t="str">
        <f aca="false">LOOKUP($W299,Lists!$I$2:$I$7,Lists!$J$2:$J$7)</f>
        <v>0 - 2 days</v>
      </c>
    </row>
    <row r="300" customFormat="false" ht="15" hidden="false" customHeight="false" outlineLevel="0" collapsed="false">
      <c r="A300" s="7" t="n">
        <v>299</v>
      </c>
      <c r="B300" s="7" t="s">
        <v>369</v>
      </c>
      <c r="C300" s="7" t="n">
        <v>8</v>
      </c>
      <c r="D300" s="7" t="n">
        <v>5</v>
      </c>
      <c r="E300" s="77" t="n">
        <v>45238</v>
      </c>
      <c r="F300" s="78" t="n">
        <v>0.493993055555556</v>
      </c>
      <c r="G300" s="77" t="n">
        <v>45247</v>
      </c>
      <c r="H300" s="78" t="n">
        <v>0.5540625</v>
      </c>
      <c r="I300" s="7" t="s">
        <v>605</v>
      </c>
      <c r="J300" s="7" t="s">
        <v>168</v>
      </c>
      <c r="K300" s="79" t="str">
        <f aca="false">INDEX(Products!$B$2:$B$71,MATCH($C300,Products!$A$2:$A$71,0))</f>
        <v>Qui Box</v>
      </c>
      <c r="L300" s="79" t="str">
        <f aca="false">INDEX(Products!$C$2:$C$71,MATCH($C300,Products!$A$2:$A$71,0))</f>
        <v>Sweets</v>
      </c>
      <c r="M300" s="80" t="n">
        <f aca="false">INDEX(Products!$D$2:$D$71,MATCH($C300,Products!$A$2:$A$71,0))</f>
        <v>252</v>
      </c>
      <c r="N300" s="80" t="n">
        <f aca="false">$D300*$M300</f>
        <v>1260</v>
      </c>
      <c r="O300" s="79" t="str">
        <f aca="false">INDEX(Customers!$C$2:$C$101,MATCH($B300,Customers!$A$2:$A$101,0))</f>
        <v>New Delhi</v>
      </c>
      <c r="P300" s="79" t="str">
        <f aca="false">INDEX(Customers!$F$2:$F$101,MATCH($B300,Customers!$A$2:$A$101,0))</f>
        <v>Female</v>
      </c>
      <c r="Q300" s="79" t="str">
        <f aca="false">INDEX(Customers!$B$2:$B$101,MATCH($B300,Customers!$A$2:$A$101,0))</f>
        <v>Adira Rajan</v>
      </c>
      <c r="R300" s="79" t="n">
        <f aca="false">MONTH($E300)</f>
        <v>11</v>
      </c>
      <c r="S300" s="79" t="str">
        <f aca="false">INDEX(Lists!$B$2:$B$13,$R300)</f>
        <v>November</v>
      </c>
      <c r="T300" s="79" t="n">
        <f aca="false">HOUR($F300)</f>
        <v>11</v>
      </c>
      <c r="U300" s="79" t="n">
        <f aca="false">WEEKDAY($E300,2)</f>
        <v>3</v>
      </c>
      <c r="V300" s="79" t="str">
        <f aca="false">INDEX(Lists!$F$2:$F$8,$U300)</f>
        <v>Wednesday</v>
      </c>
      <c r="W300" s="81" t="n">
        <f aca="false">($G300+$H300)-($E300+$F300)</f>
        <v>9.06006944444444</v>
      </c>
      <c r="X300" s="79" t="str">
        <f aca="false">LOOKUP($M300,Lists!$G$2:$G$5,Lists!$H$2:$H$5)</f>
        <v>₹0 - 499</v>
      </c>
      <c r="Y300" s="79" t="str">
        <f aca="false">LOOKUP($W300,Lists!$I$2:$I$7,Lists!$J$2:$J$7)</f>
        <v>8 - 10 days</v>
      </c>
    </row>
    <row r="301" customFormat="false" ht="15" hidden="false" customHeight="false" outlineLevel="0" collapsed="false">
      <c r="A301" s="2" t="n">
        <v>300</v>
      </c>
      <c r="B301" s="2" t="s">
        <v>202</v>
      </c>
      <c r="C301" s="2" t="n">
        <v>22</v>
      </c>
      <c r="D301" s="2" t="n">
        <v>1</v>
      </c>
      <c r="E301" s="82" t="n">
        <v>45167</v>
      </c>
      <c r="F301" s="83" t="n">
        <v>0.805613425925926</v>
      </c>
      <c r="G301" s="82" t="n">
        <v>45177</v>
      </c>
      <c r="H301" s="83" t="n">
        <v>0.767546296296296</v>
      </c>
      <c r="I301" s="2" t="s">
        <v>590</v>
      </c>
      <c r="J301" s="2" t="s">
        <v>165</v>
      </c>
      <c r="K301" s="46" t="str">
        <f aca="false">INDEX(Products!$B$2:$B$71,MATCH($C301,Products!$A$2:$A$71,0))</f>
        <v>Exercitationem Pack</v>
      </c>
      <c r="L301" s="46" t="str">
        <f aca="false">INDEX(Products!$C$2:$C$71,MATCH($C301,Products!$A$2:$A$71,0))</f>
        <v>Soft Toys</v>
      </c>
      <c r="M301" s="84" t="n">
        <f aca="false">INDEX(Products!$D$2:$D$71,MATCH($C301,Products!$A$2:$A$71,0))</f>
        <v>1639</v>
      </c>
      <c r="N301" s="84" t="n">
        <f aca="false">$D301*$M301</f>
        <v>1639</v>
      </c>
      <c r="O301" s="46" t="str">
        <f aca="false">INDEX(Customers!$C$2:$C$101,MATCH($B301,Customers!$A$2:$A$101,0))</f>
        <v>Surat</v>
      </c>
      <c r="P301" s="46" t="str">
        <f aca="false">INDEX(Customers!$F$2:$F$101,MATCH($B301,Customers!$A$2:$A$101,0))</f>
        <v>Male</v>
      </c>
      <c r="Q301" s="46" t="str">
        <f aca="false">INDEX(Customers!$B$2:$B$101,MATCH($B301,Customers!$A$2:$A$101,0))</f>
        <v>Mannat Anand</v>
      </c>
      <c r="R301" s="46" t="n">
        <f aca="false">MONTH($E301)</f>
        <v>8</v>
      </c>
      <c r="S301" s="46" t="str">
        <f aca="false">INDEX(Lists!$B$2:$B$13,$R301)</f>
        <v>August</v>
      </c>
      <c r="T301" s="46" t="n">
        <f aca="false">HOUR($F301)</f>
        <v>19</v>
      </c>
      <c r="U301" s="46" t="n">
        <f aca="false">WEEKDAY($E301,2)</f>
        <v>2</v>
      </c>
      <c r="V301" s="46" t="str">
        <f aca="false">INDEX(Lists!$F$2:$F$8,$U301)</f>
        <v>Tuesday</v>
      </c>
      <c r="W301" s="85" t="n">
        <f aca="false">($G301+$H301)-($E301+$F301)</f>
        <v>9.96193287037037</v>
      </c>
      <c r="X301" s="46" t="str">
        <f aca="false">LOOKUP($M301,Lists!$G$2:$G$5,Lists!$H$2:$H$5)</f>
        <v>₹1,500 - 2,000</v>
      </c>
      <c r="Y301" s="46" t="str">
        <f aca="false">LOOKUP($W301,Lists!$I$2:$I$7,Lists!$J$2:$J$7)</f>
        <v>8 - 10 days</v>
      </c>
    </row>
    <row r="302" customFormat="false" ht="15" hidden="false" customHeight="false" outlineLevel="0" collapsed="false">
      <c r="A302" s="7" t="n">
        <v>301</v>
      </c>
      <c r="B302" s="7" t="s">
        <v>311</v>
      </c>
      <c r="C302" s="7" t="n">
        <v>6</v>
      </c>
      <c r="D302" s="7" t="n">
        <v>3</v>
      </c>
      <c r="E302" s="77" t="n">
        <v>44984</v>
      </c>
      <c r="F302" s="78" t="n">
        <v>0.266921296296296</v>
      </c>
      <c r="G302" s="77" t="n">
        <v>44989</v>
      </c>
      <c r="H302" s="78" t="n">
        <v>0.702962962962963</v>
      </c>
      <c r="I302" s="7" t="s">
        <v>465</v>
      </c>
      <c r="J302" s="7" t="s">
        <v>33</v>
      </c>
      <c r="K302" s="79" t="str">
        <f aca="false">INDEX(Products!$B$2:$B$71,MATCH($C302,Products!$A$2:$A$71,0))</f>
        <v>Quos Box</v>
      </c>
      <c r="L302" s="79" t="str">
        <f aca="false">INDEX(Products!$C$2:$C$71,MATCH($C302,Products!$A$2:$A$71,0))</f>
        <v>Cake</v>
      </c>
      <c r="M302" s="80" t="n">
        <f aca="false">INDEX(Products!$D$2:$D$71,MATCH($C302,Products!$A$2:$A$71,0))</f>
        <v>1112</v>
      </c>
      <c r="N302" s="80" t="n">
        <f aca="false">$D302*$M302</f>
        <v>3336</v>
      </c>
      <c r="O302" s="79" t="str">
        <f aca="false">INDEX(Customers!$C$2:$C$101,MATCH($B302,Customers!$A$2:$A$101,0))</f>
        <v>Bhatpara</v>
      </c>
      <c r="P302" s="79" t="str">
        <f aca="false">INDEX(Customers!$F$2:$F$101,MATCH($B302,Customers!$A$2:$A$101,0))</f>
        <v>Male</v>
      </c>
      <c r="Q302" s="79" t="str">
        <f aca="false">INDEX(Customers!$B$2:$B$101,MATCH($B302,Customers!$A$2:$A$101,0))</f>
        <v>Emir Gokhale</v>
      </c>
      <c r="R302" s="79" t="n">
        <f aca="false">MONTH($E302)</f>
        <v>2</v>
      </c>
      <c r="S302" s="79" t="str">
        <f aca="false">INDEX(Lists!$B$2:$B$13,$R302)</f>
        <v>February</v>
      </c>
      <c r="T302" s="79" t="n">
        <f aca="false">HOUR($F302)</f>
        <v>6</v>
      </c>
      <c r="U302" s="79" t="n">
        <f aca="false">WEEKDAY($E302,2)</f>
        <v>1</v>
      </c>
      <c r="V302" s="79" t="str">
        <f aca="false">INDEX(Lists!$F$2:$F$8,$U302)</f>
        <v>Monday</v>
      </c>
      <c r="W302" s="81" t="n">
        <f aca="false">($G302+$H302)-($E302+$F302)</f>
        <v>5.43604166666667</v>
      </c>
      <c r="X302" s="79" t="str">
        <f aca="false">LOOKUP($M302,Lists!$G$2:$G$5,Lists!$H$2:$H$5)</f>
        <v>₹1,000 - 1,499</v>
      </c>
      <c r="Y302" s="79" t="str">
        <f aca="false">LOOKUP($W302,Lists!$I$2:$I$7,Lists!$J$2:$J$7)</f>
        <v>4 - 6 days</v>
      </c>
    </row>
    <row r="303" customFormat="false" ht="15" hidden="false" customHeight="false" outlineLevel="0" collapsed="false">
      <c r="A303" s="2" t="n">
        <v>302</v>
      </c>
      <c r="B303" s="2" t="s">
        <v>313</v>
      </c>
      <c r="C303" s="2" t="n">
        <v>25</v>
      </c>
      <c r="D303" s="2" t="n">
        <v>4</v>
      </c>
      <c r="E303" s="82" t="n">
        <v>45223</v>
      </c>
      <c r="F303" s="83" t="n">
        <v>0.578530092592593</v>
      </c>
      <c r="G303" s="82" t="n">
        <v>45224</v>
      </c>
      <c r="H303" s="83" t="n">
        <v>0.717650462962963</v>
      </c>
      <c r="I303" s="2" t="s">
        <v>340</v>
      </c>
      <c r="J303" s="2" t="s">
        <v>168</v>
      </c>
      <c r="K303" s="46" t="str">
        <f aca="false">INDEX(Products!$B$2:$B$71,MATCH($C303,Products!$A$2:$A$71,0))</f>
        <v>Qui Gift</v>
      </c>
      <c r="L303" s="46" t="str">
        <f aca="false">INDEX(Products!$C$2:$C$71,MATCH($C303,Products!$A$2:$A$71,0))</f>
        <v>Plants</v>
      </c>
      <c r="M303" s="84" t="n">
        <f aca="false">INDEX(Products!$D$2:$D$71,MATCH($C303,Products!$A$2:$A$71,0))</f>
        <v>1202</v>
      </c>
      <c r="N303" s="84" t="n">
        <f aca="false">$D303*$M303</f>
        <v>4808</v>
      </c>
      <c r="O303" s="46" t="str">
        <f aca="false">INDEX(Customers!$C$2:$C$101,MATCH($B303,Customers!$A$2:$A$101,0))</f>
        <v>Tiruppur</v>
      </c>
      <c r="P303" s="46" t="str">
        <f aca="false">INDEX(Customers!$F$2:$F$101,MATCH($B303,Customers!$A$2:$A$101,0))</f>
        <v>Male</v>
      </c>
      <c r="Q303" s="46" t="str">
        <f aca="false">INDEX(Customers!$B$2:$B$101,MATCH($B303,Customers!$A$2:$A$101,0))</f>
        <v>Purab Sheth</v>
      </c>
      <c r="R303" s="46" t="n">
        <f aca="false">MONTH($E303)</f>
        <v>10</v>
      </c>
      <c r="S303" s="46" t="str">
        <f aca="false">INDEX(Lists!$B$2:$B$13,$R303)</f>
        <v>October</v>
      </c>
      <c r="T303" s="46" t="n">
        <f aca="false">HOUR($F303)</f>
        <v>13</v>
      </c>
      <c r="U303" s="46" t="n">
        <f aca="false">WEEKDAY($E303,2)</f>
        <v>2</v>
      </c>
      <c r="V303" s="46" t="str">
        <f aca="false">INDEX(Lists!$F$2:$F$8,$U303)</f>
        <v>Tuesday</v>
      </c>
      <c r="W303" s="85" t="n">
        <f aca="false">($G303+$H303)-($E303+$F303)</f>
        <v>1.13912037037037</v>
      </c>
      <c r="X303" s="46" t="str">
        <f aca="false">LOOKUP($M303,Lists!$G$2:$G$5,Lists!$H$2:$H$5)</f>
        <v>₹1,000 - 1,499</v>
      </c>
      <c r="Y303" s="46" t="str">
        <f aca="false">LOOKUP($W303,Lists!$I$2:$I$7,Lists!$J$2:$J$7)</f>
        <v>0 - 2 days</v>
      </c>
    </row>
    <row r="304" customFormat="false" ht="15" hidden="false" customHeight="false" outlineLevel="0" collapsed="false">
      <c r="A304" s="7" t="n">
        <v>303</v>
      </c>
      <c r="B304" s="7" t="s">
        <v>257</v>
      </c>
      <c r="C304" s="7" t="n">
        <v>14</v>
      </c>
      <c r="D304" s="7" t="n">
        <v>1</v>
      </c>
      <c r="E304" s="77" t="n">
        <v>45250</v>
      </c>
      <c r="F304" s="78" t="n">
        <v>0.279826388888889</v>
      </c>
      <c r="G304" s="77" t="n">
        <v>45259</v>
      </c>
      <c r="H304" s="78" t="n">
        <v>0.29724537037037</v>
      </c>
      <c r="I304" s="7" t="s">
        <v>506</v>
      </c>
      <c r="J304" s="7" t="s">
        <v>31</v>
      </c>
      <c r="K304" s="79" t="str">
        <f aca="false">INDEX(Products!$B$2:$B$71,MATCH($C304,Products!$A$2:$A$71,0))</f>
        <v>Deserunt Box</v>
      </c>
      <c r="L304" s="79" t="str">
        <f aca="false">INDEX(Products!$C$2:$C$71,MATCH($C304,Products!$A$2:$A$71,0))</f>
        <v>Colors</v>
      </c>
      <c r="M304" s="80" t="n">
        <f aca="false">INDEX(Products!$D$2:$D$71,MATCH($C304,Products!$A$2:$A$71,0))</f>
        <v>1915</v>
      </c>
      <c r="N304" s="80" t="n">
        <f aca="false">$D304*$M304</f>
        <v>1915</v>
      </c>
      <c r="O304" s="79" t="str">
        <f aca="false">INDEX(Customers!$C$2:$C$101,MATCH($B304,Customers!$A$2:$A$101,0))</f>
        <v>Kota</v>
      </c>
      <c r="P304" s="79" t="str">
        <f aca="false">INDEX(Customers!$F$2:$F$101,MATCH($B304,Customers!$A$2:$A$101,0))</f>
        <v>Female</v>
      </c>
      <c r="Q304" s="79" t="str">
        <f aca="false">INDEX(Customers!$B$2:$B$101,MATCH($B304,Customers!$A$2:$A$101,0))</f>
        <v>Aradhya Batta</v>
      </c>
      <c r="R304" s="79" t="n">
        <f aca="false">MONTH($E304)</f>
        <v>11</v>
      </c>
      <c r="S304" s="79" t="str">
        <f aca="false">INDEX(Lists!$B$2:$B$13,$R304)</f>
        <v>November</v>
      </c>
      <c r="T304" s="79" t="n">
        <f aca="false">HOUR($F304)</f>
        <v>6</v>
      </c>
      <c r="U304" s="79" t="n">
        <f aca="false">WEEKDAY($E304,2)</f>
        <v>1</v>
      </c>
      <c r="V304" s="79" t="str">
        <f aca="false">INDEX(Lists!$F$2:$F$8,$U304)</f>
        <v>Monday</v>
      </c>
      <c r="W304" s="81" t="n">
        <f aca="false">($G304+$H304)-($E304+$F304)</f>
        <v>9.01741898148148</v>
      </c>
      <c r="X304" s="79" t="str">
        <f aca="false">LOOKUP($M304,Lists!$G$2:$G$5,Lists!$H$2:$H$5)</f>
        <v>₹1,500 - 2,000</v>
      </c>
      <c r="Y304" s="79" t="str">
        <f aca="false">LOOKUP($W304,Lists!$I$2:$I$7,Lists!$J$2:$J$7)</f>
        <v>8 - 10 days</v>
      </c>
    </row>
    <row r="305" customFormat="false" ht="15" hidden="false" customHeight="false" outlineLevel="0" collapsed="false">
      <c r="A305" s="2" t="n">
        <v>304</v>
      </c>
      <c r="B305" s="2" t="s">
        <v>360</v>
      </c>
      <c r="C305" s="2" t="n">
        <v>67</v>
      </c>
      <c r="D305" s="2" t="n">
        <v>3</v>
      </c>
      <c r="E305" s="82" t="n">
        <v>44997</v>
      </c>
      <c r="F305" s="83" t="n">
        <v>0.391990740740741</v>
      </c>
      <c r="G305" s="82" t="n">
        <v>45004</v>
      </c>
      <c r="H305" s="83" t="n">
        <v>0.965011574074074</v>
      </c>
      <c r="I305" s="2" t="s">
        <v>591</v>
      </c>
      <c r="J305" s="2" t="s">
        <v>168</v>
      </c>
      <c r="K305" s="46" t="str">
        <f aca="false">INDEX(Products!$B$2:$B$71,MATCH($C305,Products!$A$2:$A$71,0))</f>
        <v>Maiores Box</v>
      </c>
      <c r="L305" s="46" t="str">
        <f aca="false">INDEX(Products!$C$2:$C$71,MATCH($C305,Products!$A$2:$A$71,0))</f>
        <v>Raksha Bandhan</v>
      </c>
      <c r="M305" s="84" t="n">
        <f aca="false">INDEX(Products!$D$2:$D$71,MATCH($C305,Products!$A$2:$A$71,0))</f>
        <v>1374</v>
      </c>
      <c r="N305" s="84" t="n">
        <f aca="false">$D305*$M305</f>
        <v>4122</v>
      </c>
      <c r="O305" s="46" t="str">
        <f aca="false">INDEX(Customers!$C$2:$C$101,MATCH($B305,Customers!$A$2:$A$101,0))</f>
        <v>Khora </v>
      </c>
      <c r="P305" s="46" t="str">
        <f aca="false">INDEX(Customers!$F$2:$F$101,MATCH($B305,Customers!$A$2:$A$101,0))</f>
        <v>Female</v>
      </c>
      <c r="Q305" s="46" t="str">
        <f aca="false">INDEX(Customers!$B$2:$B$101,MATCH($B305,Customers!$A$2:$A$101,0))</f>
        <v>Shalv Kulkarni</v>
      </c>
      <c r="R305" s="46" t="n">
        <f aca="false">MONTH($E305)</f>
        <v>3</v>
      </c>
      <c r="S305" s="46" t="str">
        <f aca="false">INDEX(Lists!$B$2:$B$13,$R305)</f>
        <v>March</v>
      </c>
      <c r="T305" s="46" t="n">
        <f aca="false">HOUR($F305)</f>
        <v>9</v>
      </c>
      <c r="U305" s="46" t="n">
        <f aca="false">WEEKDAY($E305,2)</f>
        <v>7</v>
      </c>
      <c r="V305" s="46" t="str">
        <f aca="false">INDEX(Lists!$F$2:$F$8,$U305)</f>
        <v>Sunday</v>
      </c>
      <c r="W305" s="85" t="n">
        <f aca="false">($G305+$H305)-($E305+$F305)</f>
        <v>7.57302083333333</v>
      </c>
      <c r="X305" s="46" t="str">
        <f aca="false">LOOKUP($M305,Lists!$G$2:$G$5,Lists!$H$2:$H$5)</f>
        <v>₹1,000 - 1,499</v>
      </c>
      <c r="Y305" s="46" t="str">
        <f aca="false">LOOKUP($W305,Lists!$I$2:$I$7,Lists!$J$2:$J$7)</f>
        <v>6 - 8 days</v>
      </c>
    </row>
    <row r="306" customFormat="false" ht="15" hidden="false" customHeight="false" outlineLevel="0" collapsed="false">
      <c r="A306" s="7" t="n">
        <v>305</v>
      </c>
      <c r="B306" s="7" t="s">
        <v>130</v>
      </c>
      <c r="C306" s="7" t="n">
        <v>26</v>
      </c>
      <c r="D306" s="7" t="n">
        <v>1</v>
      </c>
      <c r="E306" s="77" t="n">
        <v>44987</v>
      </c>
      <c r="F306" s="78" t="n">
        <v>0.0074537037037037</v>
      </c>
      <c r="G306" s="77" t="n">
        <v>44995</v>
      </c>
      <c r="H306" s="78" t="n">
        <v>0.584085648148148</v>
      </c>
      <c r="I306" s="7" t="s">
        <v>473</v>
      </c>
      <c r="J306" s="7" t="s">
        <v>33</v>
      </c>
      <c r="K306" s="79" t="str">
        <f aca="false">INDEX(Products!$B$2:$B$71,MATCH($C306,Products!$A$2:$A$71,0))</f>
        <v>Aliquam Box</v>
      </c>
      <c r="L306" s="79" t="str">
        <f aca="false">INDEX(Products!$C$2:$C$71,MATCH($C306,Products!$A$2:$A$71,0))</f>
        <v>Colors</v>
      </c>
      <c r="M306" s="80" t="n">
        <f aca="false">INDEX(Products!$D$2:$D$71,MATCH($C306,Products!$A$2:$A$71,0))</f>
        <v>289</v>
      </c>
      <c r="N306" s="80" t="n">
        <f aca="false">$D306*$M306</f>
        <v>289</v>
      </c>
      <c r="O306" s="79" t="str">
        <f aca="false">INDEX(Customers!$C$2:$C$101,MATCH($B306,Customers!$A$2:$A$101,0))</f>
        <v>Bilaspur</v>
      </c>
      <c r="P306" s="79" t="str">
        <f aca="false">INDEX(Customers!$F$2:$F$101,MATCH($B306,Customers!$A$2:$A$101,0))</f>
        <v>Male</v>
      </c>
      <c r="Q306" s="79" t="str">
        <f aca="false">INDEX(Customers!$B$2:$B$101,MATCH($B306,Customers!$A$2:$A$101,0))</f>
        <v>Jayesh Lanka</v>
      </c>
      <c r="R306" s="79" t="n">
        <f aca="false">MONTH($E306)</f>
        <v>3</v>
      </c>
      <c r="S306" s="79" t="str">
        <f aca="false">INDEX(Lists!$B$2:$B$13,$R306)</f>
        <v>March</v>
      </c>
      <c r="T306" s="79" t="n">
        <f aca="false">HOUR($F306)</f>
        <v>0</v>
      </c>
      <c r="U306" s="79" t="n">
        <f aca="false">WEEKDAY($E306,2)</f>
        <v>4</v>
      </c>
      <c r="V306" s="79" t="str">
        <f aca="false">INDEX(Lists!$F$2:$F$8,$U306)</f>
        <v>Thursday</v>
      </c>
      <c r="W306" s="81" t="n">
        <f aca="false">($G306+$H306)-($E306+$F306)</f>
        <v>8.57663194444445</v>
      </c>
      <c r="X306" s="79" t="str">
        <f aca="false">LOOKUP($M306,Lists!$G$2:$G$5,Lists!$H$2:$H$5)</f>
        <v>₹0 - 499</v>
      </c>
      <c r="Y306" s="79" t="str">
        <f aca="false">LOOKUP($W306,Lists!$I$2:$I$7,Lists!$J$2:$J$7)</f>
        <v>8 - 10 days</v>
      </c>
    </row>
    <row r="307" customFormat="false" ht="15" hidden="false" customHeight="false" outlineLevel="0" collapsed="false">
      <c r="A307" s="2" t="n">
        <v>306</v>
      </c>
      <c r="B307" s="2" t="s">
        <v>353</v>
      </c>
      <c r="C307" s="2" t="n">
        <v>49</v>
      </c>
      <c r="D307" s="2" t="n">
        <v>4</v>
      </c>
      <c r="E307" s="82" t="n">
        <v>44961</v>
      </c>
      <c r="F307" s="83" t="n">
        <v>0.483229166666667</v>
      </c>
      <c r="G307" s="82" t="n">
        <v>44969</v>
      </c>
      <c r="H307" s="83" t="n">
        <v>0.276388888888889</v>
      </c>
      <c r="I307" s="2" t="s">
        <v>214</v>
      </c>
      <c r="J307" s="2" t="s">
        <v>179</v>
      </c>
      <c r="K307" s="46" t="str">
        <f aca="false">INDEX(Products!$B$2:$B$71,MATCH($C307,Products!$A$2:$A$71,0))</f>
        <v>Voluptate Pack</v>
      </c>
      <c r="L307" s="46" t="str">
        <f aca="false">INDEX(Products!$C$2:$C$71,MATCH($C307,Products!$A$2:$A$71,0))</f>
        <v>Colors</v>
      </c>
      <c r="M307" s="84" t="n">
        <f aca="false">INDEX(Products!$D$2:$D$71,MATCH($C307,Products!$A$2:$A$71,0))</f>
        <v>903</v>
      </c>
      <c r="N307" s="84" t="n">
        <f aca="false">$D307*$M307</f>
        <v>3612</v>
      </c>
      <c r="O307" s="46" t="str">
        <f aca="false">INDEX(Customers!$C$2:$C$101,MATCH($B307,Customers!$A$2:$A$101,0))</f>
        <v>Raipur</v>
      </c>
      <c r="P307" s="46" t="str">
        <f aca="false">INDEX(Customers!$F$2:$F$101,MATCH($B307,Customers!$A$2:$A$101,0))</f>
        <v>Male</v>
      </c>
      <c r="Q307" s="46" t="str">
        <f aca="false">INDEX(Customers!$B$2:$B$101,MATCH($B307,Customers!$A$2:$A$101,0))</f>
        <v>Bhamini Johal</v>
      </c>
      <c r="R307" s="46" t="n">
        <f aca="false">MONTH($E307)</f>
        <v>2</v>
      </c>
      <c r="S307" s="46" t="str">
        <f aca="false">INDEX(Lists!$B$2:$B$13,$R307)</f>
        <v>February</v>
      </c>
      <c r="T307" s="46" t="n">
        <f aca="false">HOUR($F307)</f>
        <v>11</v>
      </c>
      <c r="U307" s="46" t="n">
        <f aca="false">WEEKDAY($E307,2)</f>
        <v>6</v>
      </c>
      <c r="V307" s="46" t="str">
        <f aca="false">INDEX(Lists!$F$2:$F$8,$U307)</f>
        <v>Saturday</v>
      </c>
      <c r="W307" s="85" t="n">
        <f aca="false">($G307+$H307)-($E307+$F307)</f>
        <v>7.79315972222222</v>
      </c>
      <c r="X307" s="46" t="str">
        <f aca="false">LOOKUP($M307,Lists!$G$2:$G$5,Lists!$H$2:$H$5)</f>
        <v>₹500 - 999</v>
      </c>
      <c r="Y307" s="46" t="str">
        <f aca="false">LOOKUP($W307,Lists!$I$2:$I$7,Lists!$J$2:$J$7)</f>
        <v>6 - 8 days</v>
      </c>
    </row>
    <row r="308" customFormat="false" ht="15" hidden="false" customHeight="false" outlineLevel="0" collapsed="false">
      <c r="A308" s="7" t="n">
        <v>307</v>
      </c>
      <c r="B308" s="7" t="s">
        <v>230</v>
      </c>
      <c r="C308" s="7" t="n">
        <v>3</v>
      </c>
      <c r="D308" s="7" t="n">
        <v>1</v>
      </c>
      <c r="E308" s="77" t="n">
        <v>44961</v>
      </c>
      <c r="F308" s="78" t="n">
        <v>0.901319444444445</v>
      </c>
      <c r="G308" s="77" t="n">
        <v>44965</v>
      </c>
      <c r="H308" s="78" t="n">
        <v>0.477893518518519</v>
      </c>
      <c r="I308" s="7" t="s">
        <v>356</v>
      </c>
      <c r="J308" s="7" t="s">
        <v>179</v>
      </c>
      <c r="K308" s="79" t="str">
        <f aca="false">INDEX(Products!$B$2:$B$71,MATCH($C308,Products!$A$2:$A$71,0))</f>
        <v>Eius Gift</v>
      </c>
      <c r="L308" s="79" t="str">
        <f aca="false">INDEX(Products!$C$2:$C$71,MATCH($C308,Products!$A$2:$A$71,0))</f>
        <v>Colors</v>
      </c>
      <c r="M308" s="80" t="n">
        <f aca="false">INDEX(Products!$D$2:$D$71,MATCH($C308,Products!$A$2:$A$71,0))</f>
        <v>1534</v>
      </c>
      <c r="N308" s="80" t="n">
        <f aca="false">$D308*$M308</f>
        <v>1534</v>
      </c>
      <c r="O308" s="79" t="str">
        <f aca="false">INDEX(Customers!$C$2:$C$101,MATCH($B308,Customers!$A$2:$A$101,0))</f>
        <v>Ajmer</v>
      </c>
      <c r="P308" s="79" t="str">
        <f aca="false">INDEX(Customers!$F$2:$F$101,MATCH($B308,Customers!$A$2:$A$101,0))</f>
        <v>Male</v>
      </c>
      <c r="Q308" s="79" t="str">
        <f aca="false">INDEX(Customers!$B$2:$B$101,MATCH($B308,Customers!$A$2:$A$101,0))</f>
        <v>Eshani Sharma</v>
      </c>
      <c r="R308" s="79" t="n">
        <f aca="false">MONTH($E308)</f>
        <v>2</v>
      </c>
      <c r="S308" s="79" t="str">
        <f aca="false">INDEX(Lists!$B$2:$B$13,$R308)</f>
        <v>February</v>
      </c>
      <c r="T308" s="79" t="n">
        <f aca="false">HOUR($F308)</f>
        <v>21</v>
      </c>
      <c r="U308" s="79" t="n">
        <f aca="false">WEEKDAY($E308,2)</f>
        <v>6</v>
      </c>
      <c r="V308" s="79" t="str">
        <f aca="false">INDEX(Lists!$F$2:$F$8,$U308)</f>
        <v>Saturday</v>
      </c>
      <c r="W308" s="81" t="n">
        <f aca="false">($G308+$H308)-($E308+$F308)</f>
        <v>3.57657407407407</v>
      </c>
      <c r="X308" s="79" t="str">
        <f aca="false">LOOKUP($M308,Lists!$G$2:$G$5,Lists!$H$2:$H$5)</f>
        <v>₹1,500 - 2,000</v>
      </c>
      <c r="Y308" s="79" t="str">
        <f aca="false">LOOKUP($W308,Lists!$I$2:$I$7,Lists!$J$2:$J$7)</f>
        <v>2 - 4 days</v>
      </c>
    </row>
    <row r="309" customFormat="false" ht="15" hidden="false" customHeight="false" outlineLevel="0" collapsed="false">
      <c r="A309" s="2" t="n">
        <v>308</v>
      </c>
      <c r="B309" s="2" t="s">
        <v>136</v>
      </c>
      <c r="C309" s="2" t="n">
        <v>57</v>
      </c>
      <c r="D309" s="2" t="n">
        <v>1</v>
      </c>
      <c r="E309" s="82" t="n">
        <v>44994</v>
      </c>
      <c r="F309" s="83" t="n">
        <v>0.329293981481482</v>
      </c>
      <c r="G309" s="82" t="n">
        <v>44997</v>
      </c>
      <c r="H309" s="83" t="n">
        <v>0.507916666666667</v>
      </c>
      <c r="I309" s="2" t="s">
        <v>404</v>
      </c>
      <c r="J309" s="2" t="s">
        <v>31</v>
      </c>
      <c r="K309" s="46" t="str">
        <f aca="false">INDEX(Products!$B$2:$B$71,MATCH($C309,Products!$A$2:$A$71,0))</f>
        <v>Voluptatem Box</v>
      </c>
      <c r="L309" s="46" t="str">
        <f aca="false">INDEX(Products!$C$2:$C$71,MATCH($C309,Products!$A$2:$A$71,0))</f>
        <v>Colors</v>
      </c>
      <c r="M309" s="84" t="n">
        <f aca="false">INDEX(Products!$D$2:$D$71,MATCH($C309,Products!$A$2:$A$71,0))</f>
        <v>1582</v>
      </c>
      <c r="N309" s="84" t="n">
        <f aca="false">$D309*$M309</f>
        <v>1582</v>
      </c>
      <c r="O309" s="46" t="str">
        <f aca="false">INDEX(Customers!$C$2:$C$101,MATCH($B309,Customers!$A$2:$A$101,0))</f>
        <v>Kottayam</v>
      </c>
      <c r="P309" s="46" t="str">
        <f aca="false">INDEX(Customers!$F$2:$F$101,MATCH($B309,Customers!$A$2:$A$101,0))</f>
        <v>Male</v>
      </c>
      <c r="Q309" s="46" t="str">
        <f aca="false">INDEX(Customers!$B$2:$B$101,MATCH($B309,Customers!$A$2:$A$101,0))</f>
        <v>Hiran Kaul</v>
      </c>
      <c r="R309" s="46" t="n">
        <f aca="false">MONTH($E309)</f>
        <v>3</v>
      </c>
      <c r="S309" s="46" t="str">
        <f aca="false">INDEX(Lists!$B$2:$B$13,$R309)</f>
        <v>March</v>
      </c>
      <c r="T309" s="46" t="n">
        <f aca="false">HOUR($F309)</f>
        <v>7</v>
      </c>
      <c r="U309" s="46" t="n">
        <f aca="false">WEEKDAY($E309,2)</f>
        <v>4</v>
      </c>
      <c r="V309" s="46" t="str">
        <f aca="false">INDEX(Lists!$F$2:$F$8,$U309)</f>
        <v>Thursday</v>
      </c>
      <c r="W309" s="85" t="n">
        <f aca="false">($G309+$H309)-($E309+$F309)</f>
        <v>3.17862268518519</v>
      </c>
      <c r="X309" s="46" t="str">
        <f aca="false">LOOKUP($M309,Lists!$G$2:$G$5,Lists!$H$2:$H$5)</f>
        <v>₹1,500 - 2,000</v>
      </c>
      <c r="Y309" s="46" t="str">
        <f aca="false">LOOKUP($W309,Lists!$I$2:$I$7,Lists!$J$2:$J$7)</f>
        <v>2 - 4 days</v>
      </c>
    </row>
    <row r="310" customFormat="false" ht="15" hidden="false" customHeight="false" outlineLevel="0" collapsed="false">
      <c r="A310" s="7" t="n">
        <v>309</v>
      </c>
      <c r="B310" s="7" t="s">
        <v>313</v>
      </c>
      <c r="C310" s="7" t="n">
        <v>60</v>
      </c>
      <c r="D310" s="7" t="n">
        <v>4</v>
      </c>
      <c r="E310" s="77" t="n">
        <v>45240</v>
      </c>
      <c r="F310" s="78" t="n">
        <v>0.276886574074074</v>
      </c>
      <c r="G310" s="77" t="n">
        <v>45243</v>
      </c>
      <c r="H310" s="78" t="n">
        <v>0.2184375</v>
      </c>
      <c r="I310" s="7" t="s">
        <v>482</v>
      </c>
      <c r="J310" s="7" t="s">
        <v>32</v>
      </c>
      <c r="K310" s="79" t="str">
        <f aca="false">INDEX(Products!$B$2:$B$71,MATCH($C310,Products!$A$2:$A$71,0))</f>
        <v>Ea Set</v>
      </c>
      <c r="L310" s="79" t="str">
        <f aca="false">INDEX(Products!$C$2:$C$71,MATCH($C310,Products!$A$2:$A$71,0))</f>
        <v>Sweets</v>
      </c>
      <c r="M310" s="80" t="n">
        <f aca="false">INDEX(Products!$D$2:$D$71,MATCH($C310,Products!$A$2:$A$71,0))</f>
        <v>827</v>
      </c>
      <c r="N310" s="80" t="n">
        <f aca="false">$D310*$M310</f>
        <v>3308</v>
      </c>
      <c r="O310" s="79" t="str">
        <f aca="false">INDEX(Customers!$C$2:$C$101,MATCH($B310,Customers!$A$2:$A$101,0))</f>
        <v>Tiruppur</v>
      </c>
      <c r="P310" s="79" t="str">
        <f aca="false">INDEX(Customers!$F$2:$F$101,MATCH($B310,Customers!$A$2:$A$101,0))</f>
        <v>Male</v>
      </c>
      <c r="Q310" s="79" t="str">
        <f aca="false">INDEX(Customers!$B$2:$B$101,MATCH($B310,Customers!$A$2:$A$101,0))</f>
        <v>Purab Sheth</v>
      </c>
      <c r="R310" s="79" t="n">
        <f aca="false">MONTH($E310)</f>
        <v>11</v>
      </c>
      <c r="S310" s="79" t="str">
        <f aca="false">INDEX(Lists!$B$2:$B$13,$R310)</f>
        <v>November</v>
      </c>
      <c r="T310" s="79" t="n">
        <f aca="false">HOUR($F310)</f>
        <v>6</v>
      </c>
      <c r="U310" s="79" t="n">
        <f aca="false">WEEKDAY($E310,2)</f>
        <v>5</v>
      </c>
      <c r="V310" s="79" t="str">
        <f aca="false">INDEX(Lists!$F$2:$F$8,$U310)</f>
        <v>Friday</v>
      </c>
      <c r="W310" s="81" t="n">
        <f aca="false">($G310+$H310)-($E310+$F310)</f>
        <v>2.94155092592593</v>
      </c>
      <c r="X310" s="79" t="str">
        <f aca="false">LOOKUP($M310,Lists!$G$2:$G$5,Lists!$H$2:$H$5)</f>
        <v>₹500 - 999</v>
      </c>
      <c r="Y310" s="79" t="str">
        <f aca="false">LOOKUP($W310,Lists!$I$2:$I$7,Lists!$J$2:$J$7)</f>
        <v>2 - 4 days</v>
      </c>
    </row>
    <row r="311" customFormat="false" ht="15" hidden="false" customHeight="false" outlineLevel="0" collapsed="false">
      <c r="A311" s="2" t="n">
        <v>310</v>
      </c>
      <c r="B311" s="2" t="s">
        <v>285</v>
      </c>
      <c r="C311" s="2" t="n">
        <v>38</v>
      </c>
      <c r="D311" s="2" t="n">
        <v>3</v>
      </c>
      <c r="E311" s="82" t="n">
        <v>45158</v>
      </c>
      <c r="F311" s="83" t="n">
        <v>0.516921296296296</v>
      </c>
      <c r="G311" s="82" t="n">
        <v>45162</v>
      </c>
      <c r="H311" s="83" t="n">
        <v>0.654722222222222</v>
      </c>
      <c r="I311" s="2" t="s">
        <v>229</v>
      </c>
      <c r="J311" s="2" t="s">
        <v>31</v>
      </c>
      <c r="K311" s="46" t="str">
        <f aca="false">INDEX(Products!$B$2:$B$71,MATCH($C311,Products!$A$2:$A$71,0))</f>
        <v>Mollitia Set</v>
      </c>
      <c r="L311" s="46" t="str">
        <f aca="false">INDEX(Products!$C$2:$C$71,MATCH($C311,Products!$A$2:$A$71,0))</f>
        <v>Cake</v>
      </c>
      <c r="M311" s="84" t="n">
        <f aca="false">INDEX(Products!$D$2:$D$71,MATCH($C311,Products!$A$2:$A$71,0))</f>
        <v>562</v>
      </c>
      <c r="N311" s="84" t="n">
        <f aca="false">$D311*$M311</f>
        <v>1686</v>
      </c>
      <c r="O311" s="46" t="str">
        <f aca="false">INDEX(Customers!$C$2:$C$101,MATCH($B311,Customers!$A$2:$A$101,0))</f>
        <v>Kavali</v>
      </c>
      <c r="P311" s="46" t="str">
        <f aca="false">INDEX(Customers!$F$2:$F$101,MATCH($B311,Customers!$A$2:$A$101,0))</f>
        <v>Female</v>
      </c>
      <c r="Q311" s="46" t="str">
        <f aca="false">INDEX(Customers!$B$2:$B$101,MATCH($B311,Customers!$A$2:$A$101,0))</f>
        <v>Akarsh Ramesh</v>
      </c>
      <c r="R311" s="46" t="n">
        <f aca="false">MONTH($E311)</f>
        <v>8</v>
      </c>
      <c r="S311" s="46" t="str">
        <f aca="false">INDEX(Lists!$B$2:$B$13,$R311)</f>
        <v>August</v>
      </c>
      <c r="T311" s="46" t="n">
        <f aca="false">HOUR($F311)</f>
        <v>12</v>
      </c>
      <c r="U311" s="46" t="n">
        <f aca="false">WEEKDAY($E311,2)</f>
        <v>7</v>
      </c>
      <c r="V311" s="46" t="str">
        <f aca="false">INDEX(Lists!$F$2:$F$8,$U311)</f>
        <v>Sunday</v>
      </c>
      <c r="W311" s="85" t="n">
        <f aca="false">($G311+$H311)-($E311+$F311)</f>
        <v>4.13780092592593</v>
      </c>
      <c r="X311" s="46" t="str">
        <f aca="false">LOOKUP($M311,Lists!$G$2:$G$5,Lists!$H$2:$H$5)</f>
        <v>₹500 - 999</v>
      </c>
      <c r="Y311" s="46" t="str">
        <f aca="false">LOOKUP($W311,Lists!$I$2:$I$7,Lists!$J$2:$J$7)</f>
        <v>4 - 6 days</v>
      </c>
    </row>
    <row r="312" customFormat="false" ht="15" hidden="false" customHeight="false" outlineLevel="0" collapsed="false">
      <c r="A312" s="7" t="n">
        <v>311</v>
      </c>
      <c r="B312" s="7" t="s">
        <v>257</v>
      </c>
      <c r="C312" s="7" t="n">
        <v>39</v>
      </c>
      <c r="D312" s="7" t="n">
        <v>2</v>
      </c>
      <c r="E312" s="77" t="n">
        <v>45171</v>
      </c>
      <c r="F312" s="78" t="n">
        <v>0.393599537037037</v>
      </c>
      <c r="G312" s="77" t="n">
        <v>45181</v>
      </c>
      <c r="H312" s="78" t="n">
        <v>0.744247685185185</v>
      </c>
      <c r="I312" s="7" t="s">
        <v>488</v>
      </c>
      <c r="J312" s="7" t="s">
        <v>165</v>
      </c>
      <c r="K312" s="79" t="str">
        <f aca="false">INDEX(Products!$B$2:$B$71,MATCH($C312,Products!$A$2:$A$71,0))</f>
        <v>Voluptate Set</v>
      </c>
      <c r="L312" s="79" t="str">
        <f aca="false">INDEX(Products!$C$2:$C$71,MATCH($C312,Products!$A$2:$A$71,0))</f>
        <v>Mugs</v>
      </c>
      <c r="M312" s="80" t="n">
        <f aca="false">INDEX(Products!$D$2:$D$71,MATCH($C312,Products!$A$2:$A$71,0))</f>
        <v>387</v>
      </c>
      <c r="N312" s="80" t="n">
        <f aca="false">$D312*$M312</f>
        <v>774</v>
      </c>
      <c r="O312" s="79" t="str">
        <f aca="false">INDEX(Customers!$C$2:$C$101,MATCH($B312,Customers!$A$2:$A$101,0))</f>
        <v>Kota</v>
      </c>
      <c r="P312" s="79" t="str">
        <f aca="false">INDEX(Customers!$F$2:$F$101,MATCH($B312,Customers!$A$2:$A$101,0))</f>
        <v>Female</v>
      </c>
      <c r="Q312" s="79" t="str">
        <f aca="false">INDEX(Customers!$B$2:$B$101,MATCH($B312,Customers!$A$2:$A$101,0))</f>
        <v>Aradhya Batta</v>
      </c>
      <c r="R312" s="79" t="n">
        <f aca="false">MONTH($E312)</f>
        <v>9</v>
      </c>
      <c r="S312" s="79" t="str">
        <f aca="false">INDEX(Lists!$B$2:$B$13,$R312)</f>
        <v>September</v>
      </c>
      <c r="T312" s="79" t="n">
        <f aca="false">HOUR($F312)</f>
        <v>9</v>
      </c>
      <c r="U312" s="79" t="n">
        <f aca="false">WEEKDAY($E312,2)</f>
        <v>6</v>
      </c>
      <c r="V312" s="79" t="str">
        <f aca="false">INDEX(Lists!$F$2:$F$8,$U312)</f>
        <v>Saturday</v>
      </c>
      <c r="W312" s="81" t="n">
        <f aca="false">($G312+$H312)-($E312+$F312)</f>
        <v>10.3506481481481</v>
      </c>
      <c r="X312" s="79" t="str">
        <f aca="false">LOOKUP($M312,Lists!$G$2:$G$5,Lists!$H$2:$H$5)</f>
        <v>₹0 - 499</v>
      </c>
      <c r="Y312" s="79" t="str">
        <f aca="false">LOOKUP($W312,Lists!$I$2:$I$7,Lists!$J$2:$J$7)</f>
        <v>Over 10 days</v>
      </c>
    </row>
    <row r="313" customFormat="false" ht="15" hidden="false" customHeight="false" outlineLevel="0" collapsed="false">
      <c r="A313" s="2" t="n">
        <v>312</v>
      </c>
      <c r="B313" s="2" t="s">
        <v>236</v>
      </c>
      <c r="C313" s="2" t="n">
        <v>9</v>
      </c>
      <c r="D313" s="2" t="n">
        <v>1</v>
      </c>
      <c r="E313" s="82" t="n">
        <v>45160</v>
      </c>
      <c r="F313" s="83" t="n">
        <v>0.769166666666667</v>
      </c>
      <c r="G313" s="82" t="n">
        <v>45165</v>
      </c>
      <c r="H313" s="83" t="n">
        <v>0.250856481481482</v>
      </c>
      <c r="I313" s="2" t="s">
        <v>144</v>
      </c>
      <c r="J313" s="2" t="s">
        <v>40</v>
      </c>
      <c r="K313" s="46" t="str">
        <f aca="false">INDEX(Products!$B$2:$B$71,MATCH($C313,Products!$A$2:$A$71,0))</f>
        <v>Aperiam Box</v>
      </c>
      <c r="L313" s="46" t="str">
        <f aca="false">INDEX(Products!$C$2:$C$71,MATCH($C313,Products!$A$2:$A$71,0))</f>
        <v>Colors</v>
      </c>
      <c r="M313" s="84" t="n">
        <f aca="false">INDEX(Products!$D$2:$D$71,MATCH($C313,Products!$A$2:$A$71,0))</f>
        <v>1605</v>
      </c>
      <c r="N313" s="84" t="n">
        <f aca="false">$D313*$M313</f>
        <v>1605</v>
      </c>
      <c r="O313" s="46" t="str">
        <f aca="false">INDEX(Customers!$C$2:$C$101,MATCH($B313,Customers!$A$2:$A$101,0))</f>
        <v>Agra</v>
      </c>
      <c r="P313" s="46" t="str">
        <f aca="false">INDEX(Customers!$F$2:$F$101,MATCH($B313,Customers!$A$2:$A$101,0))</f>
        <v>Male</v>
      </c>
      <c r="Q313" s="46" t="str">
        <f aca="false">INDEX(Customers!$B$2:$B$101,MATCH($B313,Customers!$A$2:$A$101,0))</f>
        <v>Seher Mann</v>
      </c>
      <c r="R313" s="46" t="n">
        <f aca="false">MONTH($E313)</f>
        <v>8</v>
      </c>
      <c r="S313" s="46" t="str">
        <f aca="false">INDEX(Lists!$B$2:$B$13,$R313)</f>
        <v>August</v>
      </c>
      <c r="T313" s="46" t="n">
        <f aca="false">HOUR($F313)</f>
        <v>18</v>
      </c>
      <c r="U313" s="46" t="n">
        <f aca="false">WEEKDAY($E313,2)</f>
        <v>2</v>
      </c>
      <c r="V313" s="46" t="str">
        <f aca="false">INDEX(Lists!$F$2:$F$8,$U313)</f>
        <v>Tuesday</v>
      </c>
      <c r="W313" s="85" t="n">
        <f aca="false">($G313+$H313)-($E313+$F313)</f>
        <v>4.48168981481482</v>
      </c>
      <c r="X313" s="46" t="str">
        <f aca="false">LOOKUP($M313,Lists!$G$2:$G$5,Lists!$H$2:$H$5)</f>
        <v>₹1,500 - 2,000</v>
      </c>
      <c r="Y313" s="46" t="str">
        <f aca="false">LOOKUP($W313,Lists!$I$2:$I$7,Lists!$J$2:$J$7)</f>
        <v>4 - 6 days</v>
      </c>
    </row>
    <row r="314" customFormat="false" ht="15" hidden="false" customHeight="false" outlineLevel="0" collapsed="false">
      <c r="A314" s="7" t="n">
        <v>313</v>
      </c>
      <c r="B314" s="7" t="s">
        <v>272</v>
      </c>
      <c r="C314" s="7" t="n">
        <v>30</v>
      </c>
      <c r="D314" s="7" t="n">
        <v>2</v>
      </c>
      <c r="E314" s="77" t="n">
        <v>45129</v>
      </c>
      <c r="F314" s="78" t="n">
        <v>0.808668981481482</v>
      </c>
      <c r="G314" s="77" t="n">
        <v>45133</v>
      </c>
      <c r="H314" s="78" t="n">
        <v>0.25431712962963</v>
      </c>
      <c r="I314" s="7" t="s">
        <v>586</v>
      </c>
      <c r="J314" s="7" t="s">
        <v>168</v>
      </c>
      <c r="K314" s="79" t="str">
        <f aca="false">INDEX(Products!$B$2:$B$71,MATCH($C314,Products!$A$2:$A$71,0))</f>
        <v>Recusandae Pack</v>
      </c>
      <c r="L314" s="79" t="str">
        <f aca="false">INDEX(Products!$C$2:$C$71,MATCH($C314,Products!$A$2:$A$71,0))</f>
        <v>Colors</v>
      </c>
      <c r="M314" s="80" t="n">
        <f aca="false">INDEX(Products!$D$2:$D$71,MATCH($C314,Products!$A$2:$A$71,0))</f>
        <v>751</v>
      </c>
      <c r="N314" s="80" t="n">
        <f aca="false">$D314*$M314</f>
        <v>1502</v>
      </c>
      <c r="O314" s="79" t="str">
        <f aca="false">INDEX(Customers!$C$2:$C$101,MATCH($B314,Customers!$A$2:$A$101,0))</f>
        <v>Haridwar</v>
      </c>
      <c r="P314" s="79" t="str">
        <f aca="false">INDEX(Customers!$F$2:$F$101,MATCH($B314,Customers!$A$2:$A$101,0))</f>
        <v>Male</v>
      </c>
      <c r="Q314" s="79" t="str">
        <f aca="false">INDEX(Customers!$B$2:$B$101,MATCH($B314,Customers!$A$2:$A$101,0))</f>
        <v>Pihu Choudhury</v>
      </c>
      <c r="R314" s="79" t="n">
        <f aca="false">MONTH($E314)</f>
        <v>7</v>
      </c>
      <c r="S314" s="79" t="str">
        <f aca="false">INDEX(Lists!$B$2:$B$13,$R314)</f>
        <v>July</v>
      </c>
      <c r="T314" s="79" t="n">
        <f aca="false">HOUR($F314)</f>
        <v>19</v>
      </c>
      <c r="U314" s="79" t="n">
        <f aca="false">WEEKDAY($E314,2)</f>
        <v>6</v>
      </c>
      <c r="V314" s="79" t="str">
        <f aca="false">INDEX(Lists!$F$2:$F$8,$U314)</f>
        <v>Saturday</v>
      </c>
      <c r="W314" s="81" t="n">
        <f aca="false">($G314+$H314)-($E314+$F314)</f>
        <v>3.44564814814815</v>
      </c>
      <c r="X314" s="79" t="str">
        <f aca="false">LOOKUP($M314,Lists!$G$2:$G$5,Lists!$H$2:$H$5)</f>
        <v>₹500 - 999</v>
      </c>
      <c r="Y314" s="79" t="str">
        <f aca="false">LOOKUP($W314,Lists!$I$2:$I$7,Lists!$J$2:$J$7)</f>
        <v>2 - 4 days</v>
      </c>
    </row>
    <row r="315" customFormat="false" ht="15" hidden="false" customHeight="false" outlineLevel="0" collapsed="false">
      <c r="A315" s="2" t="n">
        <v>314</v>
      </c>
      <c r="B315" s="2" t="s">
        <v>196</v>
      </c>
      <c r="C315" s="2" t="n">
        <v>43</v>
      </c>
      <c r="D315" s="2" t="n">
        <v>4</v>
      </c>
      <c r="E315" s="82" t="n">
        <v>45235</v>
      </c>
      <c r="F315" s="83" t="n">
        <v>0.492141203703704</v>
      </c>
      <c r="G315" s="82" t="n">
        <v>45245</v>
      </c>
      <c r="H315" s="83" t="n">
        <v>0.205150462962963</v>
      </c>
      <c r="I315" s="2" t="s">
        <v>524</v>
      </c>
      <c r="J315" s="2" t="s">
        <v>32</v>
      </c>
      <c r="K315" s="46" t="str">
        <f aca="false">INDEX(Products!$B$2:$B$71,MATCH($C315,Products!$A$2:$A$71,0))</f>
        <v>Quisquam Pack</v>
      </c>
      <c r="L315" s="46" t="str">
        <f aca="false">INDEX(Products!$C$2:$C$71,MATCH($C315,Products!$A$2:$A$71,0))</f>
        <v>Raksha Bandhan</v>
      </c>
      <c r="M315" s="84" t="n">
        <f aca="false">INDEX(Products!$D$2:$D$71,MATCH($C315,Products!$A$2:$A$71,0))</f>
        <v>750</v>
      </c>
      <c r="N315" s="84" t="n">
        <f aca="false">$D315*$M315</f>
        <v>3000</v>
      </c>
      <c r="O315" s="46" t="str">
        <f aca="false">INDEX(Customers!$C$2:$C$101,MATCH($B315,Customers!$A$2:$A$101,0))</f>
        <v>Haridwar</v>
      </c>
      <c r="P315" s="46" t="str">
        <f aca="false">INDEX(Customers!$F$2:$F$101,MATCH($B315,Customers!$A$2:$A$101,0))</f>
        <v>Female</v>
      </c>
      <c r="Q315" s="46" t="str">
        <f aca="false">INDEX(Customers!$B$2:$B$101,MATCH($B315,Customers!$A$2:$A$101,0))</f>
        <v>Badal Sathe</v>
      </c>
      <c r="R315" s="46" t="n">
        <f aca="false">MONTH($E315)</f>
        <v>11</v>
      </c>
      <c r="S315" s="46" t="str">
        <f aca="false">INDEX(Lists!$B$2:$B$13,$R315)</f>
        <v>November</v>
      </c>
      <c r="T315" s="46" t="n">
        <f aca="false">HOUR($F315)</f>
        <v>11</v>
      </c>
      <c r="U315" s="46" t="n">
        <f aca="false">WEEKDAY($E315,2)</f>
        <v>7</v>
      </c>
      <c r="V315" s="46" t="str">
        <f aca="false">INDEX(Lists!$F$2:$F$8,$U315)</f>
        <v>Sunday</v>
      </c>
      <c r="W315" s="85" t="n">
        <f aca="false">($G315+$H315)-($E315+$F315)</f>
        <v>9.71300925925926</v>
      </c>
      <c r="X315" s="46" t="str">
        <f aca="false">LOOKUP($M315,Lists!$G$2:$G$5,Lists!$H$2:$H$5)</f>
        <v>₹500 - 999</v>
      </c>
      <c r="Y315" s="46" t="str">
        <f aca="false">LOOKUP($W315,Lists!$I$2:$I$7,Lists!$J$2:$J$7)</f>
        <v>8 - 10 days</v>
      </c>
    </row>
    <row r="316" customFormat="false" ht="15" hidden="false" customHeight="false" outlineLevel="0" collapsed="false">
      <c r="A316" s="7" t="n">
        <v>315</v>
      </c>
      <c r="B316" s="7" t="s">
        <v>291</v>
      </c>
      <c r="C316" s="7" t="n">
        <v>26</v>
      </c>
      <c r="D316" s="7" t="n">
        <v>5</v>
      </c>
      <c r="E316" s="77" t="n">
        <v>44991</v>
      </c>
      <c r="F316" s="78" t="n">
        <v>0.598275462962963</v>
      </c>
      <c r="G316" s="77" t="n">
        <v>44994</v>
      </c>
      <c r="H316" s="78" t="n">
        <v>0.805798611111111</v>
      </c>
      <c r="I316" s="7" t="s">
        <v>166</v>
      </c>
      <c r="J316" s="7" t="s">
        <v>33</v>
      </c>
      <c r="K316" s="79" t="str">
        <f aca="false">INDEX(Products!$B$2:$B$71,MATCH($C316,Products!$A$2:$A$71,0))</f>
        <v>Aliquam Box</v>
      </c>
      <c r="L316" s="79" t="str">
        <f aca="false">INDEX(Products!$C$2:$C$71,MATCH($C316,Products!$A$2:$A$71,0))</f>
        <v>Colors</v>
      </c>
      <c r="M316" s="80" t="n">
        <f aca="false">INDEX(Products!$D$2:$D$71,MATCH($C316,Products!$A$2:$A$71,0))</f>
        <v>289</v>
      </c>
      <c r="N316" s="80" t="n">
        <f aca="false">$D316*$M316</f>
        <v>1445</v>
      </c>
      <c r="O316" s="79" t="str">
        <f aca="false">INDEX(Customers!$C$2:$C$101,MATCH($B316,Customers!$A$2:$A$101,0))</f>
        <v>Jamnagar</v>
      </c>
      <c r="P316" s="79" t="str">
        <f aca="false">INDEX(Customers!$F$2:$F$101,MATCH($B316,Customers!$A$2:$A$101,0))</f>
        <v>Male</v>
      </c>
      <c r="Q316" s="79" t="str">
        <f aca="false">INDEX(Customers!$B$2:$B$101,MATCH($B316,Customers!$A$2:$A$101,0))</f>
        <v>Arhaan Ahluwalia</v>
      </c>
      <c r="R316" s="79" t="n">
        <f aca="false">MONTH($E316)</f>
        <v>3</v>
      </c>
      <c r="S316" s="79" t="str">
        <f aca="false">INDEX(Lists!$B$2:$B$13,$R316)</f>
        <v>March</v>
      </c>
      <c r="T316" s="79" t="n">
        <f aca="false">HOUR($F316)</f>
        <v>14</v>
      </c>
      <c r="U316" s="79" t="n">
        <f aca="false">WEEKDAY($E316,2)</f>
        <v>1</v>
      </c>
      <c r="V316" s="79" t="str">
        <f aca="false">INDEX(Lists!$F$2:$F$8,$U316)</f>
        <v>Monday</v>
      </c>
      <c r="W316" s="81" t="n">
        <f aca="false">($G316+$H316)-($E316+$F316)</f>
        <v>3.20752314814815</v>
      </c>
      <c r="X316" s="79" t="str">
        <f aca="false">LOOKUP($M316,Lists!$G$2:$G$5,Lists!$H$2:$H$5)</f>
        <v>₹0 - 499</v>
      </c>
      <c r="Y316" s="79" t="str">
        <f aca="false">LOOKUP($W316,Lists!$I$2:$I$7,Lists!$J$2:$J$7)</f>
        <v>2 - 4 days</v>
      </c>
    </row>
    <row r="317" customFormat="false" ht="15" hidden="false" customHeight="false" outlineLevel="0" collapsed="false">
      <c r="A317" s="2" t="n">
        <v>316</v>
      </c>
      <c r="B317" s="2" t="s">
        <v>248</v>
      </c>
      <c r="C317" s="2" t="n">
        <v>2</v>
      </c>
      <c r="D317" s="2" t="n">
        <v>5</v>
      </c>
      <c r="E317" s="82" t="n">
        <v>44968</v>
      </c>
      <c r="F317" s="83" t="n">
        <v>0.899363425925926</v>
      </c>
      <c r="G317" s="82" t="n">
        <v>44972</v>
      </c>
      <c r="H317" s="83" t="n">
        <v>0.306828703703704</v>
      </c>
      <c r="I317" s="2" t="s">
        <v>497</v>
      </c>
      <c r="J317" s="2" t="s">
        <v>179</v>
      </c>
      <c r="K317" s="46" t="str">
        <f aca="false">INDEX(Products!$B$2:$B$71,MATCH($C317,Products!$A$2:$A$71,0))</f>
        <v>Voluptas Box</v>
      </c>
      <c r="L317" s="46" t="str">
        <f aca="false">INDEX(Products!$C$2:$C$71,MATCH($C317,Products!$A$2:$A$71,0))</f>
        <v>Plants</v>
      </c>
      <c r="M317" s="84" t="n">
        <f aca="false">INDEX(Products!$D$2:$D$71,MATCH($C317,Products!$A$2:$A$71,0))</f>
        <v>441</v>
      </c>
      <c r="N317" s="84" t="n">
        <f aca="false">$D317*$M317</f>
        <v>2205</v>
      </c>
      <c r="O317" s="46" t="str">
        <f aca="false">INDEX(Customers!$C$2:$C$101,MATCH($B317,Customers!$A$2:$A$101,0))</f>
        <v>Guntakal</v>
      </c>
      <c r="P317" s="46" t="str">
        <f aca="false">INDEX(Customers!$F$2:$F$101,MATCH($B317,Customers!$A$2:$A$101,0))</f>
        <v>Male</v>
      </c>
      <c r="Q317" s="46" t="str">
        <f aca="false">INDEX(Customers!$B$2:$B$101,MATCH($B317,Customers!$A$2:$A$101,0))</f>
        <v>Aradhya Kale</v>
      </c>
      <c r="R317" s="46" t="n">
        <f aca="false">MONTH($E317)</f>
        <v>2</v>
      </c>
      <c r="S317" s="46" t="str">
        <f aca="false">INDEX(Lists!$B$2:$B$13,$R317)</f>
        <v>February</v>
      </c>
      <c r="T317" s="46" t="n">
        <f aca="false">HOUR($F317)</f>
        <v>21</v>
      </c>
      <c r="U317" s="46" t="n">
        <f aca="false">WEEKDAY($E317,2)</f>
        <v>6</v>
      </c>
      <c r="V317" s="46" t="str">
        <f aca="false">INDEX(Lists!$F$2:$F$8,$U317)</f>
        <v>Saturday</v>
      </c>
      <c r="W317" s="85" t="n">
        <f aca="false">($G317+$H317)-($E317+$F317)</f>
        <v>3.40746527777778</v>
      </c>
      <c r="X317" s="46" t="str">
        <f aca="false">LOOKUP($M317,Lists!$G$2:$G$5,Lists!$H$2:$H$5)</f>
        <v>₹0 - 499</v>
      </c>
      <c r="Y317" s="46" t="str">
        <f aca="false">LOOKUP($W317,Lists!$I$2:$I$7,Lists!$J$2:$J$7)</f>
        <v>2 - 4 days</v>
      </c>
    </row>
    <row r="318" customFormat="false" ht="15" hidden="false" customHeight="false" outlineLevel="0" collapsed="false">
      <c r="A318" s="7" t="n">
        <v>317</v>
      </c>
      <c r="B318" s="7" t="s">
        <v>161</v>
      </c>
      <c r="C318" s="7" t="n">
        <v>29</v>
      </c>
      <c r="D318" s="7" t="n">
        <v>3</v>
      </c>
      <c r="E318" s="77" t="n">
        <v>44992</v>
      </c>
      <c r="F318" s="78" t="n">
        <v>0.785729166666667</v>
      </c>
      <c r="G318" s="77" t="n">
        <v>45000</v>
      </c>
      <c r="H318" s="78" t="n">
        <v>0.675578703703704</v>
      </c>
      <c r="I318" s="7" t="s">
        <v>135</v>
      </c>
      <c r="J318" s="7" t="s">
        <v>33</v>
      </c>
      <c r="K318" s="79" t="str">
        <f aca="false">INDEX(Products!$B$2:$B$71,MATCH($C318,Products!$A$2:$A$71,0))</f>
        <v>In Set</v>
      </c>
      <c r="L318" s="79" t="str">
        <f aca="false">INDEX(Products!$C$2:$C$71,MATCH($C318,Products!$A$2:$A$71,0))</f>
        <v>Colors</v>
      </c>
      <c r="M318" s="80" t="n">
        <f aca="false">INDEX(Products!$D$2:$D$71,MATCH($C318,Products!$A$2:$A$71,0))</f>
        <v>1252</v>
      </c>
      <c r="N318" s="80" t="n">
        <f aca="false">$D318*$M318</f>
        <v>3756</v>
      </c>
      <c r="O318" s="79" t="str">
        <f aca="false">INDEX(Customers!$C$2:$C$101,MATCH($B318,Customers!$A$2:$A$101,0))</f>
        <v>Panvel</v>
      </c>
      <c r="P318" s="79" t="str">
        <f aca="false">INDEX(Customers!$F$2:$F$101,MATCH($B318,Customers!$A$2:$A$101,0))</f>
        <v>Female</v>
      </c>
      <c r="Q318" s="79" t="str">
        <f aca="false">INDEX(Customers!$B$2:$B$101,MATCH($B318,Customers!$A$2:$A$101,0))</f>
        <v>Indrans Shukla</v>
      </c>
      <c r="R318" s="79" t="n">
        <f aca="false">MONTH($E318)</f>
        <v>3</v>
      </c>
      <c r="S318" s="79" t="str">
        <f aca="false">INDEX(Lists!$B$2:$B$13,$R318)</f>
        <v>March</v>
      </c>
      <c r="T318" s="79" t="n">
        <f aca="false">HOUR($F318)</f>
        <v>18</v>
      </c>
      <c r="U318" s="79" t="n">
        <f aca="false">WEEKDAY($E318,2)</f>
        <v>2</v>
      </c>
      <c r="V318" s="79" t="str">
        <f aca="false">INDEX(Lists!$F$2:$F$8,$U318)</f>
        <v>Tuesday</v>
      </c>
      <c r="W318" s="81" t="n">
        <f aca="false">($G318+$H318)-($E318+$F318)</f>
        <v>7.88984953703704</v>
      </c>
      <c r="X318" s="79" t="str">
        <f aca="false">LOOKUP($M318,Lists!$G$2:$G$5,Lists!$H$2:$H$5)</f>
        <v>₹1,000 - 1,499</v>
      </c>
      <c r="Y318" s="79" t="str">
        <f aca="false">LOOKUP($W318,Lists!$I$2:$I$7,Lists!$J$2:$J$7)</f>
        <v>6 - 8 days</v>
      </c>
    </row>
    <row r="319" customFormat="false" ht="15" hidden="false" customHeight="false" outlineLevel="0" collapsed="false">
      <c r="A319" s="2" t="n">
        <v>318</v>
      </c>
      <c r="B319" s="2" t="s">
        <v>218</v>
      </c>
      <c r="C319" s="2" t="n">
        <v>26</v>
      </c>
      <c r="D319" s="2" t="n">
        <v>5</v>
      </c>
      <c r="E319" s="82" t="n">
        <v>44992</v>
      </c>
      <c r="F319" s="83" t="n">
        <v>0.510983796296296</v>
      </c>
      <c r="G319" s="82" t="n">
        <v>44996</v>
      </c>
      <c r="H319" s="83" t="n">
        <v>0.666516203703704</v>
      </c>
      <c r="I319" s="2" t="s">
        <v>414</v>
      </c>
      <c r="J319" s="2" t="s">
        <v>33</v>
      </c>
      <c r="K319" s="46" t="str">
        <f aca="false">INDEX(Products!$B$2:$B$71,MATCH($C319,Products!$A$2:$A$71,0))</f>
        <v>Aliquam Box</v>
      </c>
      <c r="L319" s="46" t="str">
        <f aca="false">INDEX(Products!$C$2:$C$71,MATCH($C319,Products!$A$2:$A$71,0))</f>
        <v>Colors</v>
      </c>
      <c r="M319" s="84" t="n">
        <f aca="false">INDEX(Products!$D$2:$D$71,MATCH($C319,Products!$A$2:$A$71,0))</f>
        <v>289</v>
      </c>
      <c r="N319" s="84" t="n">
        <f aca="false">$D319*$M319</f>
        <v>1445</v>
      </c>
      <c r="O319" s="46" t="str">
        <f aca="false">INDEX(Customers!$C$2:$C$101,MATCH($B319,Customers!$A$2:$A$101,0))</f>
        <v>Aizawl</v>
      </c>
      <c r="P319" s="46" t="str">
        <f aca="false">INDEX(Customers!$F$2:$F$101,MATCH($B319,Customers!$A$2:$A$101,0))</f>
        <v>Female</v>
      </c>
      <c r="Q319" s="46" t="str">
        <f aca="false">INDEX(Customers!$B$2:$B$101,MATCH($B319,Customers!$A$2:$A$101,0))</f>
        <v>Yakshit Shah</v>
      </c>
      <c r="R319" s="46" t="n">
        <f aca="false">MONTH($E319)</f>
        <v>3</v>
      </c>
      <c r="S319" s="46" t="str">
        <f aca="false">INDEX(Lists!$B$2:$B$13,$R319)</f>
        <v>March</v>
      </c>
      <c r="T319" s="46" t="n">
        <f aca="false">HOUR($F319)</f>
        <v>12</v>
      </c>
      <c r="U319" s="46" t="n">
        <f aca="false">WEEKDAY($E319,2)</f>
        <v>2</v>
      </c>
      <c r="V319" s="46" t="str">
        <f aca="false">INDEX(Lists!$F$2:$F$8,$U319)</f>
        <v>Tuesday</v>
      </c>
      <c r="W319" s="85" t="n">
        <f aca="false">($G319+$H319)-($E319+$F319)</f>
        <v>4.15553240740741</v>
      </c>
      <c r="X319" s="46" t="str">
        <f aca="false">LOOKUP($M319,Lists!$G$2:$G$5,Lists!$H$2:$H$5)</f>
        <v>₹0 - 499</v>
      </c>
      <c r="Y319" s="46" t="str">
        <f aca="false">LOOKUP($W319,Lists!$I$2:$I$7,Lists!$J$2:$J$7)</f>
        <v>4 - 6 days</v>
      </c>
    </row>
    <row r="320" customFormat="false" ht="15" hidden="false" customHeight="false" outlineLevel="0" collapsed="false">
      <c r="A320" s="7" t="n">
        <v>319</v>
      </c>
      <c r="B320" s="7" t="s">
        <v>236</v>
      </c>
      <c r="C320" s="7" t="n">
        <v>64</v>
      </c>
      <c r="D320" s="7" t="n">
        <v>1</v>
      </c>
      <c r="E320" s="77" t="n">
        <v>45158</v>
      </c>
      <c r="F320" s="78" t="n">
        <v>0.266053240740741</v>
      </c>
      <c r="G320" s="77" t="n">
        <v>45164</v>
      </c>
      <c r="H320" s="78" t="n">
        <v>0.947488425925926</v>
      </c>
      <c r="I320" s="7" t="s">
        <v>280</v>
      </c>
      <c r="J320" s="7" t="s">
        <v>40</v>
      </c>
      <c r="K320" s="79" t="str">
        <f aca="false">INDEX(Products!$B$2:$B$71,MATCH($C320,Products!$A$2:$A$71,0))</f>
        <v>Nostrum Box</v>
      </c>
      <c r="L320" s="79" t="str">
        <f aca="false">INDEX(Products!$C$2:$C$71,MATCH($C320,Products!$A$2:$A$71,0))</f>
        <v>Soft Toys</v>
      </c>
      <c r="M320" s="80" t="n">
        <f aca="false">INDEX(Products!$D$2:$D$71,MATCH($C320,Products!$A$2:$A$71,0))</f>
        <v>1878</v>
      </c>
      <c r="N320" s="80" t="n">
        <f aca="false">$D320*$M320</f>
        <v>1878</v>
      </c>
      <c r="O320" s="79" t="str">
        <f aca="false">INDEX(Customers!$C$2:$C$101,MATCH($B320,Customers!$A$2:$A$101,0))</f>
        <v>Agra</v>
      </c>
      <c r="P320" s="79" t="str">
        <f aca="false">INDEX(Customers!$F$2:$F$101,MATCH($B320,Customers!$A$2:$A$101,0))</f>
        <v>Male</v>
      </c>
      <c r="Q320" s="79" t="str">
        <f aca="false">INDEX(Customers!$B$2:$B$101,MATCH($B320,Customers!$A$2:$A$101,0))</f>
        <v>Seher Mann</v>
      </c>
      <c r="R320" s="79" t="n">
        <f aca="false">MONTH($E320)</f>
        <v>8</v>
      </c>
      <c r="S320" s="79" t="str">
        <f aca="false">INDEX(Lists!$B$2:$B$13,$R320)</f>
        <v>August</v>
      </c>
      <c r="T320" s="79" t="n">
        <f aca="false">HOUR($F320)</f>
        <v>6</v>
      </c>
      <c r="U320" s="79" t="n">
        <f aca="false">WEEKDAY($E320,2)</f>
        <v>7</v>
      </c>
      <c r="V320" s="79" t="str">
        <f aca="false">INDEX(Lists!$F$2:$F$8,$U320)</f>
        <v>Sunday</v>
      </c>
      <c r="W320" s="81" t="n">
        <f aca="false">($G320+$H320)-($E320+$F320)</f>
        <v>6.68143518518519</v>
      </c>
      <c r="X320" s="79" t="str">
        <f aca="false">LOOKUP($M320,Lists!$G$2:$G$5,Lists!$H$2:$H$5)</f>
        <v>₹1,500 - 2,000</v>
      </c>
      <c r="Y320" s="79" t="str">
        <f aca="false">LOOKUP($W320,Lists!$I$2:$I$7,Lists!$J$2:$J$7)</f>
        <v>6 - 8 days</v>
      </c>
    </row>
    <row r="321" customFormat="false" ht="15" hidden="false" customHeight="false" outlineLevel="0" collapsed="false">
      <c r="A321" s="2" t="n">
        <v>320</v>
      </c>
      <c r="B321" s="2" t="s">
        <v>142</v>
      </c>
      <c r="C321" s="2" t="n">
        <v>13</v>
      </c>
      <c r="D321" s="2" t="n">
        <v>1</v>
      </c>
      <c r="E321" s="82" t="n">
        <v>44986</v>
      </c>
      <c r="F321" s="83" t="n">
        <v>0.326331018518519</v>
      </c>
      <c r="G321" s="82" t="n">
        <v>44993</v>
      </c>
      <c r="H321" s="83" t="n">
        <v>0.359965277777778</v>
      </c>
      <c r="I321" s="2" t="s">
        <v>277</v>
      </c>
      <c r="J321" s="2" t="s">
        <v>33</v>
      </c>
      <c r="K321" s="46" t="str">
        <f aca="false">INDEX(Products!$B$2:$B$71,MATCH($C321,Products!$A$2:$A$71,0))</f>
        <v>Et Set</v>
      </c>
      <c r="L321" s="46" t="str">
        <f aca="false">INDEX(Products!$C$2:$C$71,MATCH($C321,Products!$A$2:$A$71,0))</f>
        <v>Mugs</v>
      </c>
      <c r="M321" s="84" t="n">
        <f aca="false">INDEX(Products!$D$2:$D$71,MATCH($C321,Products!$A$2:$A$71,0))</f>
        <v>1141</v>
      </c>
      <c r="N321" s="84" t="n">
        <f aca="false">$D321*$M321</f>
        <v>1141</v>
      </c>
      <c r="O321" s="46" t="str">
        <f aca="false">INDEX(Customers!$C$2:$C$101,MATCH($B321,Customers!$A$2:$A$101,0))</f>
        <v>Berhampore</v>
      </c>
      <c r="P321" s="46" t="str">
        <f aca="false">INDEX(Customers!$F$2:$F$101,MATCH($B321,Customers!$A$2:$A$101,0))</f>
        <v>Male</v>
      </c>
      <c r="Q321" s="46" t="str">
        <f aca="false">INDEX(Customers!$B$2:$B$101,MATCH($B321,Customers!$A$2:$A$101,0))</f>
        <v>Jayant Kamdar</v>
      </c>
      <c r="R321" s="46" t="n">
        <f aca="false">MONTH($E321)</f>
        <v>3</v>
      </c>
      <c r="S321" s="46" t="str">
        <f aca="false">INDEX(Lists!$B$2:$B$13,$R321)</f>
        <v>March</v>
      </c>
      <c r="T321" s="46" t="n">
        <f aca="false">HOUR($F321)</f>
        <v>7</v>
      </c>
      <c r="U321" s="46" t="n">
        <f aca="false">WEEKDAY($E321,2)</f>
        <v>3</v>
      </c>
      <c r="V321" s="46" t="str">
        <f aca="false">INDEX(Lists!$F$2:$F$8,$U321)</f>
        <v>Wednesday</v>
      </c>
      <c r="W321" s="85" t="n">
        <f aca="false">($G321+$H321)-($E321+$F321)</f>
        <v>7.03363425925926</v>
      </c>
      <c r="X321" s="46" t="str">
        <f aca="false">LOOKUP($M321,Lists!$G$2:$G$5,Lists!$H$2:$H$5)</f>
        <v>₹1,000 - 1,499</v>
      </c>
      <c r="Y321" s="46" t="str">
        <f aca="false">LOOKUP($W321,Lists!$I$2:$I$7,Lists!$J$2:$J$7)</f>
        <v>6 - 8 days</v>
      </c>
    </row>
    <row r="322" customFormat="false" ht="15" hidden="false" customHeight="false" outlineLevel="0" collapsed="false">
      <c r="A322" s="7" t="n">
        <v>321</v>
      </c>
      <c r="B322" s="7" t="s">
        <v>251</v>
      </c>
      <c r="C322" s="7" t="n">
        <v>12</v>
      </c>
      <c r="D322" s="7" t="n">
        <v>5</v>
      </c>
      <c r="E322" s="77" t="n">
        <v>44993</v>
      </c>
      <c r="F322" s="78" t="n">
        <v>0.477141203703704</v>
      </c>
      <c r="G322" s="77" t="n">
        <v>45002</v>
      </c>
      <c r="H322" s="78" t="n">
        <v>0.410914351851852</v>
      </c>
      <c r="I322" s="7" t="s">
        <v>543</v>
      </c>
      <c r="J322" s="7" t="s">
        <v>168</v>
      </c>
      <c r="K322" s="79" t="str">
        <f aca="false">INDEX(Products!$B$2:$B$71,MATCH($C322,Products!$A$2:$A$71,0))</f>
        <v>Non Set</v>
      </c>
      <c r="L322" s="79" t="str">
        <f aca="false">INDEX(Products!$C$2:$C$71,MATCH($C322,Products!$A$2:$A$71,0))</f>
        <v>Plants</v>
      </c>
      <c r="M322" s="80" t="n">
        <f aca="false">INDEX(Products!$D$2:$D$71,MATCH($C322,Products!$A$2:$A$71,0))</f>
        <v>672</v>
      </c>
      <c r="N322" s="80" t="n">
        <f aca="false">$D322*$M322</f>
        <v>3360</v>
      </c>
      <c r="O322" s="79" t="str">
        <f aca="false">INDEX(Customers!$C$2:$C$101,MATCH($B322,Customers!$A$2:$A$101,0))</f>
        <v>Imphal</v>
      </c>
      <c r="P322" s="79" t="str">
        <f aca="false">INDEX(Customers!$F$2:$F$101,MATCH($B322,Customers!$A$2:$A$101,0))</f>
        <v>Female</v>
      </c>
      <c r="Q322" s="79" t="str">
        <f aca="false">INDEX(Customers!$B$2:$B$101,MATCH($B322,Customers!$A$2:$A$101,0))</f>
        <v>Aarush Balasubramanian</v>
      </c>
      <c r="R322" s="79" t="n">
        <f aca="false">MONTH($E322)</f>
        <v>3</v>
      </c>
      <c r="S322" s="79" t="str">
        <f aca="false">INDEX(Lists!$B$2:$B$13,$R322)</f>
        <v>March</v>
      </c>
      <c r="T322" s="79" t="n">
        <f aca="false">HOUR($F322)</f>
        <v>11</v>
      </c>
      <c r="U322" s="79" t="n">
        <f aca="false">WEEKDAY($E322,2)</f>
        <v>3</v>
      </c>
      <c r="V322" s="79" t="str">
        <f aca="false">INDEX(Lists!$F$2:$F$8,$U322)</f>
        <v>Wednesday</v>
      </c>
      <c r="W322" s="81" t="n">
        <f aca="false">($G322+$H322)-($E322+$F322)</f>
        <v>8.93377314814815</v>
      </c>
      <c r="X322" s="79" t="str">
        <f aca="false">LOOKUP($M322,Lists!$G$2:$G$5,Lists!$H$2:$H$5)</f>
        <v>₹500 - 999</v>
      </c>
      <c r="Y322" s="79" t="str">
        <f aca="false">LOOKUP($W322,Lists!$I$2:$I$7,Lists!$J$2:$J$7)</f>
        <v>8 - 10 days</v>
      </c>
    </row>
    <row r="323" customFormat="false" ht="15" hidden="false" customHeight="false" outlineLevel="0" collapsed="false">
      <c r="A323" s="2" t="n">
        <v>322</v>
      </c>
      <c r="B323" s="2" t="s">
        <v>272</v>
      </c>
      <c r="C323" s="2" t="n">
        <v>15</v>
      </c>
      <c r="D323" s="2" t="n">
        <v>1</v>
      </c>
      <c r="E323" s="82" t="n">
        <v>45027</v>
      </c>
      <c r="F323" s="83" t="n">
        <v>0.35568287037037</v>
      </c>
      <c r="G323" s="82" t="n">
        <v>45031</v>
      </c>
      <c r="H323" s="83" t="n">
        <v>0.146145833333333</v>
      </c>
      <c r="I323" s="2" t="s">
        <v>597</v>
      </c>
      <c r="J323" s="2" t="s">
        <v>168</v>
      </c>
      <c r="K323" s="46" t="str">
        <f aca="false">INDEX(Products!$B$2:$B$71,MATCH($C323,Products!$A$2:$A$71,0))</f>
        <v>Repudiandae Box</v>
      </c>
      <c r="L323" s="46" t="str">
        <f aca="false">INDEX(Products!$C$2:$C$71,MATCH($C323,Products!$A$2:$A$71,0))</f>
        <v>Raksha Bandhan</v>
      </c>
      <c r="M323" s="84" t="n">
        <f aca="false">INDEX(Products!$D$2:$D$71,MATCH($C323,Products!$A$2:$A$71,0))</f>
        <v>1488</v>
      </c>
      <c r="N323" s="84" t="n">
        <f aca="false">$D323*$M323</f>
        <v>1488</v>
      </c>
      <c r="O323" s="46" t="str">
        <f aca="false">INDEX(Customers!$C$2:$C$101,MATCH($B323,Customers!$A$2:$A$101,0))</f>
        <v>Haridwar</v>
      </c>
      <c r="P323" s="46" t="str">
        <f aca="false">INDEX(Customers!$F$2:$F$101,MATCH($B323,Customers!$A$2:$A$101,0))</f>
        <v>Male</v>
      </c>
      <c r="Q323" s="46" t="str">
        <f aca="false">INDEX(Customers!$B$2:$B$101,MATCH($B323,Customers!$A$2:$A$101,0))</f>
        <v>Pihu Choudhury</v>
      </c>
      <c r="R323" s="46" t="n">
        <f aca="false">MONTH($E323)</f>
        <v>4</v>
      </c>
      <c r="S323" s="46" t="str">
        <f aca="false">INDEX(Lists!$B$2:$B$13,$R323)</f>
        <v>April</v>
      </c>
      <c r="T323" s="46" t="n">
        <f aca="false">HOUR($F323)</f>
        <v>8</v>
      </c>
      <c r="U323" s="46" t="n">
        <f aca="false">WEEKDAY($E323,2)</f>
        <v>2</v>
      </c>
      <c r="V323" s="46" t="str">
        <f aca="false">INDEX(Lists!$F$2:$F$8,$U323)</f>
        <v>Tuesday</v>
      </c>
      <c r="W323" s="85" t="n">
        <f aca="false">($G323+$H323)-($E323+$F323)</f>
        <v>3.79046296296296</v>
      </c>
      <c r="X323" s="46" t="str">
        <f aca="false">LOOKUP($M323,Lists!$G$2:$G$5,Lists!$H$2:$H$5)</f>
        <v>₹1,000 - 1,499</v>
      </c>
      <c r="Y323" s="46" t="str">
        <f aca="false">LOOKUP($W323,Lists!$I$2:$I$7,Lists!$J$2:$J$7)</f>
        <v>2 - 4 days</v>
      </c>
    </row>
    <row r="324" customFormat="false" ht="15" hidden="false" customHeight="false" outlineLevel="0" collapsed="false">
      <c r="A324" s="7" t="n">
        <v>323</v>
      </c>
      <c r="B324" s="7" t="s">
        <v>159</v>
      </c>
      <c r="C324" s="7" t="n">
        <v>23</v>
      </c>
      <c r="D324" s="7" t="n">
        <v>2</v>
      </c>
      <c r="E324" s="77" t="n">
        <v>44966</v>
      </c>
      <c r="F324" s="78" t="n">
        <v>0.759074074074074</v>
      </c>
      <c r="G324" s="77" t="n">
        <v>44967</v>
      </c>
      <c r="H324" s="78" t="n">
        <v>0.432349537037037</v>
      </c>
      <c r="I324" s="7" t="s">
        <v>457</v>
      </c>
      <c r="J324" s="7" t="s">
        <v>168</v>
      </c>
      <c r="K324" s="79" t="str">
        <f aca="false">INDEX(Products!$B$2:$B$71,MATCH($C324,Products!$A$2:$A$71,0))</f>
        <v>Dignissimos Pack</v>
      </c>
      <c r="L324" s="79" t="str">
        <f aca="false">INDEX(Products!$C$2:$C$71,MATCH($C324,Products!$A$2:$A$71,0))</f>
        <v>Sweets</v>
      </c>
      <c r="M324" s="80" t="n">
        <f aca="false">INDEX(Products!$D$2:$D$71,MATCH($C324,Products!$A$2:$A$71,0))</f>
        <v>1098</v>
      </c>
      <c r="N324" s="80" t="n">
        <f aca="false">$D324*$M324</f>
        <v>2196</v>
      </c>
      <c r="O324" s="79" t="str">
        <f aca="false">INDEX(Customers!$C$2:$C$101,MATCH($B324,Customers!$A$2:$A$101,0))</f>
        <v>Mangalore</v>
      </c>
      <c r="P324" s="79" t="str">
        <f aca="false">INDEX(Customers!$F$2:$F$101,MATCH($B324,Customers!$A$2:$A$101,0))</f>
        <v>Female</v>
      </c>
      <c r="Q324" s="79" t="str">
        <f aca="false">INDEX(Customers!$B$2:$B$101,MATCH($B324,Customers!$A$2:$A$101,0))</f>
        <v>Manikya Goswami</v>
      </c>
      <c r="R324" s="79" t="n">
        <f aca="false">MONTH($E324)</f>
        <v>2</v>
      </c>
      <c r="S324" s="79" t="str">
        <f aca="false">INDEX(Lists!$B$2:$B$13,$R324)</f>
        <v>February</v>
      </c>
      <c r="T324" s="79" t="n">
        <f aca="false">HOUR($F324)</f>
        <v>18</v>
      </c>
      <c r="U324" s="79" t="n">
        <f aca="false">WEEKDAY($E324,2)</f>
        <v>4</v>
      </c>
      <c r="V324" s="79" t="str">
        <f aca="false">INDEX(Lists!$F$2:$F$8,$U324)</f>
        <v>Thursday</v>
      </c>
      <c r="W324" s="81" t="n">
        <f aca="false">($G324+$H324)-($E324+$F324)</f>
        <v>0.673275462962963</v>
      </c>
      <c r="X324" s="79" t="str">
        <f aca="false">LOOKUP($M324,Lists!$G$2:$G$5,Lists!$H$2:$H$5)</f>
        <v>₹1,000 - 1,499</v>
      </c>
      <c r="Y324" s="79" t="str">
        <f aca="false">LOOKUP($W324,Lists!$I$2:$I$7,Lists!$J$2:$J$7)</f>
        <v>0 - 2 days</v>
      </c>
    </row>
    <row r="325" customFormat="false" ht="15" hidden="false" customHeight="false" outlineLevel="0" collapsed="false">
      <c r="A325" s="2" t="n">
        <v>324</v>
      </c>
      <c r="B325" s="2" t="s">
        <v>319</v>
      </c>
      <c r="C325" s="2" t="n">
        <v>14</v>
      </c>
      <c r="D325" s="2" t="n">
        <v>2</v>
      </c>
      <c r="E325" s="82" t="n">
        <v>44959</v>
      </c>
      <c r="F325" s="83" t="n">
        <v>0.782962962962963</v>
      </c>
      <c r="G325" s="82" t="n">
        <v>44968</v>
      </c>
      <c r="H325" s="83" t="n">
        <v>0.649236111111111</v>
      </c>
      <c r="I325" s="2" t="s">
        <v>513</v>
      </c>
      <c r="J325" s="2" t="s">
        <v>31</v>
      </c>
      <c r="K325" s="46" t="str">
        <f aca="false">INDEX(Products!$B$2:$B$71,MATCH($C325,Products!$A$2:$A$71,0))</f>
        <v>Deserunt Box</v>
      </c>
      <c r="L325" s="46" t="str">
        <f aca="false">INDEX(Products!$C$2:$C$71,MATCH($C325,Products!$A$2:$A$71,0))</f>
        <v>Colors</v>
      </c>
      <c r="M325" s="84" t="n">
        <f aca="false">INDEX(Products!$D$2:$D$71,MATCH($C325,Products!$A$2:$A$71,0))</f>
        <v>1915</v>
      </c>
      <c r="N325" s="84" t="n">
        <f aca="false">$D325*$M325</f>
        <v>3830</v>
      </c>
      <c r="O325" s="46" t="str">
        <f aca="false">INDEX(Customers!$C$2:$C$101,MATCH($B325,Customers!$A$2:$A$101,0))</f>
        <v>Parbhani</v>
      </c>
      <c r="P325" s="46" t="str">
        <f aca="false">INDEX(Customers!$F$2:$F$101,MATCH($B325,Customers!$A$2:$A$101,0))</f>
        <v>Male</v>
      </c>
      <c r="Q325" s="46" t="str">
        <f aca="false">INDEX(Customers!$B$2:$B$101,MATCH($B325,Customers!$A$2:$A$101,0))</f>
        <v>Zeeshan Tailor</v>
      </c>
      <c r="R325" s="46" t="n">
        <f aca="false">MONTH($E325)</f>
        <v>2</v>
      </c>
      <c r="S325" s="46" t="str">
        <f aca="false">INDEX(Lists!$B$2:$B$13,$R325)</f>
        <v>February</v>
      </c>
      <c r="T325" s="46" t="n">
        <f aca="false">HOUR($F325)</f>
        <v>18</v>
      </c>
      <c r="U325" s="46" t="n">
        <f aca="false">WEEKDAY($E325,2)</f>
        <v>4</v>
      </c>
      <c r="V325" s="46" t="str">
        <f aca="false">INDEX(Lists!$F$2:$F$8,$U325)</f>
        <v>Thursday</v>
      </c>
      <c r="W325" s="85" t="n">
        <f aca="false">($G325+$H325)-($E325+$F325)</f>
        <v>8.86627314814815</v>
      </c>
      <c r="X325" s="46" t="str">
        <f aca="false">LOOKUP($M325,Lists!$G$2:$G$5,Lists!$H$2:$H$5)</f>
        <v>₹1,500 - 2,000</v>
      </c>
      <c r="Y325" s="46" t="str">
        <f aca="false">LOOKUP($W325,Lists!$I$2:$I$7,Lists!$J$2:$J$7)</f>
        <v>8 - 10 days</v>
      </c>
    </row>
    <row r="326" customFormat="false" ht="15" hidden="false" customHeight="false" outlineLevel="0" collapsed="false">
      <c r="A326" s="7" t="n">
        <v>325</v>
      </c>
      <c r="B326" s="7" t="s">
        <v>369</v>
      </c>
      <c r="C326" s="7" t="n">
        <v>27</v>
      </c>
      <c r="D326" s="7" t="n">
        <v>5</v>
      </c>
      <c r="E326" s="77" t="n">
        <v>45163</v>
      </c>
      <c r="F326" s="78" t="n">
        <v>0.771354166666667</v>
      </c>
      <c r="G326" s="77" t="n">
        <v>45173</v>
      </c>
      <c r="H326" s="78" t="n">
        <v>0.835150462962963</v>
      </c>
      <c r="I326" s="7" t="s">
        <v>171</v>
      </c>
      <c r="J326" s="7" t="s">
        <v>40</v>
      </c>
      <c r="K326" s="79" t="str">
        <f aca="false">INDEX(Products!$B$2:$B$71,MATCH($C326,Products!$A$2:$A$71,0))</f>
        <v>Architecto Gift</v>
      </c>
      <c r="L326" s="79" t="str">
        <f aca="false">INDEX(Products!$C$2:$C$71,MATCH($C326,Products!$A$2:$A$71,0))</f>
        <v>Cake</v>
      </c>
      <c r="M326" s="80" t="n">
        <f aca="false">INDEX(Products!$D$2:$D$71,MATCH($C326,Products!$A$2:$A$71,0))</f>
        <v>548</v>
      </c>
      <c r="N326" s="80" t="n">
        <f aca="false">$D326*$M326</f>
        <v>2740</v>
      </c>
      <c r="O326" s="79" t="str">
        <f aca="false">INDEX(Customers!$C$2:$C$101,MATCH($B326,Customers!$A$2:$A$101,0))</f>
        <v>New Delhi</v>
      </c>
      <c r="P326" s="79" t="str">
        <f aca="false">INDEX(Customers!$F$2:$F$101,MATCH($B326,Customers!$A$2:$A$101,0))</f>
        <v>Female</v>
      </c>
      <c r="Q326" s="79" t="str">
        <f aca="false">INDEX(Customers!$B$2:$B$101,MATCH($B326,Customers!$A$2:$A$101,0))</f>
        <v>Adira Rajan</v>
      </c>
      <c r="R326" s="79" t="n">
        <f aca="false">MONTH($E326)</f>
        <v>8</v>
      </c>
      <c r="S326" s="79" t="str">
        <f aca="false">INDEX(Lists!$B$2:$B$13,$R326)</f>
        <v>August</v>
      </c>
      <c r="T326" s="79" t="n">
        <f aca="false">HOUR($F326)</f>
        <v>18</v>
      </c>
      <c r="U326" s="79" t="n">
        <f aca="false">WEEKDAY($E326,2)</f>
        <v>5</v>
      </c>
      <c r="V326" s="79" t="str">
        <f aca="false">INDEX(Lists!$F$2:$F$8,$U326)</f>
        <v>Friday</v>
      </c>
      <c r="W326" s="81" t="n">
        <f aca="false">($G326+$H326)-($E326+$F326)</f>
        <v>10.0637962962963</v>
      </c>
      <c r="X326" s="79" t="str">
        <f aca="false">LOOKUP($M326,Lists!$G$2:$G$5,Lists!$H$2:$H$5)</f>
        <v>₹500 - 999</v>
      </c>
      <c r="Y326" s="79" t="str">
        <f aca="false">LOOKUP($W326,Lists!$I$2:$I$7,Lists!$J$2:$J$7)</f>
        <v>Over 10 days</v>
      </c>
    </row>
    <row r="327" customFormat="false" ht="15" hidden="false" customHeight="false" outlineLevel="0" collapsed="false">
      <c r="A327" s="2" t="n">
        <v>326</v>
      </c>
      <c r="B327" s="2" t="s">
        <v>360</v>
      </c>
      <c r="C327" s="2" t="n">
        <v>34</v>
      </c>
      <c r="D327" s="2" t="n">
        <v>3</v>
      </c>
      <c r="E327" s="82" t="n">
        <v>45165</v>
      </c>
      <c r="F327" s="83" t="n">
        <v>0.652141203703704</v>
      </c>
      <c r="G327" s="82" t="n">
        <v>45172</v>
      </c>
      <c r="H327" s="83" t="n">
        <v>0.648287037037037</v>
      </c>
      <c r="I327" s="2" t="s">
        <v>519</v>
      </c>
      <c r="J327" s="2" t="s">
        <v>40</v>
      </c>
      <c r="K327" s="46" t="str">
        <f aca="false">INDEX(Products!$B$2:$B$71,MATCH($C327,Products!$A$2:$A$71,0))</f>
        <v>Placeat Pack</v>
      </c>
      <c r="L327" s="46" t="str">
        <f aca="false">INDEX(Products!$C$2:$C$71,MATCH($C327,Products!$A$2:$A$71,0))</f>
        <v>Soft Toys</v>
      </c>
      <c r="M327" s="84" t="n">
        <f aca="false">INDEX(Products!$D$2:$D$71,MATCH($C327,Products!$A$2:$A$71,0))</f>
        <v>1335</v>
      </c>
      <c r="N327" s="84" t="n">
        <f aca="false">$D327*$M327</f>
        <v>4005</v>
      </c>
      <c r="O327" s="46" t="str">
        <f aca="false">INDEX(Customers!$C$2:$C$101,MATCH($B327,Customers!$A$2:$A$101,0))</f>
        <v>Khora </v>
      </c>
      <c r="P327" s="46" t="str">
        <f aca="false">INDEX(Customers!$F$2:$F$101,MATCH($B327,Customers!$A$2:$A$101,0))</f>
        <v>Female</v>
      </c>
      <c r="Q327" s="46" t="str">
        <f aca="false">INDEX(Customers!$B$2:$B$101,MATCH($B327,Customers!$A$2:$A$101,0))</f>
        <v>Shalv Kulkarni</v>
      </c>
      <c r="R327" s="46" t="n">
        <f aca="false">MONTH($E327)</f>
        <v>8</v>
      </c>
      <c r="S327" s="46" t="str">
        <f aca="false">INDEX(Lists!$B$2:$B$13,$R327)</f>
        <v>August</v>
      </c>
      <c r="T327" s="46" t="n">
        <f aca="false">HOUR($F327)</f>
        <v>15</v>
      </c>
      <c r="U327" s="46" t="n">
        <f aca="false">WEEKDAY($E327,2)</f>
        <v>7</v>
      </c>
      <c r="V327" s="46" t="str">
        <f aca="false">INDEX(Lists!$F$2:$F$8,$U327)</f>
        <v>Sunday</v>
      </c>
      <c r="W327" s="85" t="n">
        <f aca="false">($G327+$H327)-($E327+$F327)</f>
        <v>6.99614583333333</v>
      </c>
      <c r="X327" s="46" t="str">
        <f aca="false">LOOKUP($M327,Lists!$G$2:$G$5,Lists!$H$2:$H$5)</f>
        <v>₹1,000 - 1,499</v>
      </c>
      <c r="Y327" s="46" t="str">
        <f aca="false">LOOKUP($W327,Lists!$I$2:$I$7,Lists!$J$2:$J$7)</f>
        <v>6 - 8 days</v>
      </c>
    </row>
    <row r="328" customFormat="false" ht="15" hidden="false" customHeight="false" outlineLevel="0" collapsed="false">
      <c r="A328" s="7" t="n">
        <v>327</v>
      </c>
      <c r="B328" s="7" t="s">
        <v>248</v>
      </c>
      <c r="C328" s="7" t="n">
        <v>51</v>
      </c>
      <c r="D328" s="7" t="n">
        <v>1</v>
      </c>
      <c r="E328" s="77" t="n">
        <v>45193</v>
      </c>
      <c r="F328" s="78" t="n">
        <v>0.395196759259259</v>
      </c>
      <c r="G328" s="77" t="n">
        <v>45195</v>
      </c>
      <c r="H328" s="78" t="n">
        <v>0.839641203703704</v>
      </c>
      <c r="I328" s="7" t="s">
        <v>497</v>
      </c>
      <c r="J328" s="7" t="s">
        <v>165</v>
      </c>
      <c r="K328" s="79" t="str">
        <f aca="false">INDEX(Products!$B$2:$B$71,MATCH($C328,Products!$A$2:$A$71,0))</f>
        <v>Fugit Set</v>
      </c>
      <c r="L328" s="79" t="str">
        <f aca="false">INDEX(Products!$C$2:$C$71,MATCH($C328,Products!$A$2:$A$71,0))</f>
        <v>Soft Toys</v>
      </c>
      <c r="M328" s="80" t="n">
        <f aca="false">INDEX(Products!$D$2:$D$71,MATCH($C328,Products!$A$2:$A$71,0))</f>
        <v>1084</v>
      </c>
      <c r="N328" s="80" t="n">
        <f aca="false">$D328*$M328</f>
        <v>1084</v>
      </c>
      <c r="O328" s="79" t="str">
        <f aca="false">INDEX(Customers!$C$2:$C$101,MATCH($B328,Customers!$A$2:$A$101,0))</f>
        <v>Guntakal</v>
      </c>
      <c r="P328" s="79" t="str">
        <f aca="false">INDEX(Customers!$F$2:$F$101,MATCH($B328,Customers!$A$2:$A$101,0))</f>
        <v>Male</v>
      </c>
      <c r="Q328" s="79" t="str">
        <f aca="false">INDEX(Customers!$B$2:$B$101,MATCH($B328,Customers!$A$2:$A$101,0))</f>
        <v>Aradhya Kale</v>
      </c>
      <c r="R328" s="79" t="n">
        <f aca="false">MONTH($E328)</f>
        <v>9</v>
      </c>
      <c r="S328" s="79" t="str">
        <f aca="false">INDEX(Lists!$B$2:$B$13,$R328)</f>
        <v>September</v>
      </c>
      <c r="T328" s="79" t="n">
        <f aca="false">HOUR($F328)</f>
        <v>9</v>
      </c>
      <c r="U328" s="79" t="n">
        <f aca="false">WEEKDAY($E328,2)</f>
        <v>7</v>
      </c>
      <c r="V328" s="79" t="str">
        <f aca="false">INDEX(Lists!$F$2:$F$8,$U328)</f>
        <v>Sunday</v>
      </c>
      <c r="W328" s="81" t="n">
        <f aca="false">($G328+$H328)-($E328+$F328)</f>
        <v>2.44444444444444</v>
      </c>
      <c r="X328" s="79" t="str">
        <f aca="false">LOOKUP($M328,Lists!$G$2:$G$5,Lists!$H$2:$H$5)</f>
        <v>₹1,000 - 1,499</v>
      </c>
      <c r="Y328" s="79" t="str">
        <f aca="false">LOOKUP($W328,Lists!$I$2:$I$7,Lists!$J$2:$J$7)</f>
        <v>2 - 4 days</v>
      </c>
    </row>
    <row r="329" customFormat="false" ht="15" hidden="false" customHeight="false" outlineLevel="0" collapsed="false">
      <c r="A329" s="2" t="n">
        <v>328</v>
      </c>
      <c r="B329" s="2" t="s">
        <v>185</v>
      </c>
      <c r="C329" s="2" t="n">
        <v>23</v>
      </c>
      <c r="D329" s="2" t="n">
        <v>3</v>
      </c>
      <c r="E329" s="82" t="n">
        <v>45033</v>
      </c>
      <c r="F329" s="83" t="n">
        <v>0.744189814814815</v>
      </c>
      <c r="G329" s="82" t="n">
        <v>45038</v>
      </c>
      <c r="H329" s="83" t="n">
        <v>0.374513888888889</v>
      </c>
      <c r="I329" s="2" t="s">
        <v>479</v>
      </c>
      <c r="J329" s="2" t="s">
        <v>168</v>
      </c>
      <c r="K329" s="46" t="str">
        <f aca="false">INDEX(Products!$B$2:$B$71,MATCH($C329,Products!$A$2:$A$71,0))</f>
        <v>Dignissimos Pack</v>
      </c>
      <c r="L329" s="46" t="str">
        <f aca="false">INDEX(Products!$C$2:$C$71,MATCH($C329,Products!$A$2:$A$71,0))</f>
        <v>Sweets</v>
      </c>
      <c r="M329" s="84" t="n">
        <f aca="false">INDEX(Products!$D$2:$D$71,MATCH($C329,Products!$A$2:$A$71,0))</f>
        <v>1098</v>
      </c>
      <c r="N329" s="84" t="n">
        <f aca="false">$D329*$M329</f>
        <v>3294</v>
      </c>
      <c r="O329" s="46" t="str">
        <f aca="false">INDEX(Customers!$C$2:$C$101,MATCH($B329,Customers!$A$2:$A$101,0))</f>
        <v>Kavali</v>
      </c>
      <c r="P329" s="46" t="str">
        <f aca="false">INDEX(Customers!$F$2:$F$101,MATCH($B329,Customers!$A$2:$A$101,0))</f>
        <v>Female</v>
      </c>
      <c r="Q329" s="46" t="str">
        <f aca="false">INDEX(Customers!$B$2:$B$101,MATCH($B329,Customers!$A$2:$A$101,0))</f>
        <v>Jhanvi Chowdhury</v>
      </c>
      <c r="R329" s="46" t="n">
        <f aca="false">MONTH($E329)</f>
        <v>4</v>
      </c>
      <c r="S329" s="46" t="str">
        <f aca="false">INDEX(Lists!$B$2:$B$13,$R329)</f>
        <v>April</v>
      </c>
      <c r="T329" s="46" t="n">
        <f aca="false">HOUR($F329)</f>
        <v>17</v>
      </c>
      <c r="U329" s="46" t="n">
        <f aca="false">WEEKDAY($E329,2)</f>
        <v>1</v>
      </c>
      <c r="V329" s="46" t="str">
        <f aca="false">INDEX(Lists!$F$2:$F$8,$U329)</f>
        <v>Monday</v>
      </c>
      <c r="W329" s="85" t="n">
        <f aca="false">($G329+$H329)-($E329+$F329)</f>
        <v>4.63032407407407</v>
      </c>
      <c r="X329" s="46" t="str">
        <f aca="false">LOOKUP($M329,Lists!$G$2:$G$5,Lists!$H$2:$H$5)</f>
        <v>₹1,000 - 1,499</v>
      </c>
      <c r="Y329" s="46" t="str">
        <f aca="false">LOOKUP($W329,Lists!$I$2:$I$7,Lists!$J$2:$J$7)</f>
        <v>4 - 6 days</v>
      </c>
    </row>
    <row r="330" customFormat="false" ht="15" hidden="false" customHeight="false" outlineLevel="0" collapsed="false">
      <c r="A330" s="7" t="n">
        <v>329</v>
      </c>
      <c r="B330" s="7" t="s">
        <v>379</v>
      </c>
      <c r="C330" s="7" t="n">
        <v>17</v>
      </c>
      <c r="D330" s="7" t="n">
        <v>3</v>
      </c>
      <c r="E330" s="77" t="n">
        <v>45164</v>
      </c>
      <c r="F330" s="78" t="n">
        <v>0.0986458333333333</v>
      </c>
      <c r="G330" s="77" t="n">
        <v>45173</v>
      </c>
      <c r="H330" s="78" t="n">
        <v>0.131157407407407</v>
      </c>
      <c r="I330" s="7" t="s">
        <v>507</v>
      </c>
      <c r="J330" s="7" t="s">
        <v>168</v>
      </c>
      <c r="K330" s="79" t="str">
        <f aca="false">INDEX(Products!$B$2:$B$71,MATCH($C330,Products!$A$2:$A$71,0))</f>
        <v>Delectus Gift</v>
      </c>
      <c r="L330" s="79" t="str">
        <f aca="false">INDEX(Products!$C$2:$C$71,MATCH($C330,Products!$A$2:$A$71,0))</f>
        <v>Soft Toys</v>
      </c>
      <c r="M330" s="80" t="n">
        <f aca="false">INDEX(Products!$D$2:$D$71,MATCH($C330,Products!$A$2:$A$71,0))</f>
        <v>1899</v>
      </c>
      <c r="N330" s="80" t="n">
        <f aca="false">$D330*$M330</f>
        <v>5697</v>
      </c>
      <c r="O330" s="79" t="str">
        <f aca="false">INDEX(Customers!$C$2:$C$101,MATCH($B330,Customers!$A$2:$A$101,0))</f>
        <v>Warangal</v>
      </c>
      <c r="P330" s="79" t="str">
        <f aca="false">INDEX(Customers!$F$2:$F$101,MATCH($B330,Customers!$A$2:$A$101,0))</f>
        <v>Female</v>
      </c>
      <c r="Q330" s="79" t="str">
        <f aca="false">INDEX(Customers!$B$2:$B$101,MATCH($B330,Customers!$A$2:$A$101,0))</f>
        <v>Mahika Cherian</v>
      </c>
      <c r="R330" s="79" t="n">
        <f aca="false">MONTH($E330)</f>
        <v>8</v>
      </c>
      <c r="S330" s="79" t="str">
        <f aca="false">INDEX(Lists!$B$2:$B$13,$R330)</f>
        <v>August</v>
      </c>
      <c r="T330" s="79" t="n">
        <f aca="false">HOUR($F330)</f>
        <v>2</v>
      </c>
      <c r="U330" s="79" t="n">
        <f aca="false">WEEKDAY($E330,2)</f>
        <v>6</v>
      </c>
      <c r="V330" s="79" t="str">
        <f aca="false">INDEX(Lists!$F$2:$F$8,$U330)</f>
        <v>Saturday</v>
      </c>
      <c r="W330" s="81" t="n">
        <f aca="false">($G330+$H330)-($E330+$F330)</f>
        <v>9.03251157407408</v>
      </c>
      <c r="X330" s="79" t="str">
        <f aca="false">LOOKUP($M330,Lists!$G$2:$G$5,Lists!$H$2:$H$5)</f>
        <v>₹1,500 - 2,000</v>
      </c>
      <c r="Y330" s="79" t="str">
        <f aca="false">LOOKUP($W330,Lists!$I$2:$I$7,Lists!$J$2:$J$7)</f>
        <v>8 - 10 days</v>
      </c>
    </row>
    <row r="331" customFormat="false" ht="15" hidden="false" customHeight="false" outlineLevel="0" collapsed="false">
      <c r="A331" s="2" t="n">
        <v>330</v>
      </c>
      <c r="B331" s="2" t="s">
        <v>281</v>
      </c>
      <c r="C331" s="2" t="n">
        <v>59</v>
      </c>
      <c r="D331" s="2" t="n">
        <v>2</v>
      </c>
      <c r="E331" s="82" t="n">
        <v>45162</v>
      </c>
      <c r="F331" s="83" t="n">
        <v>0.850798611111111</v>
      </c>
      <c r="G331" s="82" t="n">
        <v>45170</v>
      </c>
      <c r="H331" s="83" t="n">
        <v>0.518287037037037</v>
      </c>
      <c r="I331" s="2" t="s">
        <v>562</v>
      </c>
      <c r="J331" s="2" t="s">
        <v>40</v>
      </c>
      <c r="K331" s="46" t="str">
        <f aca="false">INDEX(Products!$B$2:$B$71,MATCH($C331,Products!$A$2:$A$71,0))</f>
        <v>Pariatur Box</v>
      </c>
      <c r="L331" s="46" t="str">
        <f aca="false">INDEX(Products!$C$2:$C$71,MATCH($C331,Products!$A$2:$A$71,0))</f>
        <v>Cake</v>
      </c>
      <c r="M331" s="84" t="n">
        <f aca="false">INDEX(Products!$D$2:$D$71,MATCH($C331,Products!$A$2:$A$71,0))</f>
        <v>811</v>
      </c>
      <c r="N331" s="84" t="n">
        <f aca="false">$D331*$M331</f>
        <v>1622</v>
      </c>
      <c r="O331" s="46" t="str">
        <f aca="false">INDEX(Customers!$C$2:$C$101,MATCH($B331,Customers!$A$2:$A$101,0))</f>
        <v>Kalyan-Dombivli</v>
      </c>
      <c r="P331" s="46" t="str">
        <f aca="false">INDEX(Customers!$F$2:$F$101,MATCH($B331,Customers!$A$2:$A$101,0))</f>
        <v>Male</v>
      </c>
      <c r="Q331" s="46" t="str">
        <f aca="false">INDEX(Customers!$B$2:$B$101,MATCH($B331,Customers!$A$2:$A$101,0))</f>
        <v>Nirvi Wagle</v>
      </c>
      <c r="R331" s="46" t="n">
        <f aca="false">MONTH($E331)</f>
        <v>8</v>
      </c>
      <c r="S331" s="46" t="str">
        <f aca="false">INDEX(Lists!$B$2:$B$13,$R331)</f>
        <v>August</v>
      </c>
      <c r="T331" s="46" t="n">
        <f aca="false">HOUR($F331)</f>
        <v>20</v>
      </c>
      <c r="U331" s="46" t="n">
        <f aca="false">WEEKDAY($E331,2)</f>
        <v>4</v>
      </c>
      <c r="V331" s="46" t="str">
        <f aca="false">INDEX(Lists!$F$2:$F$8,$U331)</f>
        <v>Thursday</v>
      </c>
      <c r="W331" s="85" t="n">
        <f aca="false">($G331+$H331)-($E331+$F331)</f>
        <v>7.66748842592593</v>
      </c>
      <c r="X331" s="46" t="str">
        <f aca="false">LOOKUP($M331,Lists!$G$2:$G$5,Lists!$H$2:$H$5)</f>
        <v>₹500 - 999</v>
      </c>
      <c r="Y331" s="46" t="str">
        <f aca="false">LOOKUP($W331,Lists!$I$2:$I$7,Lists!$J$2:$J$7)</f>
        <v>6 - 8 days</v>
      </c>
    </row>
    <row r="332" customFormat="false" ht="15" hidden="false" customHeight="false" outlineLevel="0" collapsed="false">
      <c r="A332" s="7" t="n">
        <v>331</v>
      </c>
      <c r="B332" s="7" t="s">
        <v>183</v>
      </c>
      <c r="C332" s="7" t="n">
        <v>41</v>
      </c>
      <c r="D332" s="7" t="n">
        <v>5</v>
      </c>
      <c r="E332" s="77" t="n">
        <v>45234</v>
      </c>
      <c r="F332" s="78" t="n">
        <v>0.909675925925926</v>
      </c>
      <c r="G332" s="77" t="n">
        <v>45235</v>
      </c>
      <c r="H332" s="78" t="n">
        <v>0.592731481481482</v>
      </c>
      <c r="I332" s="7" t="s">
        <v>525</v>
      </c>
      <c r="J332" s="7" t="s">
        <v>32</v>
      </c>
      <c r="K332" s="79" t="str">
        <f aca="false">INDEX(Products!$B$2:$B$71,MATCH($C332,Products!$A$2:$A$71,0))</f>
        <v>Aut Box</v>
      </c>
      <c r="L332" s="79" t="str">
        <f aca="false">INDEX(Products!$C$2:$C$71,MATCH($C332,Products!$A$2:$A$71,0))</f>
        <v>Sweets</v>
      </c>
      <c r="M332" s="80" t="n">
        <f aca="false">INDEX(Products!$D$2:$D$71,MATCH($C332,Products!$A$2:$A$71,0))</f>
        <v>1977</v>
      </c>
      <c r="N332" s="80" t="n">
        <f aca="false">$D332*$M332</f>
        <v>9885</v>
      </c>
      <c r="O332" s="79" t="str">
        <f aca="false">INDEX(Customers!$C$2:$C$101,MATCH($B332,Customers!$A$2:$A$101,0))</f>
        <v>Bidhannagar</v>
      </c>
      <c r="P332" s="79" t="str">
        <f aca="false">INDEX(Customers!$F$2:$F$101,MATCH($B332,Customers!$A$2:$A$101,0))</f>
        <v>Male</v>
      </c>
      <c r="Q332" s="79" t="str">
        <f aca="false">INDEX(Customers!$B$2:$B$101,MATCH($B332,Customers!$A$2:$A$101,0))</f>
        <v>Abram Sandhu</v>
      </c>
      <c r="R332" s="79" t="n">
        <f aca="false">MONTH($E332)</f>
        <v>11</v>
      </c>
      <c r="S332" s="79" t="str">
        <f aca="false">INDEX(Lists!$B$2:$B$13,$R332)</f>
        <v>November</v>
      </c>
      <c r="T332" s="79" t="n">
        <f aca="false">HOUR($F332)</f>
        <v>21</v>
      </c>
      <c r="U332" s="79" t="n">
        <f aca="false">WEEKDAY($E332,2)</f>
        <v>6</v>
      </c>
      <c r="V332" s="79" t="str">
        <f aca="false">INDEX(Lists!$F$2:$F$8,$U332)</f>
        <v>Saturday</v>
      </c>
      <c r="W332" s="81" t="n">
        <f aca="false">($G332+$H332)-($E332+$F332)</f>
        <v>0.683055555555556</v>
      </c>
      <c r="X332" s="79" t="str">
        <f aca="false">LOOKUP($M332,Lists!$G$2:$G$5,Lists!$H$2:$H$5)</f>
        <v>₹1,500 - 2,000</v>
      </c>
      <c r="Y332" s="79" t="str">
        <f aca="false">LOOKUP($W332,Lists!$I$2:$I$7,Lists!$J$2:$J$7)</f>
        <v>0 - 2 days</v>
      </c>
    </row>
    <row r="333" customFormat="false" ht="15" hidden="false" customHeight="false" outlineLevel="0" collapsed="false">
      <c r="A333" s="2" t="n">
        <v>332</v>
      </c>
      <c r="B333" s="2" t="s">
        <v>260</v>
      </c>
      <c r="C333" s="2" t="n">
        <v>20</v>
      </c>
      <c r="D333" s="2" t="n">
        <v>5</v>
      </c>
      <c r="E333" s="82" t="n">
        <v>45027</v>
      </c>
      <c r="F333" s="83" t="n">
        <v>0.843206018518519</v>
      </c>
      <c r="G333" s="82" t="n">
        <v>45034</v>
      </c>
      <c r="H333" s="83" t="n">
        <v>0.590787037037037</v>
      </c>
      <c r="I333" s="2" t="s">
        <v>454</v>
      </c>
      <c r="J333" s="2" t="s">
        <v>168</v>
      </c>
      <c r="K333" s="46" t="str">
        <f aca="false">INDEX(Products!$B$2:$B$71,MATCH($C333,Products!$A$2:$A$71,0))</f>
        <v>Reiciendis Box</v>
      </c>
      <c r="L333" s="46" t="str">
        <f aca="false">INDEX(Products!$C$2:$C$71,MATCH($C333,Products!$A$2:$A$71,0))</f>
        <v>Colors</v>
      </c>
      <c r="M333" s="84" t="n">
        <f aca="false">INDEX(Products!$D$2:$D$71,MATCH($C333,Products!$A$2:$A$71,0))</f>
        <v>697</v>
      </c>
      <c r="N333" s="84" t="n">
        <f aca="false">$D333*$M333</f>
        <v>3485</v>
      </c>
      <c r="O333" s="46" t="str">
        <f aca="false">INDEX(Customers!$C$2:$C$101,MATCH($B333,Customers!$A$2:$A$101,0))</f>
        <v>Dhanbad</v>
      </c>
      <c r="P333" s="46" t="str">
        <f aca="false">INDEX(Customers!$F$2:$F$101,MATCH($B333,Customers!$A$2:$A$101,0))</f>
        <v>Male</v>
      </c>
      <c r="Q333" s="46" t="str">
        <f aca="false">INDEX(Customers!$B$2:$B$101,MATCH($B333,Customers!$A$2:$A$101,0))</f>
        <v>Vardaniya Apte</v>
      </c>
      <c r="R333" s="46" t="n">
        <f aca="false">MONTH($E333)</f>
        <v>4</v>
      </c>
      <c r="S333" s="46" t="str">
        <f aca="false">INDEX(Lists!$B$2:$B$13,$R333)</f>
        <v>April</v>
      </c>
      <c r="T333" s="46" t="n">
        <f aca="false">HOUR($F333)</f>
        <v>20</v>
      </c>
      <c r="U333" s="46" t="n">
        <f aca="false">WEEKDAY($E333,2)</f>
        <v>2</v>
      </c>
      <c r="V333" s="46" t="str">
        <f aca="false">INDEX(Lists!$F$2:$F$8,$U333)</f>
        <v>Tuesday</v>
      </c>
      <c r="W333" s="85" t="n">
        <f aca="false">($G333+$H333)-($E333+$F333)</f>
        <v>6.74758101851852</v>
      </c>
      <c r="X333" s="46" t="str">
        <f aca="false">LOOKUP($M333,Lists!$G$2:$G$5,Lists!$H$2:$H$5)</f>
        <v>₹500 - 999</v>
      </c>
      <c r="Y333" s="46" t="str">
        <f aca="false">LOOKUP($W333,Lists!$I$2:$I$7,Lists!$J$2:$J$7)</f>
        <v>6 - 8 days</v>
      </c>
    </row>
    <row r="334" customFormat="false" ht="15" hidden="false" customHeight="false" outlineLevel="0" collapsed="false">
      <c r="A334" s="7" t="n">
        <v>333</v>
      </c>
      <c r="B334" s="7" t="s">
        <v>392</v>
      </c>
      <c r="C334" s="7" t="n">
        <v>22</v>
      </c>
      <c r="D334" s="7" t="n">
        <v>5</v>
      </c>
      <c r="E334" s="77" t="n">
        <v>44966</v>
      </c>
      <c r="F334" s="78" t="n">
        <v>0.263368055555556</v>
      </c>
      <c r="G334" s="77" t="n">
        <v>44967</v>
      </c>
      <c r="H334" s="78" t="n">
        <v>0.157280092592593</v>
      </c>
      <c r="I334" s="7" t="s">
        <v>574</v>
      </c>
      <c r="J334" s="7" t="s">
        <v>165</v>
      </c>
      <c r="K334" s="79" t="str">
        <f aca="false">INDEX(Products!$B$2:$B$71,MATCH($C334,Products!$A$2:$A$71,0))</f>
        <v>Exercitationem Pack</v>
      </c>
      <c r="L334" s="79" t="str">
        <f aca="false">INDEX(Products!$C$2:$C$71,MATCH($C334,Products!$A$2:$A$71,0))</f>
        <v>Soft Toys</v>
      </c>
      <c r="M334" s="80" t="n">
        <f aca="false">INDEX(Products!$D$2:$D$71,MATCH($C334,Products!$A$2:$A$71,0))</f>
        <v>1639</v>
      </c>
      <c r="N334" s="80" t="n">
        <f aca="false">$D334*$M334</f>
        <v>8195</v>
      </c>
      <c r="O334" s="79" t="str">
        <f aca="false">INDEX(Customers!$C$2:$C$101,MATCH($B334,Customers!$A$2:$A$101,0))</f>
        <v>Phagwara</v>
      </c>
      <c r="P334" s="79" t="str">
        <f aca="false">INDEX(Customers!$F$2:$F$101,MATCH($B334,Customers!$A$2:$A$101,0))</f>
        <v>Female</v>
      </c>
      <c r="Q334" s="79" t="str">
        <f aca="false">INDEX(Customers!$B$2:$B$101,MATCH($B334,Customers!$A$2:$A$101,0))</f>
        <v>Pranay Chaudhary</v>
      </c>
      <c r="R334" s="79" t="n">
        <f aca="false">MONTH($E334)</f>
        <v>2</v>
      </c>
      <c r="S334" s="79" t="str">
        <f aca="false">INDEX(Lists!$B$2:$B$13,$R334)</f>
        <v>February</v>
      </c>
      <c r="T334" s="79" t="n">
        <f aca="false">HOUR($F334)</f>
        <v>6</v>
      </c>
      <c r="U334" s="79" t="n">
        <f aca="false">WEEKDAY($E334,2)</f>
        <v>4</v>
      </c>
      <c r="V334" s="79" t="str">
        <f aca="false">INDEX(Lists!$F$2:$F$8,$U334)</f>
        <v>Thursday</v>
      </c>
      <c r="W334" s="81" t="n">
        <f aca="false">($G334+$H334)-($E334+$F334)</f>
        <v>0.893912037037037</v>
      </c>
      <c r="X334" s="79" t="str">
        <f aca="false">LOOKUP($M334,Lists!$G$2:$G$5,Lists!$H$2:$H$5)</f>
        <v>₹1,500 - 2,000</v>
      </c>
      <c r="Y334" s="79" t="str">
        <f aca="false">LOOKUP($W334,Lists!$I$2:$I$7,Lists!$J$2:$J$7)</f>
        <v>0 - 2 days</v>
      </c>
    </row>
    <row r="335" customFormat="false" ht="15" hidden="false" customHeight="false" outlineLevel="0" collapsed="false">
      <c r="A335" s="2" t="n">
        <v>334</v>
      </c>
      <c r="B335" s="2" t="s">
        <v>300</v>
      </c>
      <c r="C335" s="2" t="n">
        <v>53</v>
      </c>
      <c r="D335" s="2" t="n">
        <v>1</v>
      </c>
      <c r="E335" s="82" t="n">
        <v>45166</v>
      </c>
      <c r="F335" s="83" t="n">
        <v>0.888726851851852</v>
      </c>
      <c r="G335" s="82" t="n">
        <v>45170</v>
      </c>
      <c r="H335" s="83" t="n">
        <v>0.918784722222222</v>
      </c>
      <c r="I335" s="2" t="s">
        <v>524</v>
      </c>
      <c r="J335" s="2" t="s">
        <v>40</v>
      </c>
      <c r="K335" s="46" t="str">
        <f aca="false">INDEX(Products!$B$2:$B$71,MATCH($C335,Products!$A$2:$A$71,0))</f>
        <v>Ipsam Set</v>
      </c>
      <c r="L335" s="46" t="str">
        <f aca="false">INDEX(Products!$C$2:$C$71,MATCH($C335,Products!$A$2:$A$71,0))</f>
        <v>Sweets</v>
      </c>
      <c r="M335" s="84" t="n">
        <f aca="false">INDEX(Products!$D$2:$D$71,MATCH($C335,Products!$A$2:$A$71,0))</f>
        <v>1672</v>
      </c>
      <c r="N335" s="84" t="n">
        <f aca="false">$D335*$M335</f>
        <v>1672</v>
      </c>
      <c r="O335" s="46" t="str">
        <f aca="false">INDEX(Customers!$C$2:$C$101,MATCH($B335,Customers!$A$2:$A$101,0))</f>
        <v>Malegaon</v>
      </c>
      <c r="P335" s="46" t="str">
        <f aca="false">INDEX(Customers!$F$2:$F$101,MATCH($B335,Customers!$A$2:$A$101,0))</f>
        <v>Female</v>
      </c>
      <c r="Q335" s="46" t="str">
        <f aca="false">INDEX(Customers!$B$2:$B$101,MATCH($B335,Customers!$A$2:$A$101,0))</f>
        <v>Eshani Buch</v>
      </c>
      <c r="R335" s="46" t="n">
        <f aca="false">MONTH($E335)</f>
        <v>8</v>
      </c>
      <c r="S335" s="46" t="str">
        <f aca="false">INDEX(Lists!$B$2:$B$13,$R335)</f>
        <v>August</v>
      </c>
      <c r="T335" s="46" t="n">
        <f aca="false">HOUR($F335)</f>
        <v>21</v>
      </c>
      <c r="U335" s="46" t="n">
        <f aca="false">WEEKDAY($E335,2)</f>
        <v>1</v>
      </c>
      <c r="V335" s="46" t="str">
        <f aca="false">INDEX(Lists!$F$2:$F$8,$U335)</f>
        <v>Monday</v>
      </c>
      <c r="W335" s="85" t="n">
        <f aca="false">($G335+$H335)-($E335+$F335)</f>
        <v>4.03005787037037</v>
      </c>
      <c r="X335" s="46" t="str">
        <f aca="false">LOOKUP($M335,Lists!$G$2:$G$5,Lists!$H$2:$H$5)</f>
        <v>₹1,500 - 2,000</v>
      </c>
      <c r="Y335" s="46" t="str">
        <f aca="false">LOOKUP($W335,Lists!$I$2:$I$7,Lists!$J$2:$J$7)</f>
        <v>4 - 6 days</v>
      </c>
    </row>
    <row r="336" customFormat="false" ht="15" hidden="false" customHeight="false" outlineLevel="0" collapsed="false">
      <c r="A336" s="7" t="n">
        <v>335</v>
      </c>
      <c r="B336" s="7" t="s">
        <v>159</v>
      </c>
      <c r="C336" s="7" t="n">
        <v>17</v>
      </c>
      <c r="D336" s="7" t="n">
        <v>2</v>
      </c>
      <c r="E336" s="77" t="n">
        <v>45236</v>
      </c>
      <c r="F336" s="78" t="n">
        <v>0.0899884259259259</v>
      </c>
      <c r="G336" s="77" t="n">
        <v>45238</v>
      </c>
      <c r="H336" s="78" t="n">
        <v>0.0995833333333333</v>
      </c>
      <c r="I336" s="7" t="s">
        <v>575</v>
      </c>
      <c r="J336" s="7" t="s">
        <v>168</v>
      </c>
      <c r="K336" s="79" t="str">
        <f aca="false">INDEX(Products!$B$2:$B$71,MATCH($C336,Products!$A$2:$A$71,0))</f>
        <v>Delectus Gift</v>
      </c>
      <c r="L336" s="79" t="str">
        <f aca="false">INDEX(Products!$C$2:$C$71,MATCH($C336,Products!$A$2:$A$71,0))</f>
        <v>Soft Toys</v>
      </c>
      <c r="M336" s="80" t="n">
        <f aca="false">INDEX(Products!$D$2:$D$71,MATCH($C336,Products!$A$2:$A$71,0))</f>
        <v>1899</v>
      </c>
      <c r="N336" s="80" t="n">
        <f aca="false">$D336*$M336</f>
        <v>3798</v>
      </c>
      <c r="O336" s="79" t="str">
        <f aca="false">INDEX(Customers!$C$2:$C$101,MATCH($B336,Customers!$A$2:$A$101,0))</f>
        <v>Mangalore</v>
      </c>
      <c r="P336" s="79" t="str">
        <f aca="false">INDEX(Customers!$F$2:$F$101,MATCH($B336,Customers!$A$2:$A$101,0))</f>
        <v>Female</v>
      </c>
      <c r="Q336" s="79" t="str">
        <f aca="false">INDEX(Customers!$B$2:$B$101,MATCH($B336,Customers!$A$2:$A$101,0))</f>
        <v>Manikya Goswami</v>
      </c>
      <c r="R336" s="79" t="n">
        <f aca="false">MONTH($E336)</f>
        <v>11</v>
      </c>
      <c r="S336" s="79" t="str">
        <f aca="false">INDEX(Lists!$B$2:$B$13,$R336)</f>
        <v>November</v>
      </c>
      <c r="T336" s="79" t="n">
        <f aca="false">HOUR($F336)</f>
        <v>2</v>
      </c>
      <c r="U336" s="79" t="n">
        <f aca="false">WEEKDAY($E336,2)</f>
        <v>1</v>
      </c>
      <c r="V336" s="79" t="str">
        <f aca="false">INDEX(Lists!$F$2:$F$8,$U336)</f>
        <v>Monday</v>
      </c>
      <c r="W336" s="81" t="n">
        <f aca="false">($G336+$H336)-($E336+$F336)</f>
        <v>2.00959490740741</v>
      </c>
      <c r="X336" s="79" t="str">
        <f aca="false">LOOKUP($M336,Lists!$G$2:$G$5,Lists!$H$2:$H$5)</f>
        <v>₹1,500 - 2,000</v>
      </c>
      <c r="Y336" s="79" t="str">
        <f aca="false">LOOKUP($W336,Lists!$I$2:$I$7,Lists!$J$2:$J$7)</f>
        <v>2 - 4 days</v>
      </c>
    </row>
    <row r="337" customFormat="false" ht="15" hidden="false" customHeight="false" outlineLevel="0" collapsed="false">
      <c r="A337" s="2" t="n">
        <v>336</v>
      </c>
      <c r="B337" s="2" t="s">
        <v>309</v>
      </c>
      <c r="C337" s="2" t="n">
        <v>53</v>
      </c>
      <c r="D337" s="2" t="n">
        <v>1</v>
      </c>
      <c r="E337" s="82" t="n">
        <v>45158</v>
      </c>
      <c r="F337" s="83" t="n">
        <v>0.189166666666667</v>
      </c>
      <c r="G337" s="82" t="n">
        <v>45163</v>
      </c>
      <c r="H337" s="83" t="n">
        <v>0.829363425925926</v>
      </c>
      <c r="I337" s="2" t="s">
        <v>591</v>
      </c>
      <c r="J337" s="2" t="s">
        <v>40</v>
      </c>
      <c r="K337" s="46" t="str">
        <f aca="false">INDEX(Products!$B$2:$B$71,MATCH($C337,Products!$A$2:$A$71,0))</f>
        <v>Ipsam Set</v>
      </c>
      <c r="L337" s="46" t="str">
        <f aca="false">INDEX(Products!$C$2:$C$71,MATCH($C337,Products!$A$2:$A$71,0))</f>
        <v>Sweets</v>
      </c>
      <c r="M337" s="84" t="n">
        <f aca="false">INDEX(Products!$D$2:$D$71,MATCH($C337,Products!$A$2:$A$71,0))</f>
        <v>1672</v>
      </c>
      <c r="N337" s="84" t="n">
        <f aca="false">$D337*$M337</f>
        <v>1672</v>
      </c>
      <c r="O337" s="46" t="str">
        <f aca="false">INDEX(Customers!$C$2:$C$101,MATCH($B337,Customers!$A$2:$A$101,0))</f>
        <v>Madhyamgram</v>
      </c>
      <c r="P337" s="46" t="str">
        <f aca="false">INDEX(Customers!$F$2:$F$101,MATCH($B337,Customers!$A$2:$A$101,0))</f>
        <v>Female</v>
      </c>
      <c r="Q337" s="46" t="str">
        <f aca="false">INDEX(Customers!$B$2:$B$101,MATCH($B337,Customers!$A$2:$A$101,0))</f>
        <v>Hunar Tripathi</v>
      </c>
      <c r="R337" s="46" t="n">
        <f aca="false">MONTH($E337)</f>
        <v>8</v>
      </c>
      <c r="S337" s="46" t="str">
        <f aca="false">INDEX(Lists!$B$2:$B$13,$R337)</f>
        <v>August</v>
      </c>
      <c r="T337" s="46" t="n">
        <f aca="false">HOUR($F337)</f>
        <v>4</v>
      </c>
      <c r="U337" s="46" t="n">
        <f aca="false">WEEKDAY($E337,2)</f>
        <v>7</v>
      </c>
      <c r="V337" s="46" t="str">
        <f aca="false">INDEX(Lists!$F$2:$F$8,$U337)</f>
        <v>Sunday</v>
      </c>
      <c r="W337" s="85" t="n">
        <f aca="false">($G337+$H337)-($E337+$F337)</f>
        <v>5.64019675925926</v>
      </c>
      <c r="X337" s="46" t="str">
        <f aca="false">LOOKUP($M337,Lists!$G$2:$G$5,Lists!$H$2:$H$5)</f>
        <v>₹1,500 - 2,000</v>
      </c>
      <c r="Y337" s="46" t="str">
        <f aca="false">LOOKUP($W337,Lists!$I$2:$I$7,Lists!$J$2:$J$7)</f>
        <v>4 - 6 days</v>
      </c>
    </row>
    <row r="338" customFormat="false" ht="15" hidden="false" customHeight="false" outlineLevel="0" collapsed="false">
      <c r="A338" s="7" t="n">
        <v>337</v>
      </c>
      <c r="B338" s="7" t="s">
        <v>145</v>
      </c>
      <c r="C338" s="7" t="n">
        <v>24</v>
      </c>
      <c r="D338" s="7" t="n">
        <v>3</v>
      </c>
      <c r="E338" s="77" t="n">
        <v>45062</v>
      </c>
      <c r="F338" s="78" t="n">
        <v>0.598055555555556</v>
      </c>
      <c r="G338" s="77" t="n">
        <v>45068</v>
      </c>
      <c r="H338" s="78" t="n">
        <v>0.851539351851852</v>
      </c>
      <c r="I338" s="7" t="s">
        <v>571</v>
      </c>
      <c r="J338" s="7" t="s">
        <v>31</v>
      </c>
      <c r="K338" s="79" t="str">
        <f aca="false">INDEX(Products!$B$2:$B$71,MATCH($C338,Products!$A$2:$A$71,0))</f>
        <v>Ad Box</v>
      </c>
      <c r="L338" s="79" t="str">
        <f aca="false">INDEX(Products!$C$2:$C$71,MATCH($C338,Products!$A$2:$A$71,0))</f>
        <v>Mugs</v>
      </c>
      <c r="M338" s="80" t="n">
        <f aca="false">INDEX(Products!$D$2:$D$71,MATCH($C338,Products!$A$2:$A$71,0))</f>
        <v>535</v>
      </c>
      <c r="N338" s="80" t="n">
        <f aca="false">$D338*$M338</f>
        <v>1605</v>
      </c>
      <c r="O338" s="79" t="str">
        <f aca="false">INDEX(Customers!$C$2:$C$101,MATCH($B338,Customers!$A$2:$A$101,0))</f>
        <v>Chinsurah</v>
      </c>
      <c r="P338" s="79" t="str">
        <f aca="false">INDEX(Customers!$F$2:$F$101,MATCH($B338,Customers!$A$2:$A$101,0))</f>
        <v>Female</v>
      </c>
      <c r="Q338" s="79" t="str">
        <f aca="false">INDEX(Customers!$B$2:$B$101,MATCH($B338,Customers!$A$2:$A$101,0))</f>
        <v>Veer Ray</v>
      </c>
      <c r="R338" s="79" t="n">
        <f aca="false">MONTH($E338)</f>
        <v>5</v>
      </c>
      <c r="S338" s="79" t="str">
        <f aca="false">INDEX(Lists!$B$2:$B$13,$R338)</f>
        <v>May</v>
      </c>
      <c r="T338" s="79" t="n">
        <f aca="false">HOUR($F338)</f>
        <v>14</v>
      </c>
      <c r="U338" s="79" t="n">
        <f aca="false">WEEKDAY($E338,2)</f>
        <v>2</v>
      </c>
      <c r="V338" s="79" t="str">
        <f aca="false">INDEX(Lists!$F$2:$F$8,$U338)</f>
        <v>Tuesday</v>
      </c>
      <c r="W338" s="81" t="n">
        <f aca="false">($G338+$H338)-($E338+$F338)</f>
        <v>6.2534837962963</v>
      </c>
      <c r="X338" s="79" t="str">
        <f aca="false">LOOKUP($M338,Lists!$G$2:$G$5,Lists!$H$2:$H$5)</f>
        <v>₹500 - 999</v>
      </c>
      <c r="Y338" s="79" t="str">
        <f aca="false">LOOKUP($W338,Lists!$I$2:$I$7,Lists!$J$2:$J$7)</f>
        <v>6 - 8 days</v>
      </c>
    </row>
    <row r="339" customFormat="false" ht="15" hidden="false" customHeight="false" outlineLevel="0" collapsed="false">
      <c r="A339" s="2" t="n">
        <v>338</v>
      </c>
      <c r="B339" s="2" t="s">
        <v>357</v>
      </c>
      <c r="C339" s="2" t="n">
        <v>21</v>
      </c>
      <c r="D339" s="2" t="n">
        <v>3</v>
      </c>
      <c r="E339" s="82" t="n">
        <v>45158</v>
      </c>
      <c r="F339" s="83" t="n">
        <v>0.594340277777778</v>
      </c>
      <c r="G339" s="82" t="n">
        <v>45166</v>
      </c>
      <c r="H339" s="83" t="n">
        <v>0.0653587962962963</v>
      </c>
      <c r="I339" s="2" t="s">
        <v>519</v>
      </c>
      <c r="J339" s="2" t="s">
        <v>40</v>
      </c>
      <c r="K339" s="46" t="str">
        <f aca="false">INDEX(Products!$B$2:$B$71,MATCH($C339,Products!$A$2:$A$71,0))</f>
        <v>Quia Gift</v>
      </c>
      <c r="L339" s="46" t="str">
        <f aca="false">INDEX(Products!$C$2:$C$71,MATCH($C339,Products!$A$2:$A$71,0))</f>
        <v>Colors</v>
      </c>
      <c r="M339" s="84" t="n">
        <f aca="false">INDEX(Products!$D$2:$D$71,MATCH($C339,Products!$A$2:$A$71,0))</f>
        <v>1561</v>
      </c>
      <c r="N339" s="84" t="n">
        <f aca="false">$D339*$M339</f>
        <v>4683</v>
      </c>
      <c r="O339" s="46" t="str">
        <f aca="false">INDEX(Customers!$C$2:$C$101,MATCH($B339,Customers!$A$2:$A$101,0))</f>
        <v>North Dumdum</v>
      </c>
      <c r="P339" s="46" t="str">
        <f aca="false">INDEX(Customers!$F$2:$F$101,MATCH($B339,Customers!$A$2:$A$101,0))</f>
        <v>Female</v>
      </c>
      <c r="Q339" s="46" t="str">
        <f aca="false">INDEX(Customers!$B$2:$B$101,MATCH($B339,Customers!$A$2:$A$101,0))</f>
        <v>Rania Bhatt</v>
      </c>
      <c r="R339" s="46" t="n">
        <f aca="false">MONTH($E339)</f>
        <v>8</v>
      </c>
      <c r="S339" s="46" t="str">
        <f aca="false">INDEX(Lists!$B$2:$B$13,$R339)</f>
        <v>August</v>
      </c>
      <c r="T339" s="46" t="n">
        <f aca="false">HOUR($F339)</f>
        <v>14</v>
      </c>
      <c r="U339" s="46" t="n">
        <f aca="false">WEEKDAY($E339,2)</f>
        <v>7</v>
      </c>
      <c r="V339" s="46" t="str">
        <f aca="false">INDEX(Lists!$F$2:$F$8,$U339)</f>
        <v>Sunday</v>
      </c>
      <c r="W339" s="85" t="n">
        <f aca="false">($G339+$H339)-($E339+$F339)</f>
        <v>7.47101851851852</v>
      </c>
      <c r="X339" s="46" t="str">
        <f aca="false">LOOKUP($M339,Lists!$G$2:$G$5,Lists!$H$2:$H$5)</f>
        <v>₹1,500 - 2,000</v>
      </c>
      <c r="Y339" s="46" t="str">
        <f aca="false">LOOKUP($W339,Lists!$I$2:$I$7,Lists!$J$2:$J$7)</f>
        <v>6 - 8 days</v>
      </c>
    </row>
    <row r="340" customFormat="false" ht="15" hidden="false" customHeight="false" outlineLevel="0" collapsed="false">
      <c r="A340" s="7" t="n">
        <v>339</v>
      </c>
      <c r="B340" s="7" t="s">
        <v>347</v>
      </c>
      <c r="C340" s="7" t="n">
        <v>8</v>
      </c>
      <c r="D340" s="7" t="n">
        <v>1</v>
      </c>
      <c r="E340" s="77" t="n">
        <v>45189</v>
      </c>
      <c r="F340" s="78" t="n">
        <v>0.838414351851852</v>
      </c>
      <c r="G340" s="77" t="n">
        <v>45198</v>
      </c>
      <c r="H340" s="78" t="n">
        <v>0.451608796296296</v>
      </c>
      <c r="I340" s="7" t="s">
        <v>570</v>
      </c>
      <c r="J340" s="7" t="s">
        <v>168</v>
      </c>
      <c r="K340" s="79" t="str">
        <f aca="false">INDEX(Products!$B$2:$B$71,MATCH($C340,Products!$A$2:$A$71,0))</f>
        <v>Qui Box</v>
      </c>
      <c r="L340" s="79" t="str">
        <f aca="false">INDEX(Products!$C$2:$C$71,MATCH($C340,Products!$A$2:$A$71,0))</f>
        <v>Sweets</v>
      </c>
      <c r="M340" s="80" t="n">
        <f aca="false">INDEX(Products!$D$2:$D$71,MATCH($C340,Products!$A$2:$A$71,0))</f>
        <v>252</v>
      </c>
      <c r="N340" s="80" t="n">
        <f aca="false">$D340*$M340</f>
        <v>252</v>
      </c>
      <c r="O340" s="79" t="str">
        <f aca="false">INDEX(Customers!$C$2:$C$101,MATCH($B340,Customers!$A$2:$A$101,0))</f>
        <v>Raurkela Industrial Township</v>
      </c>
      <c r="P340" s="79" t="str">
        <f aca="false">INDEX(Customers!$F$2:$F$101,MATCH($B340,Customers!$A$2:$A$101,0))</f>
        <v>Male</v>
      </c>
      <c r="Q340" s="79" t="str">
        <f aca="false">INDEX(Customers!$B$2:$B$101,MATCH($B340,Customers!$A$2:$A$101,0))</f>
        <v>Aaryahi Sodhi</v>
      </c>
      <c r="R340" s="79" t="n">
        <f aca="false">MONTH($E340)</f>
        <v>9</v>
      </c>
      <c r="S340" s="79" t="str">
        <f aca="false">INDEX(Lists!$B$2:$B$13,$R340)</f>
        <v>September</v>
      </c>
      <c r="T340" s="79" t="n">
        <f aca="false">HOUR($F340)</f>
        <v>20</v>
      </c>
      <c r="U340" s="79" t="n">
        <f aca="false">WEEKDAY($E340,2)</f>
        <v>3</v>
      </c>
      <c r="V340" s="79" t="str">
        <f aca="false">INDEX(Lists!$F$2:$F$8,$U340)</f>
        <v>Wednesday</v>
      </c>
      <c r="W340" s="81" t="n">
        <f aca="false">($G340+$H340)-($E340+$F340)</f>
        <v>8.61319444444444</v>
      </c>
      <c r="X340" s="79" t="str">
        <f aca="false">LOOKUP($M340,Lists!$G$2:$G$5,Lists!$H$2:$H$5)</f>
        <v>₹0 - 499</v>
      </c>
      <c r="Y340" s="79" t="str">
        <f aca="false">LOOKUP($W340,Lists!$I$2:$I$7,Lists!$J$2:$J$7)</f>
        <v>8 - 10 days</v>
      </c>
    </row>
    <row r="341" customFormat="false" ht="15" hidden="false" customHeight="false" outlineLevel="0" collapsed="false">
      <c r="A341" s="2" t="n">
        <v>340</v>
      </c>
      <c r="B341" s="2" t="s">
        <v>328</v>
      </c>
      <c r="C341" s="2" t="n">
        <v>38</v>
      </c>
      <c r="D341" s="2" t="n">
        <v>3</v>
      </c>
      <c r="E341" s="82" t="n">
        <v>45121</v>
      </c>
      <c r="F341" s="83" t="n">
        <v>0.328483796296296</v>
      </c>
      <c r="G341" s="82" t="n">
        <v>45129</v>
      </c>
      <c r="H341" s="83" t="n">
        <v>0.122233796296296</v>
      </c>
      <c r="I341" s="2" t="s">
        <v>324</v>
      </c>
      <c r="J341" s="2" t="s">
        <v>31</v>
      </c>
      <c r="K341" s="46" t="str">
        <f aca="false">INDEX(Products!$B$2:$B$71,MATCH($C341,Products!$A$2:$A$71,0))</f>
        <v>Mollitia Set</v>
      </c>
      <c r="L341" s="46" t="str">
        <f aca="false">INDEX(Products!$C$2:$C$71,MATCH($C341,Products!$A$2:$A$71,0))</f>
        <v>Cake</v>
      </c>
      <c r="M341" s="84" t="n">
        <f aca="false">INDEX(Products!$D$2:$D$71,MATCH($C341,Products!$A$2:$A$71,0))</f>
        <v>562</v>
      </c>
      <c r="N341" s="84" t="n">
        <f aca="false">$D341*$M341</f>
        <v>1686</v>
      </c>
      <c r="O341" s="46" t="str">
        <f aca="false">INDEX(Customers!$C$2:$C$101,MATCH($B341,Customers!$A$2:$A$101,0))</f>
        <v>Gaya</v>
      </c>
      <c r="P341" s="46" t="str">
        <f aca="false">INDEX(Customers!$F$2:$F$101,MATCH($B341,Customers!$A$2:$A$101,0))</f>
        <v>Female</v>
      </c>
      <c r="Q341" s="46" t="str">
        <f aca="false">INDEX(Customers!$B$2:$B$101,MATCH($B341,Customers!$A$2:$A$101,0))</f>
        <v>Oorja Dayal</v>
      </c>
      <c r="R341" s="46" t="n">
        <f aca="false">MONTH($E341)</f>
        <v>7</v>
      </c>
      <c r="S341" s="46" t="str">
        <f aca="false">INDEX(Lists!$B$2:$B$13,$R341)</f>
        <v>July</v>
      </c>
      <c r="T341" s="46" t="n">
        <f aca="false">HOUR($F341)</f>
        <v>7</v>
      </c>
      <c r="U341" s="46" t="n">
        <f aca="false">WEEKDAY($E341,2)</f>
        <v>5</v>
      </c>
      <c r="V341" s="46" t="str">
        <f aca="false">INDEX(Lists!$F$2:$F$8,$U341)</f>
        <v>Friday</v>
      </c>
      <c r="W341" s="85" t="n">
        <f aca="false">($G341+$H341)-($E341+$F341)</f>
        <v>7.79375</v>
      </c>
      <c r="X341" s="46" t="str">
        <f aca="false">LOOKUP($M341,Lists!$G$2:$G$5,Lists!$H$2:$H$5)</f>
        <v>₹500 - 999</v>
      </c>
      <c r="Y341" s="46" t="str">
        <f aca="false">LOOKUP($W341,Lists!$I$2:$I$7,Lists!$J$2:$J$7)</f>
        <v>6 - 8 days</v>
      </c>
    </row>
    <row r="342" customFormat="false" ht="15" hidden="false" customHeight="false" outlineLevel="0" collapsed="false">
      <c r="A342" s="7" t="n">
        <v>341</v>
      </c>
      <c r="B342" s="7" t="s">
        <v>194</v>
      </c>
      <c r="C342" s="7" t="n">
        <v>9</v>
      </c>
      <c r="D342" s="7" t="n">
        <v>2</v>
      </c>
      <c r="E342" s="77" t="n">
        <v>45158</v>
      </c>
      <c r="F342" s="78" t="n">
        <v>0.621238425925926</v>
      </c>
      <c r="G342" s="77" t="n">
        <v>45168</v>
      </c>
      <c r="H342" s="78" t="n">
        <v>0.939039351851852</v>
      </c>
      <c r="I342" s="7" t="s">
        <v>514</v>
      </c>
      <c r="J342" s="7" t="s">
        <v>40</v>
      </c>
      <c r="K342" s="79" t="str">
        <f aca="false">INDEX(Products!$B$2:$B$71,MATCH($C342,Products!$A$2:$A$71,0))</f>
        <v>Aperiam Box</v>
      </c>
      <c r="L342" s="79" t="str">
        <f aca="false">INDEX(Products!$C$2:$C$71,MATCH($C342,Products!$A$2:$A$71,0))</f>
        <v>Colors</v>
      </c>
      <c r="M342" s="80" t="n">
        <f aca="false">INDEX(Products!$D$2:$D$71,MATCH($C342,Products!$A$2:$A$71,0))</f>
        <v>1605</v>
      </c>
      <c r="N342" s="80" t="n">
        <f aca="false">$D342*$M342</f>
        <v>3210</v>
      </c>
      <c r="O342" s="79" t="str">
        <f aca="false">INDEX(Customers!$C$2:$C$101,MATCH($B342,Customers!$A$2:$A$101,0))</f>
        <v>Noida</v>
      </c>
      <c r="P342" s="79" t="str">
        <f aca="false">INDEX(Customers!$F$2:$F$101,MATCH($B342,Customers!$A$2:$A$101,0))</f>
        <v>Female</v>
      </c>
      <c r="Q342" s="79" t="str">
        <f aca="false">INDEX(Customers!$B$2:$B$101,MATCH($B342,Customers!$A$2:$A$101,0))</f>
        <v>Hridaan Rajagopalan</v>
      </c>
      <c r="R342" s="79" t="n">
        <f aca="false">MONTH($E342)</f>
        <v>8</v>
      </c>
      <c r="S342" s="79" t="str">
        <f aca="false">INDEX(Lists!$B$2:$B$13,$R342)</f>
        <v>August</v>
      </c>
      <c r="T342" s="79" t="n">
        <f aca="false">HOUR($F342)</f>
        <v>14</v>
      </c>
      <c r="U342" s="79" t="n">
        <f aca="false">WEEKDAY($E342,2)</f>
        <v>7</v>
      </c>
      <c r="V342" s="79" t="str">
        <f aca="false">INDEX(Lists!$F$2:$F$8,$U342)</f>
        <v>Sunday</v>
      </c>
      <c r="W342" s="81" t="n">
        <f aca="false">($G342+$H342)-($E342+$F342)</f>
        <v>10.3178009259259</v>
      </c>
      <c r="X342" s="79" t="str">
        <f aca="false">LOOKUP($M342,Lists!$G$2:$G$5,Lists!$H$2:$H$5)</f>
        <v>₹1,500 - 2,000</v>
      </c>
      <c r="Y342" s="79" t="str">
        <f aca="false">LOOKUP($W342,Lists!$I$2:$I$7,Lists!$J$2:$J$7)</f>
        <v>Over 10 days</v>
      </c>
    </row>
    <row r="343" customFormat="false" ht="15" hidden="false" customHeight="false" outlineLevel="0" collapsed="false">
      <c r="A343" s="2" t="n">
        <v>342</v>
      </c>
      <c r="B343" s="2" t="s">
        <v>288</v>
      </c>
      <c r="C343" s="2" t="n">
        <v>36</v>
      </c>
      <c r="D343" s="2" t="n">
        <v>5</v>
      </c>
      <c r="E343" s="82" t="n">
        <v>45233</v>
      </c>
      <c r="F343" s="83" t="n">
        <v>0.169247685185185</v>
      </c>
      <c r="G343" s="82" t="n">
        <v>45238</v>
      </c>
      <c r="H343" s="83" t="n">
        <v>0.684907407407407</v>
      </c>
      <c r="I343" s="2" t="s">
        <v>553</v>
      </c>
      <c r="J343" s="2" t="s">
        <v>31</v>
      </c>
      <c r="K343" s="46" t="str">
        <f aca="false">INDEX(Products!$B$2:$B$71,MATCH($C343,Products!$A$2:$A$71,0))</f>
        <v>Cum Gift</v>
      </c>
      <c r="L343" s="46" t="str">
        <f aca="false">INDEX(Products!$C$2:$C$71,MATCH($C343,Products!$A$2:$A$71,0))</f>
        <v>Plants</v>
      </c>
      <c r="M343" s="84" t="n">
        <f aca="false">INDEX(Products!$D$2:$D$71,MATCH($C343,Products!$A$2:$A$71,0))</f>
        <v>203</v>
      </c>
      <c r="N343" s="84" t="n">
        <f aca="false">$D343*$M343</f>
        <v>1015</v>
      </c>
      <c r="O343" s="46" t="str">
        <f aca="false">INDEX(Customers!$C$2:$C$101,MATCH($B343,Customers!$A$2:$A$101,0))</f>
        <v>Nagpur</v>
      </c>
      <c r="P343" s="46" t="str">
        <f aca="false">INDEX(Customers!$F$2:$F$101,MATCH($B343,Customers!$A$2:$A$101,0))</f>
        <v>Male</v>
      </c>
      <c r="Q343" s="46" t="str">
        <f aca="false">INDEX(Customers!$B$2:$B$101,MATCH($B343,Customers!$A$2:$A$101,0))</f>
        <v>Inaaya  Sarraf</v>
      </c>
      <c r="R343" s="46" t="n">
        <f aca="false">MONTH($E343)</f>
        <v>11</v>
      </c>
      <c r="S343" s="46" t="str">
        <f aca="false">INDEX(Lists!$B$2:$B$13,$R343)</f>
        <v>November</v>
      </c>
      <c r="T343" s="46" t="n">
        <f aca="false">HOUR($F343)</f>
        <v>4</v>
      </c>
      <c r="U343" s="46" t="n">
        <f aca="false">WEEKDAY($E343,2)</f>
        <v>5</v>
      </c>
      <c r="V343" s="46" t="str">
        <f aca="false">INDEX(Lists!$F$2:$F$8,$U343)</f>
        <v>Friday</v>
      </c>
      <c r="W343" s="85" t="n">
        <f aca="false">($G343+$H343)-($E343+$F343)</f>
        <v>5.51565972222222</v>
      </c>
      <c r="X343" s="46" t="str">
        <f aca="false">LOOKUP($M343,Lists!$G$2:$G$5,Lists!$H$2:$H$5)</f>
        <v>₹0 - 499</v>
      </c>
      <c r="Y343" s="46" t="str">
        <f aca="false">LOOKUP($W343,Lists!$I$2:$I$7,Lists!$J$2:$J$7)</f>
        <v>4 - 6 days</v>
      </c>
    </row>
    <row r="344" customFormat="false" ht="15" hidden="false" customHeight="false" outlineLevel="0" collapsed="false">
      <c r="A344" s="7" t="n">
        <v>343</v>
      </c>
      <c r="B344" s="7" t="s">
        <v>139</v>
      </c>
      <c r="C344" s="7" t="n">
        <v>66</v>
      </c>
      <c r="D344" s="7" t="n">
        <v>3</v>
      </c>
      <c r="E344" s="77" t="n">
        <v>44991</v>
      </c>
      <c r="F344" s="78" t="n">
        <v>0.59212962962963</v>
      </c>
      <c r="G344" s="77" t="n">
        <v>44994</v>
      </c>
      <c r="H344" s="78" t="n">
        <v>0.39380787037037</v>
      </c>
      <c r="I344" s="7" t="s">
        <v>523</v>
      </c>
      <c r="J344" s="7" t="s">
        <v>33</v>
      </c>
      <c r="K344" s="79" t="str">
        <f aca="false">INDEX(Products!$B$2:$B$71,MATCH($C344,Products!$A$2:$A$71,0))</f>
        <v>Quas Box</v>
      </c>
      <c r="L344" s="79" t="str">
        <f aca="false">INDEX(Products!$C$2:$C$71,MATCH($C344,Products!$A$2:$A$71,0))</f>
        <v>Colors</v>
      </c>
      <c r="M344" s="80" t="n">
        <f aca="false">INDEX(Products!$D$2:$D$71,MATCH($C344,Products!$A$2:$A$71,0))</f>
        <v>610</v>
      </c>
      <c r="N344" s="80" t="n">
        <f aca="false">$D344*$M344</f>
        <v>1830</v>
      </c>
      <c r="O344" s="79" t="str">
        <f aca="false">INDEX(Customers!$C$2:$C$101,MATCH($B344,Customers!$A$2:$A$101,0))</f>
        <v>Karimnagar</v>
      </c>
      <c r="P344" s="79" t="str">
        <f aca="false">INDEX(Customers!$F$2:$F$101,MATCH($B344,Customers!$A$2:$A$101,0))</f>
        <v>Female</v>
      </c>
      <c r="Q344" s="79" t="str">
        <f aca="false">INDEX(Customers!$B$2:$B$101,MATCH($B344,Customers!$A$2:$A$101,0))</f>
        <v>Rania Mann</v>
      </c>
      <c r="R344" s="79" t="n">
        <f aca="false">MONTH($E344)</f>
        <v>3</v>
      </c>
      <c r="S344" s="79" t="str">
        <f aca="false">INDEX(Lists!$B$2:$B$13,$R344)</f>
        <v>March</v>
      </c>
      <c r="T344" s="79" t="n">
        <f aca="false">HOUR($F344)</f>
        <v>14</v>
      </c>
      <c r="U344" s="79" t="n">
        <f aca="false">WEEKDAY($E344,2)</f>
        <v>1</v>
      </c>
      <c r="V344" s="79" t="str">
        <f aca="false">INDEX(Lists!$F$2:$F$8,$U344)</f>
        <v>Monday</v>
      </c>
      <c r="W344" s="81" t="n">
        <f aca="false">($G344+$H344)-($E344+$F344)</f>
        <v>2.80167824074074</v>
      </c>
      <c r="X344" s="79" t="str">
        <f aca="false">LOOKUP($M344,Lists!$G$2:$G$5,Lists!$H$2:$H$5)</f>
        <v>₹500 - 999</v>
      </c>
      <c r="Y344" s="79" t="str">
        <f aca="false">LOOKUP($W344,Lists!$I$2:$I$7,Lists!$J$2:$J$7)</f>
        <v>2 - 4 days</v>
      </c>
    </row>
    <row r="345" customFormat="false" ht="15" hidden="false" customHeight="false" outlineLevel="0" collapsed="false">
      <c r="A345" s="2" t="n">
        <v>344</v>
      </c>
      <c r="B345" s="2" t="s">
        <v>176</v>
      </c>
      <c r="C345" s="2" t="n">
        <v>28</v>
      </c>
      <c r="D345" s="2" t="n">
        <v>5</v>
      </c>
      <c r="E345" s="82" t="n">
        <v>45167</v>
      </c>
      <c r="F345" s="83" t="n">
        <v>0.71275462962963</v>
      </c>
      <c r="G345" s="82" t="n">
        <v>45172</v>
      </c>
      <c r="H345" s="83" t="n">
        <v>0.269525462962963</v>
      </c>
      <c r="I345" s="2" t="s">
        <v>595</v>
      </c>
      <c r="J345" s="2" t="s">
        <v>40</v>
      </c>
      <c r="K345" s="46" t="str">
        <f aca="false">INDEX(Products!$B$2:$B$71,MATCH($C345,Products!$A$2:$A$71,0))</f>
        <v>Velit Set</v>
      </c>
      <c r="L345" s="46" t="str">
        <f aca="false">INDEX(Products!$C$2:$C$71,MATCH($C345,Products!$A$2:$A$71,0))</f>
        <v>Sweets</v>
      </c>
      <c r="M345" s="84" t="n">
        <f aca="false">INDEX(Products!$D$2:$D$71,MATCH($C345,Products!$A$2:$A$71,0))</f>
        <v>1778</v>
      </c>
      <c r="N345" s="84" t="n">
        <f aca="false">$D345*$M345</f>
        <v>8890</v>
      </c>
      <c r="O345" s="46" t="str">
        <f aca="false">INDEX(Customers!$C$2:$C$101,MATCH($B345,Customers!$A$2:$A$101,0))</f>
        <v>Machilipatnam</v>
      </c>
      <c r="P345" s="46" t="str">
        <f aca="false">INDEX(Customers!$F$2:$F$101,MATCH($B345,Customers!$A$2:$A$101,0))</f>
        <v>Male</v>
      </c>
      <c r="Q345" s="46" t="str">
        <f aca="false">INDEX(Customers!$B$2:$B$101,MATCH($B345,Customers!$A$2:$A$101,0))</f>
        <v>Samaira Ganesh</v>
      </c>
      <c r="R345" s="46" t="n">
        <f aca="false">MONTH($E345)</f>
        <v>8</v>
      </c>
      <c r="S345" s="46" t="str">
        <f aca="false">INDEX(Lists!$B$2:$B$13,$R345)</f>
        <v>August</v>
      </c>
      <c r="T345" s="46" t="n">
        <f aca="false">HOUR($F345)</f>
        <v>17</v>
      </c>
      <c r="U345" s="46" t="n">
        <f aca="false">WEEKDAY($E345,2)</f>
        <v>2</v>
      </c>
      <c r="V345" s="46" t="str">
        <f aca="false">INDEX(Lists!$F$2:$F$8,$U345)</f>
        <v>Tuesday</v>
      </c>
      <c r="W345" s="85" t="n">
        <f aca="false">($G345+$H345)-($E345+$F345)</f>
        <v>4.55677083333333</v>
      </c>
      <c r="X345" s="46" t="str">
        <f aca="false">LOOKUP($M345,Lists!$G$2:$G$5,Lists!$H$2:$H$5)</f>
        <v>₹1,500 - 2,000</v>
      </c>
      <c r="Y345" s="46" t="str">
        <f aca="false">LOOKUP($W345,Lists!$I$2:$I$7,Lists!$J$2:$J$7)</f>
        <v>4 - 6 days</v>
      </c>
    </row>
    <row r="346" customFormat="false" ht="15" hidden="false" customHeight="false" outlineLevel="0" collapsed="false">
      <c r="A346" s="7" t="n">
        <v>345</v>
      </c>
      <c r="B346" s="7" t="s">
        <v>272</v>
      </c>
      <c r="C346" s="7" t="n">
        <v>45</v>
      </c>
      <c r="D346" s="7" t="n">
        <v>4</v>
      </c>
      <c r="E346" s="77" t="n">
        <v>45184</v>
      </c>
      <c r="F346" s="78" t="n">
        <v>0.653263888888889</v>
      </c>
      <c r="G346" s="77" t="n">
        <v>45192</v>
      </c>
      <c r="H346" s="78" t="n">
        <v>0.966331018518519</v>
      </c>
      <c r="I346" s="7" t="s">
        <v>214</v>
      </c>
      <c r="J346" s="7" t="s">
        <v>31</v>
      </c>
      <c r="K346" s="79" t="str">
        <f aca="false">INDEX(Products!$B$2:$B$71,MATCH($C346,Products!$A$2:$A$71,0))</f>
        <v>Iusto Set</v>
      </c>
      <c r="L346" s="79" t="str">
        <f aca="false">INDEX(Products!$C$2:$C$71,MATCH($C346,Products!$A$2:$A$71,0))</f>
        <v>Raksha Bandhan</v>
      </c>
      <c r="M346" s="80" t="n">
        <f aca="false">INDEX(Products!$D$2:$D$71,MATCH($C346,Products!$A$2:$A$71,0))</f>
        <v>722</v>
      </c>
      <c r="N346" s="80" t="n">
        <f aca="false">$D346*$M346</f>
        <v>2888</v>
      </c>
      <c r="O346" s="79" t="str">
        <f aca="false">INDEX(Customers!$C$2:$C$101,MATCH($B346,Customers!$A$2:$A$101,0))</f>
        <v>Haridwar</v>
      </c>
      <c r="P346" s="79" t="str">
        <f aca="false">INDEX(Customers!$F$2:$F$101,MATCH($B346,Customers!$A$2:$A$101,0))</f>
        <v>Male</v>
      </c>
      <c r="Q346" s="79" t="str">
        <f aca="false">INDEX(Customers!$B$2:$B$101,MATCH($B346,Customers!$A$2:$A$101,0))</f>
        <v>Pihu Choudhury</v>
      </c>
      <c r="R346" s="79" t="n">
        <f aca="false">MONTH($E346)</f>
        <v>9</v>
      </c>
      <c r="S346" s="79" t="str">
        <f aca="false">INDEX(Lists!$B$2:$B$13,$R346)</f>
        <v>September</v>
      </c>
      <c r="T346" s="79" t="n">
        <f aca="false">HOUR($F346)</f>
        <v>15</v>
      </c>
      <c r="U346" s="79" t="n">
        <f aca="false">WEEKDAY($E346,2)</f>
        <v>5</v>
      </c>
      <c r="V346" s="79" t="str">
        <f aca="false">INDEX(Lists!$F$2:$F$8,$U346)</f>
        <v>Friday</v>
      </c>
      <c r="W346" s="81" t="n">
        <f aca="false">($G346+$H346)-($E346+$F346)</f>
        <v>8.31306712962963</v>
      </c>
      <c r="X346" s="79" t="str">
        <f aca="false">LOOKUP($M346,Lists!$G$2:$G$5,Lists!$H$2:$H$5)</f>
        <v>₹500 - 999</v>
      </c>
      <c r="Y346" s="79" t="str">
        <f aca="false">LOOKUP($W346,Lists!$I$2:$I$7,Lists!$J$2:$J$7)</f>
        <v>8 - 10 days</v>
      </c>
    </row>
    <row r="347" customFormat="false" ht="15" hidden="false" customHeight="false" outlineLevel="0" collapsed="false">
      <c r="A347" s="2" t="n">
        <v>346</v>
      </c>
      <c r="B347" s="2" t="s">
        <v>366</v>
      </c>
      <c r="C347" s="2" t="n">
        <v>50</v>
      </c>
      <c r="D347" s="2" t="n">
        <v>1</v>
      </c>
      <c r="E347" s="82" t="n">
        <v>44989</v>
      </c>
      <c r="F347" s="83" t="n">
        <v>0.975196759259259</v>
      </c>
      <c r="G347" s="82" t="n">
        <v>44997</v>
      </c>
      <c r="H347" s="83" t="n">
        <v>0.69900462962963</v>
      </c>
      <c r="I347" s="2" t="s">
        <v>529</v>
      </c>
      <c r="J347" s="2" t="s">
        <v>33</v>
      </c>
      <c r="K347" s="46" t="str">
        <f aca="false">INDEX(Products!$B$2:$B$71,MATCH($C347,Products!$A$2:$A$71,0))</f>
        <v>Eligendi Set</v>
      </c>
      <c r="L347" s="46" t="str">
        <f aca="false">INDEX(Products!$C$2:$C$71,MATCH($C347,Products!$A$2:$A$71,0))</f>
        <v>Plants</v>
      </c>
      <c r="M347" s="84" t="n">
        <f aca="false">INDEX(Products!$D$2:$D$71,MATCH($C347,Products!$A$2:$A$71,0))</f>
        <v>422</v>
      </c>
      <c r="N347" s="84" t="n">
        <f aca="false">$D347*$M347</f>
        <v>422</v>
      </c>
      <c r="O347" s="46" t="str">
        <f aca="false">INDEX(Customers!$C$2:$C$101,MATCH($B347,Customers!$A$2:$A$101,0))</f>
        <v>Anantapuram</v>
      </c>
      <c r="P347" s="46" t="str">
        <f aca="false">INDEX(Customers!$F$2:$F$101,MATCH($B347,Customers!$A$2:$A$101,0))</f>
        <v>Female</v>
      </c>
      <c r="Q347" s="46" t="str">
        <f aca="false">INDEX(Customers!$B$2:$B$101,MATCH($B347,Customers!$A$2:$A$101,0))</f>
        <v>Drishya De</v>
      </c>
      <c r="R347" s="46" t="n">
        <f aca="false">MONTH($E347)</f>
        <v>3</v>
      </c>
      <c r="S347" s="46" t="str">
        <f aca="false">INDEX(Lists!$B$2:$B$13,$R347)</f>
        <v>March</v>
      </c>
      <c r="T347" s="46" t="n">
        <f aca="false">HOUR($F347)</f>
        <v>23</v>
      </c>
      <c r="U347" s="46" t="n">
        <f aca="false">WEEKDAY($E347,2)</f>
        <v>6</v>
      </c>
      <c r="V347" s="46" t="str">
        <f aca="false">INDEX(Lists!$F$2:$F$8,$U347)</f>
        <v>Saturday</v>
      </c>
      <c r="W347" s="85" t="n">
        <f aca="false">($G347+$H347)-($E347+$F347)</f>
        <v>7.72380787037037</v>
      </c>
      <c r="X347" s="46" t="str">
        <f aca="false">LOOKUP($M347,Lists!$G$2:$G$5,Lists!$H$2:$H$5)</f>
        <v>₹0 - 499</v>
      </c>
      <c r="Y347" s="46" t="str">
        <f aca="false">LOOKUP($W347,Lists!$I$2:$I$7,Lists!$J$2:$J$7)</f>
        <v>6 - 8 days</v>
      </c>
    </row>
    <row r="348" customFormat="false" ht="15" hidden="false" customHeight="false" outlineLevel="0" collapsed="false">
      <c r="A348" s="7" t="n">
        <v>347</v>
      </c>
      <c r="B348" s="7" t="s">
        <v>206</v>
      </c>
      <c r="C348" s="7" t="n">
        <v>34</v>
      </c>
      <c r="D348" s="7" t="n">
        <v>2</v>
      </c>
      <c r="E348" s="77" t="n">
        <v>45167</v>
      </c>
      <c r="F348" s="78" t="n">
        <v>0.4071875</v>
      </c>
      <c r="G348" s="77" t="n">
        <v>45177</v>
      </c>
      <c r="H348" s="78" t="n">
        <v>0.359131944444445</v>
      </c>
      <c r="I348" s="7" t="s">
        <v>564</v>
      </c>
      <c r="J348" s="7" t="s">
        <v>40</v>
      </c>
      <c r="K348" s="79" t="str">
        <f aca="false">INDEX(Products!$B$2:$B$71,MATCH($C348,Products!$A$2:$A$71,0))</f>
        <v>Placeat Pack</v>
      </c>
      <c r="L348" s="79" t="str">
        <f aca="false">INDEX(Products!$C$2:$C$71,MATCH($C348,Products!$A$2:$A$71,0))</f>
        <v>Soft Toys</v>
      </c>
      <c r="M348" s="80" t="n">
        <f aca="false">INDEX(Products!$D$2:$D$71,MATCH($C348,Products!$A$2:$A$71,0))</f>
        <v>1335</v>
      </c>
      <c r="N348" s="80" t="n">
        <f aca="false">$D348*$M348</f>
        <v>2670</v>
      </c>
      <c r="O348" s="79" t="str">
        <f aca="false">INDEX(Customers!$C$2:$C$101,MATCH($B348,Customers!$A$2:$A$101,0))</f>
        <v>Bhatpara</v>
      </c>
      <c r="P348" s="79" t="str">
        <f aca="false">INDEX(Customers!$F$2:$F$101,MATCH($B348,Customers!$A$2:$A$101,0))</f>
        <v>Male</v>
      </c>
      <c r="Q348" s="79" t="str">
        <f aca="false">INDEX(Customers!$B$2:$B$101,MATCH($B348,Customers!$A$2:$A$101,0))</f>
        <v>Hridaan Sood</v>
      </c>
      <c r="R348" s="79" t="n">
        <f aca="false">MONTH($E348)</f>
        <v>8</v>
      </c>
      <c r="S348" s="79" t="str">
        <f aca="false">INDEX(Lists!$B$2:$B$13,$R348)</f>
        <v>August</v>
      </c>
      <c r="T348" s="79" t="n">
        <f aca="false">HOUR($F348)</f>
        <v>9</v>
      </c>
      <c r="U348" s="79" t="n">
        <f aca="false">WEEKDAY($E348,2)</f>
        <v>2</v>
      </c>
      <c r="V348" s="79" t="str">
        <f aca="false">INDEX(Lists!$F$2:$F$8,$U348)</f>
        <v>Tuesday</v>
      </c>
      <c r="W348" s="81" t="n">
        <f aca="false">($G348+$H348)-($E348+$F348)</f>
        <v>9.95194444444445</v>
      </c>
      <c r="X348" s="79" t="str">
        <f aca="false">LOOKUP($M348,Lists!$G$2:$G$5,Lists!$H$2:$H$5)</f>
        <v>₹1,000 - 1,499</v>
      </c>
      <c r="Y348" s="79" t="str">
        <f aca="false">LOOKUP($W348,Lists!$I$2:$I$7,Lists!$J$2:$J$7)</f>
        <v>8 - 10 days</v>
      </c>
    </row>
    <row r="349" customFormat="false" ht="15" hidden="false" customHeight="false" outlineLevel="0" collapsed="false">
      <c r="A349" s="2" t="n">
        <v>348</v>
      </c>
      <c r="B349" s="2" t="s">
        <v>283</v>
      </c>
      <c r="C349" s="2" t="n">
        <v>30</v>
      </c>
      <c r="D349" s="2" t="n">
        <v>2</v>
      </c>
      <c r="E349" s="82" t="n">
        <v>45258</v>
      </c>
      <c r="F349" s="83" t="n">
        <v>0.856678240740741</v>
      </c>
      <c r="G349" s="82" t="n">
        <v>45267</v>
      </c>
      <c r="H349" s="83" t="n">
        <v>0.502071759259259</v>
      </c>
      <c r="I349" s="2" t="s">
        <v>446</v>
      </c>
      <c r="J349" s="2" t="s">
        <v>168</v>
      </c>
      <c r="K349" s="46" t="str">
        <f aca="false">INDEX(Products!$B$2:$B$71,MATCH($C349,Products!$A$2:$A$71,0))</f>
        <v>Recusandae Pack</v>
      </c>
      <c r="L349" s="46" t="str">
        <f aca="false">INDEX(Products!$C$2:$C$71,MATCH($C349,Products!$A$2:$A$71,0))</f>
        <v>Colors</v>
      </c>
      <c r="M349" s="84" t="n">
        <f aca="false">INDEX(Products!$D$2:$D$71,MATCH($C349,Products!$A$2:$A$71,0))</f>
        <v>751</v>
      </c>
      <c r="N349" s="84" t="n">
        <f aca="false">$D349*$M349</f>
        <v>1502</v>
      </c>
      <c r="O349" s="46" t="str">
        <f aca="false">INDEX(Customers!$C$2:$C$101,MATCH($B349,Customers!$A$2:$A$101,0))</f>
        <v>Satara</v>
      </c>
      <c r="P349" s="46" t="str">
        <f aca="false">INDEX(Customers!$F$2:$F$101,MATCH($B349,Customers!$A$2:$A$101,0))</f>
        <v>Male</v>
      </c>
      <c r="Q349" s="46" t="str">
        <f aca="false">INDEX(Customers!$B$2:$B$101,MATCH($B349,Customers!$A$2:$A$101,0))</f>
        <v>Riya Wagle</v>
      </c>
      <c r="R349" s="46" t="n">
        <f aca="false">MONTH($E349)</f>
        <v>11</v>
      </c>
      <c r="S349" s="46" t="str">
        <f aca="false">INDEX(Lists!$B$2:$B$13,$R349)</f>
        <v>November</v>
      </c>
      <c r="T349" s="46" t="n">
        <f aca="false">HOUR($F349)</f>
        <v>20</v>
      </c>
      <c r="U349" s="46" t="n">
        <f aca="false">WEEKDAY($E349,2)</f>
        <v>2</v>
      </c>
      <c r="V349" s="46" t="str">
        <f aca="false">INDEX(Lists!$F$2:$F$8,$U349)</f>
        <v>Tuesday</v>
      </c>
      <c r="W349" s="85" t="n">
        <f aca="false">($G349+$H349)-($E349+$F349)</f>
        <v>8.64539351851852</v>
      </c>
      <c r="X349" s="46" t="str">
        <f aca="false">LOOKUP($M349,Lists!$G$2:$G$5,Lists!$H$2:$H$5)</f>
        <v>₹500 - 999</v>
      </c>
      <c r="Y349" s="46" t="str">
        <f aca="false">LOOKUP($W349,Lists!$I$2:$I$7,Lists!$J$2:$J$7)</f>
        <v>8 - 10 days</v>
      </c>
    </row>
    <row r="350" customFormat="false" ht="15" hidden="false" customHeight="false" outlineLevel="0" collapsed="false">
      <c r="A350" s="7" t="n">
        <v>349</v>
      </c>
      <c r="B350" s="7" t="s">
        <v>170</v>
      </c>
      <c r="C350" s="7" t="n">
        <v>44</v>
      </c>
      <c r="D350" s="7" t="n">
        <v>4</v>
      </c>
      <c r="E350" s="77" t="n">
        <v>45241</v>
      </c>
      <c r="F350" s="78" t="n">
        <v>0.147650462962963</v>
      </c>
      <c r="G350" s="77" t="n">
        <v>45242</v>
      </c>
      <c r="H350" s="78" t="n">
        <v>0.438344907407407</v>
      </c>
      <c r="I350" s="7" t="s">
        <v>443</v>
      </c>
      <c r="J350" s="7" t="s">
        <v>32</v>
      </c>
      <c r="K350" s="79" t="str">
        <f aca="false">INDEX(Products!$B$2:$B$71,MATCH($C350,Products!$A$2:$A$71,0))</f>
        <v>Dolorum Set</v>
      </c>
      <c r="L350" s="79" t="str">
        <f aca="false">INDEX(Products!$C$2:$C$71,MATCH($C350,Products!$A$2:$A$71,0))</f>
        <v>Plants</v>
      </c>
      <c r="M350" s="80" t="n">
        <f aca="false">INDEX(Products!$D$2:$D$71,MATCH($C350,Products!$A$2:$A$71,0))</f>
        <v>794</v>
      </c>
      <c r="N350" s="80" t="n">
        <f aca="false">$D350*$M350</f>
        <v>3176</v>
      </c>
      <c r="O350" s="79" t="str">
        <f aca="false">INDEX(Customers!$C$2:$C$101,MATCH($B350,Customers!$A$2:$A$101,0))</f>
        <v>Gangtok</v>
      </c>
      <c r="P350" s="79" t="str">
        <f aca="false">INDEX(Customers!$F$2:$F$101,MATCH($B350,Customers!$A$2:$A$101,0))</f>
        <v>Male</v>
      </c>
      <c r="Q350" s="79" t="str">
        <f aca="false">INDEX(Customers!$B$2:$B$101,MATCH($B350,Customers!$A$2:$A$101,0))</f>
        <v>Advika Dhar</v>
      </c>
      <c r="R350" s="79" t="n">
        <f aca="false">MONTH($E350)</f>
        <v>11</v>
      </c>
      <c r="S350" s="79" t="str">
        <f aca="false">INDEX(Lists!$B$2:$B$13,$R350)</f>
        <v>November</v>
      </c>
      <c r="T350" s="79" t="n">
        <f aca="false">HOUR($F350)</f>
        <v>3</v>
      </c>
      <c r="U350" s="79" t="n">
        <f aca="false">WEEKDAY($E350,2)</f>
        <v>6</v>
      </c>
      <c r="V350" s="79" t="str">
        <f aca="false">INDEX(Lists!$F$2:$F$8,$U350)</f>
        <v>Saturday</v>
      </c>
      <c r="W350" s="81" t="n">
        <f aca="false">($G350+$H350)-($E350+$F350)</f>
        <v>1.29069444444444</v>
      </c>
      <c r="X350" s="79" t="str">
        <f aca="false">LOOKUP($M350,Lists!$G$2:$G$5,Lists!$H$2:$H$5)</f>
        <v>₹500 - 999</v>
      </c>
      <c r="Y350" s="79" t="str">
        <f aca="false">LOOKUP($W350,Lists!$I$2:$I$7,Lists!$J$2:$J$7)</f>
        <v>0 - 2 days</v>
      </c>
    </row>
    <row r="351" customFormat="false" ht="15" hidden="false" customHeight="false" outlineLevel="0" collapsed="false">
      <c r="A351" s="2" t="n">
        <v>350</v>
      </c>
      <c r="B351" s="2" t="s">
        <v>176</v>
      </c>
      <c r="C351" s="2" t="n">
        <v>19</v>
      </c>
      <c r="D351" s="2" t="n">
        <v>3</v>
      </c>
      <c r="E351" s="82" t="n">
        <v>44970</v>
      </c>
      <c r="F351" s="83" t="n">
        <v>0.5159375</v>
      </c>
      <c r="G351" s="82" t="n">
        <v>44979</v>
      </c>
      <c r="H351" s="83" t="n">
        <v>0.684837962962963</v>
      </c>
      <c r="I351" s="2" t="s">
        <v>462</v>
      </c>
      <c r="J351" s="2" t="s">
        <v>179</v>
      </c>
      <c r="K351" s="46" t="str">
        <f aca="false">INDEX(Products!$B$2:$B$71,MATCH($C351,Products!$A$2:$A$71,0))</f>
        <v>Iure Gift</v>
      </c>
      <c r="L351" s="46" t="str">
        <f aca="false">INDEX(Products!$C$2:$C$71,MATCH($C351,Products!$A$2:$A$71,0))</f>
        <v>Mugs</v>
      </c>
      <c r="M351" s="84" t="n">
        <f aca="false">INDEX(Products!$D$2:$D$71,MATCH($C351,Products!$A$2:$A$71,0))</f>
        <v>1234</v>
      </c>
      <c r="N351" s="84" t="n">
        <f aca="false">$D351*$M351</f>
        <v>3702</v>
      </c>
      <c r="O351" s="46" t="str">
        <f aca="false">INDEX(Customers!$C$2:$C$101,MATCH($B351,Customers!$A$2:$A$101,0))</f>
        <v>Machilipatnam</v>
      </c>
      <c r="P351" s="46" t="str">
        <f aca="false">INDEX(Customers!$F$2:$F$101,MATCH($B351,Customers!$A$2:$A$101,0))</f>
        <v>Male</v>
      </c>
      <c r="Q351" s="46" t="str">
        <f aca="false">INDEX(Customers!$B$2:$B$101,MATCH($B351,Customers!$A$2:$A$101,0))</f>
        <v>Samaira Ganesh</v>
      </c>
      <c r="R351" s="46" t="n">
        <f aca="false">MONTH($E351)</f>
        <v>2</v>
      </c>
      <c r="S351" s="46" t="str">
        <f aca="false">INDEX(Lists!$B$2:$B$13,$R351)</f>
        <v>February</v>
      </c>
      <c r="T351" s="46" t="n">
        <f aca="false">HOUR($F351)</f>
        <v>12</v>
      </c>
      <c r="U351" s="46" t="n">
        <f aca="false">WEEKDAY($E351,2)</f>
        <v>1</v>
      </c>
      <c r="V351" s="46" t="str">
        <f aca="false">INDEX(Lists!$F$2:$F$8,$U351)</f>
        <v>Monday</v>
      </c>
      <c r="W351" s="85" t="n">
        <f aca="false">($G351+$H351)-($E351+$F351)</f>
        <v>9.16890046296296</v>
      </c>
      <c r="X351" s="46" t="str">
        <f aca="false">LOOKUP($M351,Lists!$G$2:$G$5,Lists!$H$2:$H$5)</f>
        <v>₹1,000 - 1,499</v>
      </c>
      <c r="Y351" s="46" t="str">
        <f aca="false">LOOKUP($W351,Lists!$I$2:$I$7,Lists!$J$2:$J$7)</f>
        <v>8 - 10 days</v>
      </c>
    </row>
    <row r="352" customFormat="false" ht="15" hidden="false" customHeight="false" outlineLevel="0" collapsed="false">
      <c r="A352" s="7" t="n">
        <v>351</v>
      </c>
      <c r="B352" s="7" t="s">
        <v>390</v>
      </c>
      <c r="C352" s="7" t="n">
        <v>1</v>
      </c>
      <c r="D352" s="7" t="n">
        <v>1</v>
      </c>
      <c r="E352" s="77" t="n">
        <v>44942</v>
      </c>
      <c r="F352" s="78" t="n">
        <v>0.632719907407407</v>
      </c>
      <c r="G352" s="77" t="n">
        <v>44951</v>
      </c>
      <c r="H352" s="78" t="n">
        <v>0.937488425925926</v>
      </c>
      <c r="I352" s="7" t="s">
        <v>241</v>
      </c>
      <c r="J352" s="7" t="s">
        <v>165</v>
      </c>
      <c r="K352" s="79" t="str">
        <f aca="false">INDEX(Products!$B$2:$B$71,MATCH($C352,Products!$A$2:$A$71,0))</f>
        <v>Magnam Set</v>
      </c>
      <c r="L352" s="79" t="str">
        <f aca="false">INDEX(Products!$C$2:$C$71,MATCH($C352,Products!$A$2:$A$71,0))</f>
        <v>Soft Toys</v>
      </c>
      <c r="M352" s="80" t="n">
        <f aca="false">INDEX(Products!$D$2:$D$71,MATCH($C352,Products!$A$2:$A$71,0))</f>
        <v>1935</v>
      </c>
      <c r="N352" s="80" t="n">
        <f aca="false">$D352*$M352</f>
        <v>1935</v>
      </c>
      <c r="O352" s="79" t="str">
        <f aca="false">INDEX(Customers!$C$2:$C$101,MATCH($B352,Customers!$A$2:$A$101,0))</f>
        <v>Dhanbad</v>
      </c>
      <c r="P352" s="79" t="str">
        <f aca="false">INDEX(Customers!$F$2:$F$101,MATCH($B352,Customers!$A$2:$A$101,0))</f>
        <v>Female</v>
      </c>
      <c r="Q352" s="79" t="str">
        <f aca="false">INDEX(Customers!$B$2:$B$101,MATCH($B352,Customers!$A$2:$A$101,0))</f>
        <v>Ranbir Loyal</v>
      </c>
      <c r="R352" s="79" t="n">
        <f aca="false">MONTH($E352)</f>
        <v>1</v>
      </c>
      <c r="S352" s="79" t="str">
        <f aca="false">INDEX(Lists!$B$2:$B$13,$R352)</f>
        <v>January</v>
      </c>
      <c r="T352" s="79" t="n">
        <f aca="false">HOUR($F352)</f>
        <v>15</v>
      </c>
      <c r="U352" s="79" t="n">
        <f aca="false">WEEKDAY($E352,2)</f>
        <v>1</v>
      </c>
      <c r="V352" s="79" t="str">
        <f aca="false">INDEX(Lists!$F$2:$F$8,$U352)</f>
        <v>Monday</v>
      </c>
      <c r="W352" s="81" t="n">
        <f aca="false">($G352+$H352)-($E352+$F352)</f>
        <v>9.30476851851852</v>
      </c>
      <c r="X352" s="79" t="str">
        <f aca="false">LOOKUP($M352,Lists!$G$2:$G$5,Lists!$H$2:$H$5)</f>
        <v>₹1,500 - 2,000</v>
      </c>
      <c r="Y352" s="79" t="str">
        <f aca="false">LOOKUP($W352,Lists!$I$2:$I$7,Lists!$J$2:$J$7)</f>
        <v>8 - 10 days</v>
      </c>
    </row>
    <row r="353" customFormat="false" ht="15" hidden="false" customHeight="false" outlineLevel="0" collapsed="false">
      <c r="A353" s="2" t="n">
        <v>352</v>
      </c>
      <c r="B353" s="2" t="s">
        <v>338</v>
      </c>
      <c r="C353" s="2" t="n">
        <v>28</v>
      </c>
      <c r="D353" s="2" t="n">
        <v>1</v>
      </c>
      <c r="E353" s="82" t="n">
        <v>45161</v>
      </c>
      <c r="F353" s="83" t="n">
        <v>0.992881944444444</v>
      </c>
      <c r="G353" s="82" t="n">
        <v>45171</v>
      </c>
      <c r="H353" s="83" t="n">
        <v>0.385324074074074</v>
      </c>
      <c r="I353" s="2" t="s">
        <v>214</v>
      </c>
      <c r="J353" s="2" t="s">
        <v>40</v>
      </c>
      <c r="K353" s="46" t="str">
        <f aca="false">INDEX(Products!$B$2:$B$71,MATCH($C353,Products!$A$2:$A$71,0))</f>
        <v>Velit Set</v>
      </c>
      <c r="L353" s="46" t="str">
        <f aca="false">INDEX(Products!$C$2:$C$71,MATCH($C353,Products!$A$2:$A$71,0))</f>
        <v>Sweets</v>
      </c>
      <c r="M353" s="84" t="n">
        <f aca="false">INDEX(Products!$D$2:$D$71,MATCH($C353,Products!$A$2:$A$71,0))</f>
        <v>1778</v>
      </c>
      <c r="N353" s="84" t="n">
        <f aca="false">$D353*$M353</f>
        <v>1778</v>
      </c>
      <c r="O353" s="46" t="str">
        <f aca="false">INDEX(Customers!$C$2:$C$101,MATCH($B353,Customers!$A$2:$A$101,0))</f>
        <v>Bhopal</v>
      </c>
      <c r="P353" s="46" t="str">
        <f aca="false">INDEX(Customers!$F$2:$F$101,MATCH($B353,Customers!$A$2:$A$101,0))</f>
        <v>Male</v>
      </c>
      <c r="Q353" s="46" t="str">
        <f aca="false">INDEX(Customers!$B$2:$B$101,MATCH($B353,Customers!$A$2:$A$101,0))</f>
        <v>Mohanlal Garde</v>
      </c>
      <c r="R353" s="46" t="n">
        <f aca="false">MONTH($E353)</f>
        <v>8</v>
      </c>
      <c r="S353" s="46" t="str">
        <f aca="false">INDEX(Lists!$B$2:$B$13,$R353)</f>
        <v>August</v>
      </c>
      <c r="T353" s="46" t="n">
        <f aca="false">HOUR($F353)</f>
        <v>23</v>
      </c>
      <c r="U353" s="46" t="n">
        <f aca="false">WEEKDAY($E353,2)</f>
        <v>3</v>
      </c>
      <c r="V353" s="46" t="str">
        <f aca="false">INDEX(Lists!$F$2:$F$8,$U353)</f>
        <v>Wednesday</v>
      </c>
      <c r="W353" s="85" t="n">
        <f aca="false">($G353+$H353)-($E353+$F353)</f>
        <v>9.39244212962963</v>
      </c>
      <c r="X353" s="46" t="str">
        <f aca="false">LOOKUP($M353,Lists!$G$2:$G$5,Lists!$H$2:$H$5)</f>
        <v>₹1,500 - 2,000</v>
      </c>
      <c r="Y353" s="46" t="str">
        <f aca="false">LOOKUP($W353,Lists!$I$2:$I$7,Lists!$J$2:$J$7)</f>
        <v>8 - 10 days</v>
      </c>
    </row>
    <row r="354" customFormat="false" ht="15" hidden="false" customHeight="false" outlineLevel="0" collapsed="false">
      <c r="A354" s="7" t="n">
        <v>353</v>
      </c>
      <c r="B354" s="7" t="s">
        <v>363</v>
      </c>
      <c r="C354" s="7" t="n">
        <v>55</v>
      </c>
      <c r="D354" s="7" t="n">
        <v>2</v>
      </c>
      <c r="E354" s="77" t="n">
        <v>45159</v>
      </c>
      <c r="F354" s="78" t="n">
        <v>0.405173611111111</v>
      </c>
      <c r="G354" s="77" t="n">
        <v>45162</v>
      </c>
      <c r="H354" s="78" t="n">
        <v>0.591828703703704</v>
      </c>
      <c r="I354" s="7" t="s">
        <v>464</v>
      </c>
      <c r="J354" s="7" t="s">
        <v>40</v>
      </c>
      <c r="K354" s="79" t="str">
        <f aca="false">INDEX(Products!$B$2:$B$71,MATCH($C354,Products!$A$2:$A$71,0))</f>
        <v>Dolores Gift</v>
      </c>
      <c r="L354" s="79" t="str">
        <f aca="false">INDEX(Products!$C$2:$C$71,MATCH($C354,Products!$A$2:$A$71,0))</f>
        <v>Soft Toys</v>
      </c>
      <c r="M354" s="80" t="n">
        <f aca="false">INDEX(Products!$D$2:$D$71,MATCH($C354,Products!$A$2:$A$71,0))</f>
        <v>1904</v>
      </c>
      <c r="N354" s="80" t="n">
        <f aca="false">$D354*$M354</f>
        <v>3808</v>
      </c>
      <c r="O354" s="79" t="str">
        <f aca="false">INDEX(Customers!$C$2:$C$101,MATCH($B354,Customers!$A$2:$A$101,0))</f>
        <v>Nellore</v>
      </c>
      <c r="P354" s="79" t="str">
        <f aca="false">INDEX(Customers!$F$2:$F$101,MATCH($B354,Customers!$A$2:$A$101,0))</f>
        <v>Female</v>
      </c>
      <c r="Q354" s="79" t="str">
        <f aca="false">INDEX(Customers!$B$2:$B$101,MATCH($B354,Customers!$A$2:$A$101,0))</f>
        <v>Oorja Dey</v>
      </c>
      <c r="R354" s="79" t="n">
        <f aca="false">MONTH($E354)</f>
        <v>8</v>
      </c>
      <c r="S354" s="79" t="str">
        <f aca="false">INDEX(Lists!$B$2:$B$13,$R354)</f>
        <v>August</v>
      </c>
      <c r="T354" s="79" t="n">
        <f aca="false">HOUR($F354)</f>
        <v>9</v>
      </c>
      <c r="U354" s="79" t="n">
        <f aca="false">WEEKDAY($E354,2)</f>
        <v>1</v>
      </c>
      <c r="V354" s="79" t="str">
        <f aca="false">INDEX(Lists!$F$2:$F$8,$U354)</f>
        <v>Monday</v>
      </c>
      <c r="W354" s="81" t="n">
        <f aca="false">($G354+$H354)-($E354+$F354)</f>
        <v>3.18665509259259</v>
      </c>
      <c r="X354" s="79" t="str">
        <f aca="false">LOOKUP($M354,Lists!$G$2:$G$5,Lists!$H$2:$H$5)</f>
        <v>₹1,500 - 2,000</v>
      </c>
      <c r="Y354" s="79" t="str">
        <f aca="false">LOOKUP($W354,Lists!$I$2:$I$7,Lists!$J$2:$J$7)</f>
        <v>2 - 4 days</v>
      </c>
    </row>
    <row r="355" customFormat="false" ht="15" hidden="false" customHeight="false" outlineLevel="0" collapsed="false">
      <c r="A355" s="2" t="n">
        <v>354</v>
      </c>
      <c r="B355" s="2" t="s">
        <v>357</v>
      </c>
      <c r="C355" s="2" t="n">
        <v>13</v>
      </c>
      <c r="D355" s="2" t="n">
        <v>5</v>
      </c>
      <c r="E355" s="82" t="n">
        <v>44983</v>
      </c>
      <c r="F355" s="83" t="n">
        <v>0.726018518518519</v>
      </c>
      <c r="G355" s="82" t="n">
        <v>44991</v>
      </c>
      <c r="H355" s="83" t="n">
        <v>0.405231481481482</v>
      </c>
      <c r="I355" s="2" t="s">
        <v>506</v>
      </c>
      <c r="J355" s="2" t="s">
        <v>33</v>
      </c>
      <c r="K355" s="46" t="str">
        <f aca="false">INDEX(Products!$B$2:$B$71,MATCH($C355,Products!$A$2:$A$71,0))</f>
        <v>Et Set</v>
      </c>
      <c r="L355" s="46" t="str">
        <f aca="false">INDEX(Products!$C$2:$C$71,MATCH($C355,Products!$A$2:$A$71,0))</f>
        <v>Mugs</v>
      </c>
      <c r="M355" s="84" t="n">
        <f aca="false">INDEX(Products!$D$2:$D$71,MATCH($C355,Products!$A$2:$A$71,0))</f>
        <v>1141</v>
      </c>
      <c r="N355" s="84" t="n">
        <f aca="false">$D355*$M355</f>
        <v>5705</v>
      </c>
      <c r="O355" s="46" t="str">
        <f aca="false">INDEX(Customers!$C$2:$C$101,MATCH($B355,Customers!$A$2:$A$101,0))</f>
        <v>North Dumdum</v>
      </c>
      <c r="P355" s="46" t="str">
        <f aca="false">INDEX(Customers!$F$2:$F$101,MATCH($B355,Customers!$A$2:$A$101,0))</f>
        <v>Female</v>
      </c>
      <c r="Q355" s="46" t="str">
        <f aca="false">INDEX(Customers!$B$2:$B$101,MATCH($B355,Customers!$A$2:$A$101,0))</f>
        <v>Rania Bhatt</v>
      </c>
      <c r="R355" s="46" t="n">
        <f aca="false">MONTH($E355)</f>
        <v>2</v>
      </c>
      <c r="S355" s="46" t="str">
        <f aca="false">INDEX(Lists!$B$2:$B$13,$R355)</f>
        <v>February</v>
      </c>
      <c r="T355" s="46" t="n">
        <f aca="false">HOUR($F355)</f>
        <v>17</v>
      </c>
      <c r="U355" s="46" t="n">
        <f aca="false">WEEKDAY($E355,2)</f>
        <v>7</v>
      </c>
      <c r="V355" s="46" t="str">
        <f aca="false">INDEX(Lists!$F$2:$F$8,$U355)</f>
        <v>Sunday</v>
      </c>
      <c r="W355" s="85" t="n">
        <f aca="false">($G355+$H355)-($E355+$F355)</f>
        <v>7.67921296296296</v>
      </c>
      <c r="X355" s="46" t="str">
        <f aca="false">LOOKUP($M355,Lists!$G$2:$G$5,Lists!$H$2:$H$5)</f>
        <v>₹1,000 - 1,499</v>
      </c>
      <c r="Y355" s="46" t="str">
        <f aca="false">LOOKUP($W355,Lists!$I$2:$I$7,Lists!$J$2:$J$7)</f>
        <v>6 - 8 days</v>
      </c>
    </row>
    <row r="356" customFormat="false" ht="15" hidden="false" customHeight="false" outlineLevel="0" collapsed="false">
      <c r="A356" s="7" t="n">
        <v>355</v>
      </c>
      <c r="B356" s="7" t="s">
        <v>390</v>
      </c>
      <c r="C356" s="7" t="n">
        <v>10</v>
      </c>
      <c r="D356" s="7" t="n">
        <v>1</v>
      </c>
      <c r="E356" s="77" t="n">
        <v>45284</v>
      </c>
      <c r="F356" s="78" t="n">
        <v>0.203287037037037</v>
      </c>
      <c r="G356" s="77" t="n">
        <v>45293</v>
      </c>
      <c r="H356" s="78" t="n">
        <v>0.401770833333333</v>
      </c>
      <c r="I356" s="7" t="s">
        <v>558</v>
      </c>
      <c r="J356" s="7" t="s">
        <v>31</v>
      </c>
      <c r="K356" s="79" t="str">
        <f aca="false">INDEX(Products!$B$2:$B$71,MATCH($C356,Products!$A$2:$A$71,0))</f>
        <v>Accusantium Gift</v>
      </c>
      <c r="L356" s="79" t="str">
        <f aca="false">INDEX(Products!$C$2:$C$71,MATCH($C356,Products!$A$2:$A$71,0))</f>
        <v>Cake</v>
      </c>
      <c r="M356" s="80" t="n">
        <f aca="false">INDEX(Products!$D$2:$D$71,MATCH($C356,Products!$A$2:$A$71,0))</f>
        <v>259</v>
      </c>
      <c r="N356" s="80" t="n">
        <f aca="false">$D356*$M356</f>
        <v>259</v>
      </c>
      <c r="O356" s="79" t="str">
        <f aca="false">INDEX(Customers!$C$2:$C$101,MATCH($B356,Customers!$A$2:$A$101,0))</f>
        <v>Dhanbad</v>
      </c>
      <c r="P356" s="79" t="str">
        <f aca="false">INDEX(Customers!$F$2:$F$101,MATCH($B356,Customers!$A$2:$A$101,0))</f>
        <v>Female</v>
      </c>
      <c r="Q356" s="79" t="str">
        <f aca="false">INDEX(Customers!$B$2:$B$101,MATCH($B356,Customers!$A$2:$A$101,0))</f>
        <v>Ranbir Loyal</v>
      </c>
      <c r="R356" s="79" t="n">
        <f aca="false">MONTH($E356)</f>
        <v>12</v>
      </c>
      <c r="S356" s="79" t="str">
        <f aca="false">INDEX(Lists!$B$2:$B$13,$R356)</f>
        <v>December</v>
      </c>
      <c r="T356" s="79" t="n">
        <f aca="false">HOUR($F356)</f>
        <v>4</v>
      </c>
      <c r="U356" s="79" t="n">
        <f aca="false">WEEKDAY($E356,2)</f>
        <v>7</v>
      </c>
      <c r="V356" s="79" t="str">
        <f aca="false">INDEX(Lists!$F$2:$F$8,$U356)</f>
        <v>Sunday</v>
      </c>
      <c r="W356" s="81" t="n">
        <f aca="false">($G356+$H356)-($E356+$F356)</f>
        <v>9.1984837962963</v>
      </c>
      <c r="X356" s="79" t="str">
        <f aca="false">LOOKUP($M356,Lists!$G$2:$G$5,Lists!$H$2:$H$5)</f>
        <v>₹0 - 499</v>
      </c>
      <c r="Y356" s="79" t="str">
        <f aca="false">LOOKUP($W356,Lists!$I$2:$I$7,Lists!$J$2:$J$7)</f>
        <v>8 - 10 days</v>
      </c>
    </row>
    <row r="357" customFormat="false" ht="15" hidden="false" customHeight="false" outlineLevel="0" collapsed="false">
      <c r="A357" s="2" t="n">
        <v>356</v>
      </c>
      <c r="B357" s="2" t="s">
        <v>194</v>
      </c>
      <c r="C357" s="2" t="n">
        <v>14</v>
      </c>
      <c r="D357" s="2" t="n">
        <v>1</v>
      </c>
      <c r="E357" s="82" t="n">
        <v>45115</v>
      </c>
      <c r="F357" s="83" t="n">
        <v>0.0289351851851852</v>
      </c>
      <c r="G357" s="82" t="n">
        <v>45116</v>
      </c>
      <c r="H357" s="83" t="n">
        <v>0.188680555555556</v>
      </c>
      <c r="I357" s="2" t="s">
        <v>522</v>
      </c>
      <c r="J357" s="2" t="s">
        <v>31</v>
      </c>
      <c r="K357" s="46" t="str">
        <f aca="false">INDEX(Products!$B$2:$B$71,MATCH($C357,Products!$A$2:$A$71,0))</f>
        <v>Deserunt Box</v>
      </c>
      <c r="L357" s="46" t="str">
        <f aca="false">INDEX(Products!$C$2:$C$71,MATCH($C357,Products!$A$2:$A$71,0))</f>
        <v>Colors</v>
      </c>
      <c r="M357" s="84" t="n">
        <f aca="false">INDEX(Products!$D$2:$D$71,MATCH($C357,Products!$A$2:$A$71,0))</f>
        <v>1915</v>
      </c>
      <c r="N357" s="84" t="n">
        <f aca="false">$D357*$M357</f>
        <v>1915</v>
      </c>
      <c r="O357" s="46" t="str">
        <f aca="false">INDEX(Customers!$C$2:$C$101,MATCH($B357,Customers!$A$2:$A$101,0))</f>
        <v>Noida</v>
      </c>
      <c r="P357" s="46" t="str">
        <f aca="false">INDEX(Customers!$F$2:$F$101,MATCH($B357,Customers!$A$2:$A$101,0))</f>
        <v>Female</v>
      </c>
      <c r="Q357" s="46" t="str">
        <f aca="false">INDEX(Customers!$B$2:$B$101,MATCH($B357,Customers!$A$2:$A$101,0))</f>
        <v>Hridaan Rajagopalan</v>
      </c>
      <c r="R357" s="46" t="n">
        <f aca="false">MONTH($E357)</f>
        <v>7</v>
      </c>
      <c r="S357" s="46" t="str">
        <f aca="false">INDEX(Lists!$B$2:$B$13,$R357)</f>
        <v>July</v>
      </c>
      <c r="T357" s="46" t="n">
        <f aca="false">HOUR($F357)</f>
        <v>0</v>
      </c>
      <c r="U357" s="46" t="n">
        <f aca="false">WEEKDAY($E357,2)</f>
        <v>6</v>
      </c>
      <c r="V357" s="46" t="str">
        <f aca="false">INDEX(Lists!$F$2:$F$8,$U357)</f>
        <v>Saturday</v>
      </c>
      <c r="W357" s="85" t="n">
        <f aca="false">($G357+$H357)-($E357+$F357)</f>
        <v>1.15974537037037</v>
      </c>
      <c r="X357" s="46" t="str">
        <f aca="false">LOOKUP($M357,Lists!$G$2:$G$5,Lists!$H$2:$H$5)</f>
        <v>₹1,500 - 2,000</v>
      </c>
      <c r="Y357" s="46" t="str">
        <f aca="false">LOOKUP($W357,Lists!$I$2:$I$7,Lists!$J$2:$J$7)</f>
        <v>0 - 2 days</v>
      </c>
    </row>
    <row r="358" customFormat="false" ht="15" hidden="false" customHeight="false" outlineLevel="0" collapsed="false">
      <c r="A358" s="7" t="n">
        <v>357</v>
      </c>
      <c r="B358" s="7" t="s">
        <v>291</v>
      </c>
      <c r="C358" s="7" t="n">
        <v>62</v>
      </c>
      <c r="D358" s="7" t="n">
        <v>4</v>
      </c>
      <c r="E358" s="77" t="n">
        <v>44988</v>
      </c>
      <c r="F358" s="78" t="n">
        <v>0.834236111111111</v>
      </c>
      <c r="G358" s="77" t="n">
        <v>44998</v>
      </c>
      <c r="H358" s="78" t="n">
        <v>0.871921296296296</v>
      </c>
      <c r="I358" s="7" t="s">
        <v>453</v>
      </c>
      <c r="J358" s="7" t="s">
        <v>33</v>
      </c>
      <c r="K358" s="79" t="str">
        <f aca="false">INDEX(Products!$B$2:$B$71,MATCH($C358,Products!$A$2:$A$71,0))</f>
        <v>Sed Set</v>
      </c>
      <c r="L358" s="79" t="str">
        <f aca="false">INDEX(Products!$C$2:$C$71,MATCH($C358,Products!$A$2:$A$71,0))</f>
        <v>Colors</v>
      </c>
      <c r="M358" s="80" t="n">
        <f aca="false">INDEX(Products!$D$2:$D$71,MATCH($C358,Products!$A$2:$A$71,0))</f>
        <v>1356</v>
      </c>
      <c r="N358" s="80" t="n">
        <f aca="false">$D358*$M358</f>
        <v>5424</v>
      </c>
      <c r="O358" s="79" t="str">
        <f aca="false">INDEX(Customers!$C$2:$C$101,MATCH($B358,Customers!$A$2:$A$101,0))</f>
        <v>Jamnagar</v>
      </c>
      <c r="P358" s="79" t="str">
        <f aca="false">INDEX(Customers!$F$2:$F$101,MATCH($B358,Customers!$A$2:$A$101,0))</f>
        <v>Male</v>
      </c>
      <c r="Q358" s="79" t="str">
        <f aca="false">INDEX(Customers!$B$2:$B$101,MATCH($B358,Customers!$A$2:$A$101,0))</f>
        <v>Arhaan Ahluwalia</v>
      </c>
      <c r="R358" s="79" t="n">
        <f aca="false">MONTH($E358)</f>
        <v>3</v>
      </c>
      <c r="S358" s="79" t="str">
        <f aca="false">INDEX(Lists!$B$2:$B$13,$R358)</f>
        <v>March</v>
      </c>
      <c r="T358" s="79" t="n">
        <f aca="false">HOUR($F358)</f>
        <v>20</v>
      </c>
      <c r="U358" s="79" t="n">
        <f aca="false">WEEKDAY($E358,2)</f>
        <v>5</v>
      </c>
      <c r="V358" s="79" t="str">
        <f aca="false">INDEX(Lists!$F$2:$F$8,$U358)</f>
        <v>Friday</v>
      </c>
      <c r="W358" s="81" t="n">
        <f aca="false">($G358+$H358)-($E358+$F358)</f>
        <v>10.0376851851852</v>
      </c>
      <c r="X358" s="79" t="str">
        <f aca="false">LOOKUP($M358,Lists!$G$2:$G$5,Lists!$H$2:$H$5)</f>
        <v>₹1,000 - 1,499</v>
      </c>
      <c r="Y358" s="79" t="str">
        <f aca="false">LOOKUP($W358,Lists!$I$2:$I$7,Lists!$J$2:$J$7)</f>
        <v>Over 10 days</v>
      </c>
    </row>
    <row r="359" customFormat="false" ht="15" hidden="false" customHeight="false" outlineLevel="0" collapsed="false">
      <c r="A359" s="2" t="n">
        <v>358</v>
      </c>
      <c r="B359" s="2" t="s">
        <v>224</v>
      </c>
      <c r="C359" s="2" t="n">
        <v>55</v>
      </c>
      <c r="D359" s="2" t="n">
        <v>1</v>
      </c>
      <c r="E359" s="82" t="n">
        <v>45158</v>
      </c>
      <c r="F359" s="83" t="n">
        <v>0.70380787037037</v>
      </c>
      <c r="G359" s="82" t="n">
        <v>45163</v>
      </c>
      <c r="H359" s="83" t="n">
        <v>0.562928240740741</v>
      </c>
      <c r="I359" s="2" t="s">
        <v>560</v>
      </c>
      <c r="J359" s="2" t="s">
        <v>40</v>
      </c>
      <c r="K359" s="46" t="str">
        <f aca="false">INDEX(Products!$B$2:$B$71,MATCH($C359,Products!$A$2:$A$71,0))</f>
        <v>Dolores Gift</v>
      </c>
      <c r="L359" s="46" t="str">
        <f aca="false">INDEX(Products!$C$2:$C$71,MATCH($C359,Products!$A$2:$A$71,0))</f>
        <v>Soft Toys</v>
      </c>
      <c r="M359" s="84" t="n">
        <f aca="false">INDEX(Products!$D$2:$D$71,MATCH($C359,Products!$A$2:$A$71,0))</f>
        <v>1904</v>
      </c>
      <c r="N359" s="84" t="n">
        <f aca="false">$D359*$M359</f>
        <v>1904</v>
      </c>
      <c r="O359" s="46" t="str">
        <f aca="false">INDEX(Customers!$C$2:$C$101,MATCH($B359,Customers!$A$2:$A$101,0))</f>
        <v>Pallavaram</v>
      </c>
      <c r="P359" s="46" t="str">
        <f aca="false">INDEX(Customers!$F$2:$F$101,MATCH($B359,Customers!$A$2:$A$101,0))</f>
        <v>Female</v>
      </c>
      <c r="Q359" s="46" t="str">
        <f aca="false">INDEX(Customers!$B$2:$B$101,MATCH($B359,Customers!$A$2:$A$101,0))</f>
        <v>Hazel Mangat</v>
      </c>
      <c r="R359" s="46" t="n">
        <f aca="false">MONTH($E359)</f>
        <v>8</v>
      </c>
      <c r="S359" s="46" t="str">
        <f aca="false">INDEX(Lists!$B$2:$B$13,$R359)</f>
        <v>August</v>
      </c>
      <c r="T359" s="46" t="n">
        <f aca="false">HOUR($F359)</f>
        <v>16</v>
      </c>
      <c r="U359" s="46" t="n">
        <f aca="false">WEEKDAY($E359,2)</f>
        <v>7</v>
      </c>
      <c r="V359" s="46" t="str">
        <f aca="false">INDEX(Lists!$F$2:$F$8,$U359)</f>
        <v>Sunday</v>
      </c>
      <c r="W359" s="85" t="n">
        <f aca="false">($G359+$H359)-($E359+$F359)</f>
        <v>4.85912037037037</v>
      </c>
      <c r="X359" s="46" t="str">
        <f aca="false">LOOKUP($M359,Lists!$G$2:$G$5,Lists!$H$2:$H$5)</f>
        <v>₹1,500 - 2,000</v>
      </c>
      <c r="Y359" s="46" t="str">
        <f aca="false">LOOKUP($W359,Lists!$I$2:$I$7,Lists!$J$2:$J$7)</f>
        <v>4 - 6 days</v>
      </c>
    </row>
    <row r="360" customFormat="false" ht="15" hidden="false" customHeight="false" outlineLevel="0" collapsed="false">
      <c r="A360" s="7" t="n">
        <v>359</v>
      </c>
      <c r="B360" s="7" t="s">
        <v>260</v>
      </c>
      <c r="C360" s="7" t="n">
        <v>47</v>
      </c>
      <c r="D360" s="7" t="n">
        <v>2</v>
      </c>
      <c r="E360" s="77" t="n">
        <v>44985</v>
      </c>
      <c r="F360" s="78" t="n">
        <v>0.509444444444445</v>
      </c>
      <c r="G360" s="77" t="n">
        <v>44990</v>
      </c>
      <c r="H360" s="78" t="n">
        <v>0.855208333333333</v>
      </c>
      <c r="I360" s="7" t="s">
        <v>501</v>
      </c>
      <c r="J360" s="7" t="s">
        <v>33</v>
      </c>
      <c r="K360" s="79" t="str">
        <f aca="false">INDEX(Products!$B$2:$B$71,MATCH($C360,Products!$A$2:$A$71,0))</f>
        <v>Harum Pack</v>
      </c>
      <c r="L360" s="79" t="str">
        <f aca="false">INDEX(Products!$C$2:$C$71,MATCH($C360,Products!$A$2:$A$71,0))</f>
        <v>Colors</v>
      </c>
      <c r="M360" s="80" t="n">
        <f aca="false">INDEX(Products!$D$2:$D$71,MATCH($C360,Products!$A$2:$A$71,0))</f>
        <v>1638</v>
      </c>
      <c r="N360" s="80" t="n">
        <f aca="false">$D360*$M360</f>
        <v>3276</v>
      </c>
      <c r="O360" s="79" t="str">
        <f aca="false">INDEX(Customers!$C$2:$C$101,MATCH($B360,Customers!$A$2:$A$101,0))</f>
        <v>Dhanbad</v>
      </c>
      <c r="P360" s="79" t="str">
        <f aca="false">INDEX(Customers!$F$2:$F$101,MATCH($B360,Customers!$A$2:$A$101,0))</f>
        <v>Male</v>
      </c>
      <c r="Q360" s="79" t="str">
        <f aca="false">INDEX(Customers!$B$2:$B$101,MATCH($B360,Customers!$A$2:$A$101,0))</f>
        <v>Vardaniya Apte</v>
      </c>
      <c r="R360" s="79" t="n">
        <f aca="false">MONTH($E360)</f>
        <v>2</v>
      </c>
      <c r="S360" s="79" t="str">
        <f aca="false">INDEX(Lists!$B$2:$B$13,$R360)</f>
        <v>February</v>
      </c>
      <c r="T360" s="79" t="n">
        <f aca="false">HOUR($F360)</f>
        <v>12</v>
      </c>
      <c r="U360" s="79" t="n">
        <f aca="false">WEEKDAY($E360,2)</f>
        <v>2</v>
      </c>
      <c r="V360" s="79" t="str">
        <f aca="false">INDEX(Lists!$F$2:$F$8,$U360)</f>
        <v>Tuesday</v>
      </c>
      <c r="W360" s="81" t="n">
        <f aca="false">($G360+$H360)-($E360+$F360)</f>
        <v>5.34576388888889</v>
      </c>
      <c r="X360" s="79" t="str">
        <f aca="false">LOOKUP($M360,Lists!$G$2:$G$5,Lists!$H$2:$H$5)</f>
        <v>₹1,500 - 2,000</v>
      </c>
      <c r="Y360" s="79" t="str">
        <f aca="false">LOOKUP($W360,Lists!$I$2:$I$7,Lists!$J$2:$J$7)</f>
        <v>4 - 6 days</v>
      </c>
    </row>
    <row r="361" customFormat="false" ht="15" hidden="false" customHeight="false" outlineLevel="0" collapsed="false">
      <c r="A361" s="2" t="n">
        <v>360</v>
      </c>
      <c r="B361" s="2" t="s">
        <v>390</v>
      </c>
      <c r="C361" s="2" t="n">
        <v>41</v>
      </c>
      <c r="D361" s="2" t="n">
        <v>1</v>
      </c>
      <c r="E361" s="82" t="n">
        <v>45236</v>
      </c>
      <c r="F361" s="83" t="n">
        <v>0.133298611111111</v>
      </c>
      <c r="G361" s="82" t="n">
        <v>45239</v>
      </c>
      <c r="H361" s="83" t="n">
        <v>0.73994212962963</v>
      </c>
      <c r="I361" s="2" t="s">
        <v>211</v>
      </c>
      <c r="J361" s="2" t="s">
        <v>32</v>
      </c>
      <c r="K361" s="46" t="str">
        <f aca="false">INDEX(Products!$B$2:$B$71,MATCH($C361,Products!$A$2:$A$71,0))</f>
        <v>Aut Box</v>
      </c>
      <c r="L361" s="46" t="str">
        <f aca="false">INDEX(Products!$C$2:$C$71,MATCH($C361,Products!$A$2:$A$71,0))</f>
        <v>Sweets</v>
      </c>
      <c r="M361" s="84" t="n">
        <f aca="false">INDEX(Products!$D$2:$D$71,MATCH($C361,Products!$A$2:$A$71,0))</f>
        <v>1977</v>
      </c>
      <c r="N361" s="84" t="n">
        <f aca="false">$D361*$M361</f>
        <v>1977</v>
      </c>
      <c r="O361" s="46" t="str">
        <f aca="false">INDEX(Customers!$C$2:$C$101,MATCH($B361,Customers!$A$2:$A$101,0))</f>
        <v>Dhanbad</v>
      </c>
      <c r="P361" s="46" t="str">
        <f aca="false">INDEX(Customers!$F$2:$F$101,MATCH($B361,Customers!$A$2:$A$101,0))</f>
        <v>Female</v>
      </c>
      <c r="Q361" s="46" t="str">
        <f aca="false">INDEX(Customers!$B$2:$B$101,MATCH($B361,Customers!$A$2:$A$101,0))</f>
        <v>Ranbir Loyal</v>
      </c>
      <c r="R361" s="46" t="n">
        <f aca="false">MONTH($E361)</f>
        <v>11</v>
      </c>
      <c r="S361" s="46" t="str">
        <f aca="false">INDEX(Lists!$B$2:$B$13,$R361)</f>
        <v>November</v>
      </c>
      <c r="T361" s="46" t="n">
        <f aca="false">HOUR($F361)</f>
        <v>3</v>
      </c>
      <c r="U361" s="46" t="n">
        <f aca="false">WEEKDAY($E361,2)</f>
        <v>1</v>
      </c>
      <c r="V361" s="46" t="str">
        <f aca="false">INDEX(Lists!$F$2:$F$8,$U361)</f>
        <v>Monday</v>
      </c>
      <c r="W361" s="85" t="n">
        <f aca="false">($G361+$H361)-($E361+$F361)</f>
        <v>3.60664351851852</v>
      </c>
      <c r="X361" s="46" t="str">
        <f aca="false">LOOKUP($M361,Lists!$G$2:$G$5,Lists!$H$2:$H$5)</f>
        <v>₹1,500 - 2,000</v>
      </c>
      <c r="Y361" s="46" t="str">
        <f aca="false">LOOKUP($W361,Lists!$I$2:$I$7,Lists!$J$2:$J$7)</f>
        <v>2 - 4 days</v>
      </c>
    </row>
    <row r="362" customFormat="false" ht="15" hidden="false" customHeight="false" outlineLevel="0" collapsed="false">
      <c r="A362" s="7" t="n">
        <v>361</v>
      </c>
      <c r="B362" s="7" t="s">
        <v>251</v>
      </c>
      <c r="C362" s="7" t="n">
        <v>47</v>
      </c>
      <c r="D362" s="7" t="n">
        <v>4</v>
      </c>
      <c r="E362" s="77" t="n">
        <v>44988</v>
      </c>
      <c r="F362" s="78" t="n">
        <v>0.256898148148148</v>
      </c>
      <c r="G362" s="77" t="n">
        <v>44996</v>
      </c>
      <c r="H362" s="78" t="n">
        <v>0.356365740740741</v>
      </c>
      <c r="I362" s="7" t="s">
        <v>539</v>
      </c>
      <c r="J362" s="7" t="s">
        <v>33</v>
      </c>
      <c r="K362" s="79" t="str">
        <f aca="false">INDEX(Products!$B$2:$B$71,MATCH($C362,Products!$A$2:$A$71,0))</f>
        <v>Harum Pack</v>
      </c>
      <c r="L362" s="79" t="str">
        <f aca="false">INDEX(Products!$C$2:$C$71,MATCH($C362,Products!$A$2:$A$71,0))</f>
        <v>Colors</v>
      </c>
      <c r="M362" s="80" t="n">
        <f aca="false">INDEX(Products!$D$2:$D$71,MATCH($C362,Products!$A$2:$A$71,0))</f>
        <v>1638</v>
      </c>
      <c r="N362" s="80" t="n">
        <f aca="false">$D362*$M362</f>
        <v>6552</v>
      </c>
      <c r="O362" s="79" t="str">
        <f aca="false">INDEX(Customers!$C$2:$C$101,MATCH($B362,Customers!$A$2:$A$101,0))</f>
        <v>Imphal</v>
      </c>
      <c r="P362" s="79" t="str">
        <f aca="false">INDEX(Customers!$F$2:$F$101,MATCH($B362,Customers!$A$2:$A$101,0))</f>
        <v>Female</v>
      </c>
      <c r="Q362" s="79" t="str">
        <f aca="false">INDEX(Customers!$B$2:$B$101,MATCH($B362,Customers!$A$2:$A$101,0))</f>
        <v>Aarush Balasubramanian</v>
      </c>
      <c r="R362" s="79" t="n">
        <f aca="false">MONTH($E362)</f>
        <v>3</v>
      </c>
      <c r="S362" s="79" t="str">
        <f aca="false">INDEX(Lists!$B$2:$B$13,$R362)</f>
        <v>March</v>
      </c>
      <c r="T362" s="79" t="n">
        <f aca="false">HOUR($F362)</f>
        <v>6</v>
      </c>
      <c r="U362" s="79" t="n">
        <f aca="false">WEEKDAY($E362,2)</f>
        <v>5</v>
      </c>
      <c r="V362" s="79" t="str">
        <f aca="false">INDEX(Lists!$F$2:$F$8,$U362)</f>
        <v>Friday</v>
      </c>
      <c r="W362" s="81" t="n">
        <f aca="false">($G362+$H362)-($E362+$F362)</f>
        <v>8.09946759259259</v>
      </c>
      <c r="X362" s="79" t="str">
        <f aca="false">LOOKUP($M362,Lists!$G$2:$G$5,Lists!$H$2:$H$5)</f>
        <v>₹1,500 - 2,000</v>
      </c>
      <c r="Y362" s="79" t="str">
        <f aca="false">LOOKUP($W362,Lists!$I$2:$I$7,Lists!$J$2:$J$7)</f>
        <v>8 - 10 days</v>
      </c>
    </row>
    <row r="363" customFormat="false" ht="15" hidden="false" customHeight="false" outlineLevel="0" collapsed="false">
      <c r="A363" s="2" t="n">
        <v>362</v>
      </c>
      <c r="B363" s="2" t="s">
        <v>227</v>
      </c>
      <c r="C363" s="2" t="n">
        <v>31</v>
      </c>
      <c r="D363" s="2" t="n">
        <v>2</v>
      </c>
      <c r="E363" s="82" t="n">
        <v>44995</v>
      </c>
      <c r="F363" s="83" t="n">
        <v>0.152789351851852</v>
      </c>
      <c r="G363" s="82" t="n">
        <v>45002</v>
      </c>
      <c r="H363" s="83" t="n">
        <v>0.441238425925926</v>
      </c>
      <c r="I363" s="2" t="s">
        <v>507</v>
      </c>
      <c r="J363" s="2" t="s">
        <v>165</v>
      </c>
      <c r="K363" s="46" t="str">
        <f aca="false">INDEX(Products!$B$2:$B$71,MATCH($C363,Products!$A$2:$A$71,0))</f>
        <v>Nihil Box</v>
      </c>
      <c r="L363" s="46" t="str">
        <f aca="false">INDEX(Products!$C$2:$C$71,MATCH($C363,Products!$A$2:$A$71,0))</f>
        <v>Colors</v>
      </c>
      <c r="M363" s="84" t="n">
        <f aca="false">INDEX(Products!$D$2:$D$71,MATCH($C363,Products!$A$2:$A$71,0))</f>
        <v>1804</v>
      </c>
      <c r="N363" s="84" t="n">
        <f aca="false">$D363*$M363</f>
        <v>3608</v>
      </c>
      <c r="O363" s="46" t="str">
        <f aca="false">INDEX(Customers!$C$2:$C$101,MATCH($B363,Customers!$A$2:$A$101,0))</f>
        <v>Karaikudi</v>
      </c>
      <c r="P363" s="46" t="str">
        <f aca="false">INDEX(Customers!$F$2:$F$101,MATCH($B363,Customers!$A$2:$A$101,0))</f>
        <v>Male</v>
      </c>
      <c r="Q363" s="46" t="str">
        <f aca="false">INDEX(Customers!$B$2:$B$101,MATCH($B363,Customers!$A$2:$A$101,0))</f>
        <v>Rati Dhingra</v>
      </c>
      <c r="R363" s="46" t="n">
        <f aca="false">MONTH($E363)</f>
        <v>3</v>
      </c>
      <c r="S363" s="46" t="str">
        <f aca="false">INDEX(Lists!$B$2:$B$13,$R363)</f>
        <v>March</v>
      </c>
      <c r="T363" s="46" t="n">
        <f aca="false">HOUR($F363)</f>
        <v>3</v>
      </c>
      <c r="U363" s="46" t="n">
        <f aca="false">WEEKDAY($E363,2)</f>
        <v>5</v>
      </c>
      <c r="V363" s="46" t="str">
        <f aca="false">INDEX(Lists!$F$2:$F$8,$U363)</f>
        <v>Friday</v>
      </c>
      <c r="W363" s="85" t="n">
        <f aca="false">($G363+$H363)-($E363+$F363)</f>
        <v>7.28844907407407</v>
      </c>
      <c r="X363" s="46" t="str">
        <f aca="false">LOOKUP($M363,Lists!$G$2:$G$5,Lists!$H$2:$H$5)</f>
        <v>₹1,500 - 2,000</v>
      </c>
      <c r="Y363" s="46" t="str">
        <f aca="false">LOOKUP($W363,Lists!$I$2:$I$7,Lists!$J$2:$J$7)</f>
        <v>6 - 8 days</v>
      </c>
    </row>
    <row r="364" customFormat="false" ht="15" hidden="false" customHeight="false" outlineLevel="0" collapsed="false">
      <c r="A364" s="7" t="n">
        <v>363</v>
      </c>
      <c r="B364" s="7" t="s">
        <v>181</v>
      </c>
      <c r="C364" s="7" t="n">
        <v>15</v>
      </c>
      <c r="D364" s="7" t="n">
        <v>2</v>
      </c>
      <c r="E364" s="77" t="n">
        <v>45257</v>
      </c>
      <c r="F364" s="78" t="n">
        <v>0.792372685185185</v>
      </c>
      <c r="G364" s="77" t="n">
        <v>45265</v>
      </c>
      <c r="H364" s="78" t="n">
        <v>0.0768055555555556</v>
      </c>
      <c r="I364" s="7" t="s">
        <v>238</v>
      </c>
      <c r="J364" s="7" t="s">
        <v>168</v>
      </c>
      <c r="K364" s="79" t="str">
        <f aca="false">INDEX(Products!$B$2:$B$71,MATCH($C364,Products!$A$2:$A$71,0))</f>
        <v>Repudiandae Box</v>
      </c>
      <c r="L364" s="79" t="str">
        <f aca="false">INDEX(Products!$C$2:$C$71,MATCH($C364,Products!$A$2:$A$71,0))</f>
        <v>Raksha Bandhan</v>
      </c>
      <c r="M364" s="80" t="n">
        <f aca="false">INDEX(Products!$D$2:$D$71,MATCH($C364,Products!$A$2:$A$71,0))</f>
        <v>1488</v>
      </c>
      <c r="N364" s="80" t="n">
        <f aca="false">$D364*$M364</f>
        <v>2976</v>
      </c>
      <c r="O364" s="79" t="str">
        <f aca="false">INDEX(Customers!$C$2:$C$101,MATCH($B364,Customers!$A$2:$A$101,0))</f>
        <v>Khandwa</v>
      </c>
      <c r="P364" s="79" t="str">
        <f aca="false">INDEX(Customers!$F$2:$F$101,MATCH($B364,Customers!$A$2:$A$101,0))</f>
        <v>Male</v>
      </c>
      <c r="Q364" s="79" t="str">
        <f aca="false">INDEX(Customers!$B$2:$B$101,MATCH($B364,Customers!$A$2:$A$101,0))</f>
        <v>Ivana Rout</v>
      </c>
      <c r="R364" s="79" t="n">
        <f aca="false">MONTH($E364)</f>
        <v>11</v>
      </c>
      <c r="S364" s="79" t="str">
        <f aca="false">INDEX(Lists!$B$2:$B$13,$R364)</f>
        <v>November</v>
      </c>
      <c r="T364" s="79" t="n">
        <f aca="false">HOUR($F364)</f>
        <v>19</v>
      </c>
      <c r="U364" s="79" t="n">
        <f aca="false">WEEKDAY($E364,2)</f>
        <v>1</v>
      </c>
      <c r="V364" s="79" t="str">
        <f aca="false">INDEX(Lists!$F$2:$F$8,$U364)</f>
        <v>Monday</v>
      </c>
      <c r="W364" s="81" t="n">
        <f aca="false">($G364+$H364)-($E364+$F364)</f>
        <v>7.28443287037037</v>
      </c>
      <c r="X364" s="79" t="str">
        <f aca="false">LOOKUP($M364,Lists!$G$2:$G$5,Lists!$H$2:$H$5)</f>
        <v>₹1,000 - 1,499</v>
      </c>
      <c r="Y364" s="79" t="str">
        <f aca="false">LOOKUP($W364,Lists!$I$2:$I$7,Lists!$J$2:$J$7)</f>
        <v>6 - 8 days</v>
      </c>
    </row>
    <row r="365" customFormat="false" ht="15" hidden="false" customHeight="false" outlineLevel="0" collapsed="false">
      <c r="A365" s="2" t="n">
        <v>364</v>
      </c>
      <c r="B365" s="2" t="s">
        <v>130</v>
      </c>
      <c r="C365" s="2" t="n">
        <v>43</v>
      </c>
      <c r="D365" s="2" t="n">
        <v>3</v>
      </c>
      <c r="E365" s="82" t="n">
        <v>45238</v>
      </c>
      <c r="F365" s="83" t="n">
        <v>0.256261574074074</v>
      </c>
      <c r="G365" s="82" t="n">
        <v>45239</v>
      </c>
      <c r="H365" s="83" t="n">
        <v>0.192743055555556</v>
      </c>
      <c r="I365" s="2" t="s">
        <v>558</v>
      </c>
      <c r="J365" s="2" t="s">
        <v>32</v>
      </c>
      <c r="K365" s="46" t="str">
        <f aca="false">INDEX(Products!$B$2:$B$71,MATCH($C365,Products!$A$2:$A$71,0))</f>
        <v>Quisquam Pack</v>
      </c>
      <c r="L365" s="46" t="str">
        <f aca="false">INDEX(Products!$C$2:$C$71,MATCH($C365,Products!$A$2:$A$71,0))</f>
        <v>Raksha Bandhan</v>
      </c>
      <c r="M365" s="84" t="n">
        <f aca="false">INDEX(Products!$D$2:$D$71,MATCH($C365,Products!$A$2:$A$71,0))</f>
        <v>750</v>
      </c>
      <c r="N365" s="84" t="n">
        <f aca="false">$D365*$M365</f>
        <v>2250</v>
      </c>
      <c r="O365" s="46" t="str">
        <f aca="false">INDEX(Customers!$C$2:$C$101,MATCH($B365,Customers!$A$2:$A$101,0))</f>
        <v>Bilaspur</v>
      </c>
      <c r="P365" s="46" t="str">
        <f aca="false">INDEX(Customers!$F$2:$F$101,MATCH($B365,Customers!$A$2:$A$101,0))</f>
        <v>Male</v>
      </c>
      <c r="Q365" s="46" t="str">
        <f aca="false">INDEX(Customers!$B$2:$B$101,MATCH($B365,Customers!$A$2:$A$101,0))</f>
        <v>Jayesh Lanka</v>
      </c>
      <c r="R365" s="46" t="n">
        <f aca="false">MONTH($E365)</f>
        <v>11</v>
      </c>
      <c r="S365" s="46" t="str">
        <f aca="false">INDEX(Lists!$B$2:$B$13,$R365)</f>
        <v>November</v>
      </c>
      <c r="T365" s="46" t="n">
        <f aca="false">HOUR($F365)</f>
        <v>6</v>
      </c>
      <c r="U365" s="46" t="n">
        <f aca="false">WEEKDAY($E365,2)</f>
        <v>3</v>
      </c>
      <c r="V365" s="46" t="str">
        <f aca="false">INDEX(Lists!$F$2:$F$8,$U365)</f>
        <v>Wednesday</v>
      </c>
      <c r="W365" s="85" t="n">
        <f aca="false">($G365+$H365)-($E365+$F365)</f>
        <v>0.936481481481482</v>
      </c>
      <c r="X365" s="46" t="str">
        <f aca="false">LOOKUP($M365,Lists!$G$2:$G$5,Lists!$H$2:$H$5)</f>
        <v>₹500 - 999</v>
      </c>
      <c r="Y365" s="46" t="str">
        <f aca="false">LOOKUP($W365,Lists!$I$2:$I$7,Lists!$J$2:$J$7)</f>
        <v>0 - 2 days</v>
      </c>
    </row>
    <row r="366" customFormat="false" ht="15" hidden="false" customHeight="false" outlineLevel="0" collapsed="false">
      <c r="A366" s="7" t="n">
        <v>365</v>
      </c>
      <c r="B366" s="7" t="s">
        <v>194</v>
      </c>
      <c r="C366" s="7" t="n">
        <v>8</v>
      </c>
      <c r="D366" s="7" t="n">
        <v>5</v>
      </c>
      <c r="E366" s="77" t="n">
        <v>45078</v>
      </c>
      <c r="F366" s="78" t="n">
        <v>0.647071759259259</v>
      </c>
      <c r="G366" s="77" t="n">
        <v>45081</v>
      </c>
      <c r="H366" s="78" t="n">
        <v>0.427418981481482</v>
      </c>
      <c r="I366" s="7" t="s">
        <v>129</v>
      </c>
      <c r="J366" s="7" t="s">
        <v>168</v>
      </c>
      <c r="K366" s="79" t="str">
        <f aca="false">INDEX(Products!$B$2:$B$71,MATCH($C366,Products!$A$2:$A$71,0))</f>
        <v>Qui Box</v>
      </c>
      <c r="L366" s="79" t="str">
        <f aca="false">INDEX(Products!$C$2:$C$71,MATCH($C366,Products!$A$2:$A$71,0))</f>
        <v>Sweets</v>
      </c>
      <c r="M366" s="80" t="n">
        <f aca="false">INDEX(Products!$D$2:$D$71,MATCH($C366,Products!$A$2:$A$71,0))</f>
        <v>252</v>
      </c>
      <c r="N366" s="80" t="n">
        <f aca="false">$D366*$M366</f>
        <v>1260</v>
      </c>
      <c r="O366" s="79" t="str">
        <f aca="false">INDEX(Customers!$C$2:$C$101,MATCH($B366,Customers!$A$2:$A$101,0))</f>
        <v>Noida</v>
      </c>
      <c r="P366" s="79" t="str">
        <f aca="false">INDEX(Customers!$F$2:$F$101,MATCH($B366,Customers!$A$2:$A$101,0))</f>
        <v>Female</v>
      </c>
      <c r="Q366" s="79" t="str">
        <f aca="false">INDEX(Customers!$B$2:$B$101,MATCH($B366,Customers!$A$2:$A$101,0))</f>
        <v>Hridaan Rajagopalan</v>
      </c>
      <c r="R366" s="79" t="n">
        <f aca="false">MONTH($E366)</f>
        <v>6</v>
      </c>
      <c r="S366" s="79" t="str">
        <f aca="false">INDEX(Lists!$B$2:$B$13,$R366)</f>
        <v>June</v>
      </c>
      <c r="T366" s="79" t="n">
        <f aca="false">HOUR($F366)</f>
        <v>15</v>
      </c>
      <c r="U366" s="79" t="n">
        <f aca="false">WEEKDAY($E366,2)</f>
        <v>4</v>
      </c>
      <c r="V366" s="79" t="str">
        <f aca="false">INDEX(Lists!$F$2:$F$8,$U366)</f>
        <v>Thursday</v>
      </c>
      <c r="W366" s="81" t="n">
        <f aca="false">($G366+$H366)-($E366+$F366)</f>
        <v>2.78034722222222</v>
      </c>
      <c r="X366" s="79" t="str">
        <f aca="false">LOOKUP($M366,Lists!$G$2:$G$5,Lists!$H$2:$H$5)</f>
        <v>₹0 - 499</v>
      </c>
      <c r="Y366" s="79" t="str">
        <f aca="false">LOOKUP($W366,Lists!$I$2:$I$7,Lists!$J$2:$J$7)</f>
        <v>2 - 4 days</v>
      </c>
    </row>
    <row r="367" customFormat="false" ht="15" hidden="false" customHeight="false" outlineLevel="0" collapsed="false">
      <c r="A367" s="2" t="n">
        <v>366</v>
      </c>
      <c r="B367" s="2" t="s">
        <v>204</v>
      </c>
      <c r="C367" s="2" t="n">
        <v>3</v>
      </c>
      <c r="D367" s="2" t="n">
        <v>3</v>
      </c>
      <c r="E367" s="82" t="n">
        <v>44965</v>
      </c>
      <c r="F367" s="83" t="n">
        <v>0.969293981481482</v>
      </c>
      <c r="G367" s="82" t="n">
        <v>44973</v>
      </c>
      <c r="H367" s="83" t="n">
        <v>0.452523148148148</v>
      </c>
      <c r="I367" s="2" t="s">
        <v>462</v>
      </c>
      <c r="J367" s="2" t="s">
        <v>179</v>
      </c>
      <c r="K367" s="46" t="str">
        <f aca="false">INDEX(Products!$B$2:$B$71,MATCH($C367,Products!$A$2:$A$71,0))</f>
        <v>Eius Gift</v>
      </c>
      <c r="L367" s="46" t="str">
        <f aca="false">INDEX(Products!$C$2:$C$71,MATCH($C367,Products!$A$2:$A$71,0))</f>
        <v>Colors</v>
      </c>
      <c r="M367" s="84" t="n">
        <f aca="false">INDEX(Products!$D$2:$D$71,MATCH($C367,Products!$A$2:$A$71,0))</f>
        <v>1534</v>
      </c>
      <c r="N367" s="84" t="n">
        <f aca="false">$D367*$M367</f>
        <v>4602</v>
      </c>
      <c r="O367" s="46" t="str">
        <f aca="false">INDEX(Customers!$C$2:$C$101,MATCH($B367,Customers!$A$2:$A$101,0))</f>
        <v>Indore</v>
      </c>
      <c r="P367" s="46" t="str">
        <f aca="false">INDEX(Customers!$F$2:$F$101,MATCH($B367,Customers!$A$2:$A$101,0))</f>
        <v>Female</v>
      </c>
      <c r="Q367" s="46" t="str">
        <f aca="false">INDEX(Customers!$B$2:$B$101,MATCH($B367,Customers!$A$2:$A$101,0))</f>
        <v>Suhana Kurian</v>
      </c>
      <c r="R367" s="46" t="n">
        <f aca="false">MONTH($E367)</f>
        <v>2</v>
      </c>
      <c r="S367" s="46" t="str">
        <f aca="false">INDEX(Lists!$B$2:$B$13,$R367)</f>
        <v>February</v>
      </c>
      <c r="T367" s="46" t="n">
        <f aca="false">HOUR($F367)</f>
        <v>23</v>
      </c>
      <c r="U367" s="46" t="n">
        <f aca="false">WEEKDAY($E367,2)</f>
        <v>3</v>
      </c>
      <c r="V367" s="46" t="str">
        <f aca="false">INDEX(Lists!$F$2:$F$8,$U367)</f>
        <v>Wednesday</v>
      </c>
      <c r="W367" s="85" t="n">
        <f aca="false">($G367+$H367)-($E367+$F367)</f>
        <v>7.48322916666667</v>
      </c>
      <c r="X367" s="46" t="str">
        <f aca="false">LOOKUP($M367,Lists!$G$2:$G$5,Lists!$H$2:$H$5)</f>
        <v>₹1,500 - 2,000</v>
      </c>
      <c r="Y367" s="46" t="str">
        <f aca="false">LOOKUP($W367,Lists!$I$2:$I$7,Lists!$J$2:$J$7)</f>
        <v>6 - 8 days</v>
      </c>
    </row>
    <row r="368" customFormat="false" ht="15" hidden="false" customHeight="false" outlineLevel="0" collapsed="false">
      <c r="A368" s="7" t="n">
        <v>367</v>
      </c>
      <c r="B368" s="7" t="s">
        <v>151</v>
      </c>
      <c r="C368" s="7" t="n">
        <v>47</v>
      </c>
      <c r="D368" s="7" t="n">
        <v>5</v>
      </c>
      <c r="E368" s="77" t="n">
        <v>44988</v>
      </c>
      <c r="F368" s="78" t="n">
        <v>0.0306597222222222</v>
      </c>
      <c r="G368" s="77" t="n">
        <v>44997</v>
      </c>
      <c r="H368" s="78" t="n">
        <v>0.628506944444444</v>
      </c>
      <c r="I368" s="7" t="s">
        <v>574</v>
      </c>
      <c r="J368" s="7" t="s">
        <v>33</v>
      </c>
      <c r="K368" s="79" t="str">
        <f aca="false">INDEX(Products!$B$2:$B$71,MATCH($C368,Products!$A$2:$A$71,0))</f>
        <v>Harum Pack</v>
      </c>
      <c r="L368" s="79" t="str">
        <f aca="false">INDEX(Products!$C$2:$C$71,MATCH($C368,Products!$A$2:$A$71,0))</f>
        <v>Colors</v>
      </c>
      <c r="M368" s="80" t="n">
        <f aca="false">INDEX(Products!$D$2:$D$71,MATCH($C368,Products!$A$2:$A$71,0))</f>
        <v>1638</v>
      </c>
      <c r="N368" s="80" t="n">
        <f aca="false">$D368*$M368</f>
        <v>8190</v>
      </c>
      <c r="O368" s="79" t="str">
        <f aca="false">INDEX(Customers!$C$2:$C$101,MATCH($B368,Customers!$A$2:$A$101,0))</f>
        <v>Kanpur</v>
      </c>
      <c r="P368" s="79" t="str">
        <f aca="false">INDEX(Customers!$F$2:$F$101,MATCH($B368,Customers!$A$2:$A$101,0))</f>
        <v>Male</v>
      </c>
      <c r="Q368" s="79" t="str">
        <f aca="false">INDEX(Customers!$B$2:$B$101,MATCH($B368,Customers!$A$2:$A$101,0))</f>
        <v>Darshit Dave</v>
      </c>
      <c r="R368" s="79" t="n">
        <f aca="false">MONTH($E368)</f>
        <v>3</v>
      </c>
      <c r="S368" s="79" t="str">
        <f aca="false">INDEX(Lists!$B$2:$B$13,$R368)</f>
        <v>March</v>
      </c>
      <c r="T368" s="79" t="n">
        <f aca="false">HOUR($F368)</f>
        <v>0</v>
      </c>
      <c r="U368" s="79" t="n">
        <f aca="false">WEEKDAY($E368,2)</f>
        <v>5</v>
      </c>
      <c r="V368" s="79" t="str">
        <f aca="false">INDEX(Lists!$F$2:$F$8,$U368)</f>
        <v>Friday</v>
      </c>
      <c r="W368" s="81" t="n">
        <f aca="false">($G368+$H368)-($E368+$F368)</f>
        <v>9.59784722222222</v>
      </c>
      <c r="X368" s="79" t="str">
        <f aca="false">LOOKUP($M368,Lists!$G$2:$G$5,Lists!$H$2:$H$5)</f>
        <v>₹1,500 - 2,000</v>
      </c>
      <c r="Y368" s="79" t="str">
        <f aca="false">LOOKUP($W368,Lists!$I$2:$I$7,Lists!$J$2:$J$7)</f>
        <v>8 - 10 days</v>
      </c>
    </row>
    <row r="369" customFormat="false" ht="15" hidden="false" customHeight="false" outlineLevel="0" collapsed="false">
      <c r="A369" s="2" t="n">
        <v>368</v>
      </c>
      <c r="B369" s="2" t="s">
        <v>230</v>
      </c>
      <c r="C369" s="2" t="n">
        <v>6</v>
      </c>
      <c r="D369" s="2" t="n">
        <v>3</v>
      </c>
      <c r="E369" s="82" t="n">
        <v>44989</v>
      </c>
      <c r="F369" s="83" t="n">
        <v>0.960671296296296</v>
      </c>
      <c r="G369" s="82" t="n">
        <v>44991</v>
      </c>
      <c r="H369" s="83" t="n">
        <v>0.119560185185185</v>
      </c>
      <c r="I369" s="2" t="s">
        <v>507</v>
      </c>
      <c r="J369" s="2" t="s">
        <v>33</v>
      </c>
      <c r="K369" s="46" t="str">
        <f aca="false">INDEX(Products!$B$2:$B$71,MATCH($C369,Products!$A$2:$A$71,0))</f>
        <v>Quos Box</v>
      </c>
      <c r="L369" s="46" t="str">
        <f aca="false">INDEX(Products!$C$2:$C$71,MATCH($C369,Products!$A$2:$A$71,0))</f>
        <v>Cake</v>
      </c>
      <c r="M369" s="84" t="n">
        <f aca="false">INDEX(Products!$D$2:$D$71,MATCH($C369,Products!$A$2:$A$71,0))</f>
        <v>1112</v>
      </c>
      <c r="N369" s="84" t="n">
        <f aca="false">$D369*$M369</f>
        <v>3336</v>
      </c>
      <c r="O369" s="46" t="str">
        <f aca="false">INDEX(Customers!$C$2:$C$101,MATCH($B369,Customers!$A$2:$A$101,0))</f>
        <v>Ajmer</v>
      </c>
      <c r="P369" s="46" t="str">
        <f aca="false">INDEX(Customers!$F$2:$F$101,MATCH($B369,Customers!$A$2:$A$101,0))</f>
        <v>Male</v>
      </c>
      <c r="Q369" s="46" t="str">
        <f aca="false">INDEX(Customers!$B$2:$B$101,MATCH($B369,Customers!$A$2:$A$101,0))</f>
        <v>Eshani Sharma</v>
      </c>
      <c r="R369" s="46" t="n">
        <f aca="false">MONTH($E369)</f>
        <v>3</v>
      </c>
      <c r="S369" s="46" t="str">
        <f aca="false">INDEX(Lists!$B$2:$B$13,$R369)</f>
        <v>March</v>
      </c>
      <c r="T369" s="46" t="n">
        <f aca="false">HOUR($F369)</f>
        <v>23</v>
      </c>
      <c r="U369" s="46" t="n">
        <f aca="false">WEEKDAY($E369,2)</f>
        <v>6</v>
      </c>
      <c r="V369" s="46" t="str">
        <f aca="false">INDEX(Lists!$F$2:$F$8,$U369)</f>
        <v>Saturday</v>
      </c>
      <c r="W369" s="85" t="n">
        <f aca="false">($G369+$H369)-($E369+$F369)</f>
        <v>1.15888888888889</v>
      </c>
      <c r="X369" s="46" t="str">
        <f aca="false">LOOKUP($M369,Lists!$G$2:$G$5,Lists!$H$2:$H$5)</f>
        <v>₹1,000 - 1,499</v>
      </c>
      <c r="Y369" s="46" t="str">
        <f aca="false">LOOKUP($W369,Lists!$I$2:$I$7,Lists!$J$2:$J$7)</f>
        <v>0 - 2 days</v>
      </c>
    </row>
    <row r="370" customFormat="false" ht="15" hidden="false" customHeight="false" outlineLevel="0" collapsed="false">
      <c r="A370" s="7" t="n">
        <v>369</v>
      </c>
      <c r="B370" s="7" t="s">
        <v>161</v>
      </c>
      <c r="C370" s="7" t="n">
        <v>63</v>
      </c>
      <c r="D370" s="7" t="n">
        <v>3</v>
      </c>
      <c r="E370" s="77" t="n">
        <v>45145</v>
      </c>
      <c r="F370" s="78" t="n">
        <v>0.308148148148148</v>
      </c>
      <c r="G370" s="77" t="n">
        <v>45153</v>
      </c>
      <c r="H370" s="78" t="n">
        <v>0.186458333333333</v>
      </c>
      <c r="I370" s="7" t="s">
        <v>437</v>
      </c>
      <c r="J370" s="7" t="s">
        <v>165</v>
      </c>
      <c r="K370" s="79" t="str">
        <f aca="false">INDEX(Products!$B$2:$B$71,MATCH($C370,Products!$A$2:$A$71,0))</f>
        <v>Adipisci Set</v>
      </c>
      <c r="L370" s="79" t="str">
        <f aca="false">INDEX(Products!$C$2:$C$71,MATCH($C370,Products!$A$2:$A$71,0))</f>
        <v>Sweets</v>
      </c>
      <c r="M370" s="80" t="n">
        <f aca="false">INDEX(Products!$D$2:$D$71,MATCH($C370,Products!$A$2:$A$71,0))</f>
        <v>1348</v>
      </c>
      <c r="N370" s="80" t="n">
        <f aca="false">$D370*$M370</f>
        <v>4044</v>
      </c>
      <c r="O370" s="79" t="str">
        <f aca="false">INDEX(Customers!$C$2:$C$101,MATCH($B370,Customers!$A$2:$A$101,0))</f>
        <v>Panvel</v>
      </c>
      <c r="P370" s="79" t="str">
        <f aca="false">INDEX(Customers!$F$2:$F$101,MATCH($B370,Customers!$A$2:$A$101,0))</f>
        <v>Female</v>
      </c>
      <c r="Q370" s="79" t="str">
        <f aca="false">INDEX(Customers!$B$2:$B$101,MATCH($B370,Customers!$A$2:$A$101,0))</f>
        <v>Indrans Shukla</v>
      </c>
      <c r="R370" s="79" t="n">
        <f aca="false">MONTH($E370)</f>
        <v>8</v>
      </c>
      <c r="S370" s="79" t="str">
        <f aca="false">INDEX(Lists!$B$2:$B$13,$R370)</f>
        <v>August</v>
      </c>
      <c r="T370" s="79" t="n">
        <f aca="false">HOUR($F370)</f>
        <v>7</v>
      </c>
      <c r="U370" s="79" t="n">
        <f aca="false">WEEKDAY($E370,2)</f>
        <v>1</v>
      </c>
      <c r="V370" s="79" t="str">
        <f aca="false">INDEX(Lists!$F$2:$F$8,$U370)</f>
        <v>Monday</v>
      </c>
      <c r="W370" s="81" t="n">
        <f aca="false">($G370+$H370)-($E370+$F370)</f>
        <v>7.87831018518519</v>
      </c>
      <c r="X370" s="79" t="str">
        <f aca="false">LOOKUP($M370,Lists!$G$2:$G$5,Lists!$H$2:$H$5)</f>
        <v>₹1,000 - 1,499</v>
      </c>
      <c r="Y370" s="79" t="str">
        <f aca="false">LOOKUP($W370,Lists!$I$2:$I$7,Lists!$J$2:$J$7)</f>
        <v>6 - 8 days</v>
      </c>
    </row>
    <row r="371" customFormat="false" ht="15" hidden="false" customHeight="false" outlineLevel="0" collapsed="false">
      <c r="A371" s="2" t="n">
        <v>370</v>
      </c>
      <c r="B371" s="2" t="s">
        <v>319</v>
      </c>
      <c r="C371" s="2" t="n">
        <v>54</v>
      </c>
      <c r="D371" s="2" t="n">
        <v>2</v>
      </c>
      <c r="E371" s="82" t="n">
        <v>45116</v>
      </c>
      <c r="F371" s="83" t="n">
        <v>0.248368055555556</v>
      </c>
      <c r="G371" s="82" t="n">
        <v>45120</v>
      </c>
      <c r="H371" s="83" t="n">
        <v>0.792824074074074</v>
      </c>
      <c r="I371" s="2" t="s">
        <v>318</v>
      </c>
      <c r="J371" s="2" t="s">
        <v>168</v>
      </c>
      <c r="K371" s="46" t="str">
        <f aca="false">INDEX(Products!$B$2:$B$71,MATCH($C371,Products!$A$2:$A$71,0))</f>
        <v>Occaecati Gift</v>
      </c>
      <c r="L371" s="46" t="str">
        <f aca="false">INDEX(Products!$C$2:$C$71,MATCH($C371,Products!$A$2:$A$71,0))</f>
        <v>Cake</v>
      </c>
      <c r="M371" s="84" t="n">
        <f aca="false">INDEX(Products!$D$2:$D$71,MATCH($C371,Products!$A$2:$A$71,0))</f>
        <v>1236</v>
      </c>
      <c r="N371" s="84" t="n">
        <f aca="false">$D371*$M371</f>
        <v>2472</v>
      </c>
      <c r="O371" s="46" t="str">
        <f aca="false">INDEX(Customers!$C$2:$C$101,MATCH($B371,Customers!$A$2:$A$101,0))</f>
        <v>Parbhani</v>
      </c>
      <c r="P371" s="46" t="str">
        <f aca="false">INDEX(Customers!$F$2:$F$101,MATCH($B371,Customers!$A$2:$A$101,0))</f>
        <v>Male</v>
      </c>
      <c r="Q371" s="46" t="str">
        <f aca="false">INDEX(Customers!$B$2:$B$101,MATCH($B371,Customers!$A$2:$A$101,0))</f>
        <v>Zeeshan Tailor</v>
      </c>
      <c r="R371" s="46" t="n">
        <f aca="false">MONTH($E371)</f>
        <v>7</v>
      </c>
      <c r="S371" s="46" t="str">
        <f aca="false">INDEX(Lists!$B$2:$B$13,$R371)</f>
        <v>July</v>
      </c>
      <c r="T371" s="46" t="n">
        <f aca="false">HOUR($F371)</f>
        <v>5</v>
      </c>
      <c r="U371" s="46" t="n">
        <f aca="false">WEEKDAY($E371,2)</f>
        <v>7</v>
      </c>
      <c r="V371" s="46" t="str">
        <f aca="false">INDEX(Lists!$F$2:$F$8,$U371)</f>
        <v>Sunday</v>
      </c>
      <c r="W371" s="85" t="n">
        <f aca="false">($G371+$H371)-($E371+$F371)</f>
        <v>4.54445601851852</v>
      </c>
      <c r="X371" s="46" t="str">
        <f aca="false">LOOKUP($M371,Lists!$G$2:$G$5,Lists!$H$2:$H$5)</f>
        <v>₹1,000 - 1,499</v>
      </c>
      <c r="Y371" s="46" t="str">
        <f aca="false">LOOKUP($W371,Lists!$I$2:$I$7,Lists!$J$2:$J$7)</f>
        <v>4 - 6 days</v>
      </c>
    </row>
    <row r="372" customFormat="false" ht="15" hidden="false" customHeight="false" outlineLevel="0" collapsed="false">
      <c r="A372" s="7" t="n">
        <v>371</v>
      </c>
      <c r="B372" s="7" t="s">
        <v>366</v>
      </c>
      <c r="C372" s="7" t="n">
        <v>23</v>
      </c>
      <c r="D372" s="7" t="n">
        <v>4</v>
      </c>
      <c r="E372" s="77" t="n">
        <v>45061</v>
      </c>
      <c r="F372" s="78" t="n">
        <v>0.061087962962963</v>
      </c>
      <c r="G372" s="77" t="n">
        <v>45065</v>
      </c>
      <c r="H372" s="78" t="n">
        <v>0.436655092592593</v>
      </c>
      <c r="I372" s="7" t="s">
        <v>324</v>
      </c>
      <c r="J372" s="7" t="s">
        <v>168</v>
      </c>
      <c r="K372" s="79" t="str">
        <f aca="false">INDEX(Products!$B$2:$B$71,MATCH($C372,Products!$A$2:$A$71,0))</f>
        <v>Dignissimos Pack</v>
      </c>
      <c r="L372" s="79" t="str">
        <f aca="false">INDEX(Products!$C$2:$C$71,MATCH($C372,Products!$A$2:$A$71,0))</f>
        <v>Sweets</v>
      </c>
      <c r="M372" s="80" t="n">
        <f aca="false">INDEX(Products!$D$2:$D$71,MATCH($C372,Products!$A$2:$A$71,0))</f>
        <v>1098</v>
      </c>
      <c r="N372" s="80" t="n">
        <f aca="false">$D372*$M372</f>
        <v>4392</v>
      </c>
      <c r="O372" s="79" t="str">
        <f aca="false">INDEX(Customers!$C$2:$C$101,MATCH($B372,Customers!$A$2:$A$101,0))</f>
        <v>Anantapuram</v>
      </c>
      <c r="P372" s="79" t="str">
        <f aca="false">INDEX(Customers!$F$2:$F$101,MATCH($B372,Customers!$A$2:$A$101,0))</f>
        <v>Female</v>
      </c>
      <c r="Q372" s="79" t="str">
        <f aca="false">INDEX(Customers!$B$2:$B$101,MATCH($B372,Customers!$A$2:$A$101,0))</f>
        <v>Drishya De</v>
      </c>
      <c r="R372" s="79" t="n">
        <f aca="false">MONTH($E372)</f>
        <v>5</v>
      </c>
      <c r="S372" s="79" t="str">
        <f aca="false">INDEX(Lists!$B$2:$B$13,$R372)</f>
        <v>May</v>
      </c>
      <c r="T372" s="79" t="n">
        <f aca="false">HOUR($F372)</f>
        <v>1</v>
      </c>
      <c r="U372" s="79" t="n">
        <f aca="false">WEEKDAY($E372,2)</f>
        <v>1</v>
      </c>
      <c r="V372" s="79" t="str">
        <f aca="false">INDEX(Lists!$F$2:$F$8,$U372)</f>
        <v>Monday</v>
      </c>
      <c r="W372" s="81" t="n">
        <f aca="false">($G372+$H372)-($E372+$F372)</f>
        <v>4.37556712962963</v>
      </c>
      <c r="X372" s="79" t="str">
        <f aca="false">LOOKUP($M372,Lists!$G$2:$G$5,Lists!$H$2:$H$5)</f>
        <v>₹1,000 - 1,499</v>
      </c>
      <c r="Y372" s="79" t="str">
        <f aca="false">LOOKUP($W372,Lists!$I$2:$I$7,Lists!$J$2:$J$7)</f>
        <v>4 - 6 days</v>
      </c>
    </row>
    <row r="373" customFormat="false" ht="15" hidden="false" customHeight="false" outlineLevel="0" collapsed="false">
      <c r="A373" s="2" t="n">
        <v>372</v>
      </c>
      <c r="B373" s="2" t="s">
        <v>139</v>
      </c>
      <c r="C373" s="2" t="n">
        <v>25</v>
      </c>
      <c r="D373" s="2" t="n">
        <v>3</v>
      </c>
      <c r="E373" s="82" t="n">
        <v>45238</v>
      </c>
      <c r="F373" s="83" t="n">
        <v>0.794733796296296</v>
      </c>
      <c r="G373" s="82" t="n">
        <v>45248</v>
      </c>
      <c r="H373" s="83" t="n">
        <v>0.769976851851852</v>
      </c>
      <c r="I373" s="2" t="s">
        <v>447</v>
      </c>
      <c r="J373" s="2" t="s">
        <v>168</v>
      </c>
      <c r="K373" s="46" t="str">
        <f aca="false">INDEX(Products!$B$2:$B$71,MATCH($C373,Products!$A$2:$A$71,0))</f>
        <v>Qui Gift</v>
      </c>
      <c r="L373" s="46" t="str">
        <f aca="false">INDEX(Products!$C$2:$C$71,MATCH($C373,Products!$A$2:$A$71,0))</f>
        <v>Plants</v>
      </c>
      <c r="M373" s="84" t="n">
        <f aca="false">INDEX(Products!$D$2:$D$71,MATCH($C373,Products!$A$2:$A$71,0))</f>
        <v>1202</v>
      </c>
      <c r="N373" s="84" t="n">
        <f aca="false">$D373*$M373</f>
        <v>3606</v>
      </c>
      <c r="O373" s="46" t="str">
        <f aca="false">INDEX(Customers!$C$2:$C$101,MATCH($B373,Customers!$A$2:$A$101,0))</f>
        <v>Karimnagar</v>
      </c>
      <c r="P373" s="46" t="str">
        <f aca="false">INDEX(Customers!$F$2:$F$101,MATCH($B373,Customers!$A$2:$A$101,0))</f>
        <v>Female</v>
      </c>
      <c r="Q373" s="46" t="str">
        <f aca="false">INDEX(Customers!$B$2:$B$101,MATCH($B373,Customers!$A$2:$A$101,0))</f>
        <v>Rania Mann</v>
      </c>
      <c r="R373" s="46" t="n">
        <f aca="false">MONTH($E373)</f>
        <v>11</v>
      </c>
      <c r="S373" s="46" t="str">
        <f aca="false">INDEX(Lists!$B$2:$B$13,$R373)</f>
        <v>November</v>
      </c>
      <c r="T373" s="46" t="n">
        <f aca="false">HOUR($F373)</f>
        <v>19</v>
      </c>
      <c r="U373" s="46" t="n">
        <f aca="false">WEEKDAY($E373,2)</f>
        <v>3</v>
      </c>
      <c r="V373" s="46" t="str">
        <f aca="false">INDEX(Lists!$F$2:$F$8,$U373)</f>
        <v>Wednesday</v>
      </c>
      <c r="W373" s="85" t="n">
        <f aca="false">($G373+$H373)-($E373+$F373)</f>
        <v>9.97524305555556</v>
      </c>
      <c r="X373" s="46" t="str">
        <f aca="false">LOOKUP($M373,Lists!$G$2:$G$5,Lists!$H$2:$H$5)</f>
        <v>₹1,000 - 1,499</v>
      </c>
      <c r="Y373" s="46" t="str">
        <f aca="false">LOOKUP($W373,Lists!$I$2:$I$7,Lists!$J$2:$J$7)</f>
        <v>8 - 10 days</v>
      </c>
    </row>
    <row r="374" customFormat="false" ht="15" hidden="false" customHeight="false" outlineLevel="0" collapsed="false">
      <c r="A374" s="7" t="n">
        <v>373</v>
      </c>
      <c r="B374" s="7" t="s">
        <v>190</v>
      </c>
      <c r="C374" s="7" t="n">
        <v>65</v>
      </c>
      <c r="D374" s="7" t="n">
        <v>2</v>
      </c>
      <c r="E374" s="77" t="n">
        <v>45084</v>
      </c>
      <c r="F374" s="78" t="n">
        <v>0.867488425925926</v>
      </c>
      <c r="G374" s="77" t="n">
        <v>45087</v>
      </c>
      <c r="H374" s="78" t="n">
        <v>0.99837962962963</v>
      </c>
      <c r="I374" s="7" t="s">
        <v>513</v>
      </c>
      <c r="J374" s="7" t="s">
        <v>165</v>
      </c>
      <c r="K374" s="79" t="str">
        <f aca="false">INDEX(Products!$B$2:$B$71,MATCH($C374,Products!$A$2:$A$71,0))</f>
        <v>Error Gift</v>
      </c>
      <c r="L374" s="79" t="str">
        <f aca="false">INDEX(Products!$C$2:$C$71,MATCH($C374,Products!$A$2:$A$71,0))</f>
        <v>Raksha Bandhan</v>
      </c>
      <c r="M374" s="80" t="n">
        <f aca="false">INDEX(Products!$D$2:$D$71,MATCH($C374,Products!$A$2:$A$71,0))</f>
        <v>1895</v>
      </c>
      <c r="N374" s="80" t="n">
        <f aca="false">$D374*$M374</f>
        <v>3790</v>
      </c>
      <c r="O374" s="79" t="str">
        <f aca="false">INDEX(Customers!$C$2:$C$101,MATCH($B374,Customers!$A$2:$A$101,0))</f>
        <v>Farrukhabad</v>
      </c>
      <c r="P374" s="79" t="str">
        <f aca="false">INDEX(Customers!$F$2:$F$101,MATCH($B374,Customers!$A$2:$A$101,0))</f>
        <v>Female</v>
      </c>
      <c r="Q374" s="79" t="str">
        <f aca="false">INDEX(Customers!$B$2:$B$101,MATCH($B374,Customers!$A$2:$A$101,0))</f>
        <v>Ira Chahal</v>
      </c>
      <c r="R374" s="79" t="n">
        <f aca="false">MONTH($E374)</f>
        <v>6</v>
      </c>
      <c r="S374" s="79" t="str">
        <f aca="false">INDEX(Lists!$B$2:$B$13,$R374)</f>
        <v>June</v>
      </c>
      <c r="T374" s="79" t="n">
        <f aca="false">HOUR($F374)</f>
        <v>20</v>
      </c>
      <c r="U374" s="79" t="n">
        <f aca="false">WEEKDAY($E374,2)</f>
        <v>3</v>
      </c>
      <c r="V374" s="79" t="str">
        <f aca="false">INDEX(Lists!$F$2:$F$8,$U374)</f>
        <v>Wednesday</v>
      </c>
      <c r="W374" s="81" t="n">
        <f aca="false">($G374+$H374)-($E374+$F374)</f>
        <v>3.1308912037037</v>
      </c>
      <c r="X374" s="79" t="str">
        <f aca="false">LOOKUP($M374,Lists!$G$2:$G$5,Lists!$H$2:$H$5)</f>
        <v>₹1,500 - 2,000</v>
      </c>
      <c r="Y374" s="79" t="str">
        <f aca="false">LOOKUP($W374,Lists!$I$2:$I$7,Lists!$J$2:$J$7)</f>
        <v>2 - 4 days</v>
      </c>
    </row>
    <row r="375" customFormat="false" ht="15" hidden="false" customHeight="false" outlineLevel="0" collapsed="false">
      <c r="A375" s="2" t="n">
        <v>374</v>
      </c>
      <c r="B375" s="2" t="s">
        <v>357</v>
      </c>
      <c r="C375" s="2" t="n">
        <v>4</v>
      </c>
      <c r="D375" s="2" t="n">
        <v>1</v>
      </c>
      <c r="E375" s="82" t="n">
        <v>45237</v>
      </c>
      <c r="F375" s="83" t="n">
        <v>0.324675925925926</v>
      </c>
      <c r="G375" s="82" t="n">
        <v>45239</v>
      </c>
      <c r="H375" s="83" t="n">
        <v>0.939398148148148</v>
      </c>
      <c r="I375" s="2" t="s">
        <v>397</v>
      </c>
      <c r="J375" s="2" t="s">
        <v>32</v>
      </c>
      <c r="K375" s="46" t="str">
        <f aca="false">INDEX(Products!$B$2:$B$71,MATCH($C375,Products!$A$2:$A$71,0))</f>
        <v>Accusantium Set</v>
      </c>
      <c r="L375" s="46" t="str">
        <f aca="false">INDEX(Products!$C$2:$C$71,MATCH($C375,Products!$A$2:$A$71,0))</f>
        <v>Sweets</v>
      </c>
      <c r="M375" s="84" t="n">
        <f aca="false">INDEX(Products!$D$2:$D$71,MATCH($C375,Products!$A$2:$A$71,0))</f>
        <v>1199</v>
      </c>
      <c r="N375" s="84" t="n">
        <f aca="false">$D375*$M375</f>
        <v>1199</v>
      </c>
      <c r="O375" s="46" t="str">
        <f aca="false">INDEX(Customers!$C$2:$C$101,MATCH($B375,Customers!$A$2:$A$101,0))</f>
        <v>North Dumdum</v>
      </c>
      <c r="P375" s="46" t="str">
        <f aca="false">INDEX(Customers!$F$2:$F$101,MATCH($B375,Customers!$A$2:$A$101,0))</f>
        <v>Female</v>
      </c>
      <c r="Q375" s="46" t="str">
        <f aca="false">INDEX(Customers!$B$2:$B$101,MATCH($B375,Customers!$A$2:$A$101,0))</f>
        <v>Rania Bhatt</v>
      </c>
      <c r="R375" s="46" t="n">
        <f aca="false">MONTH($E375)</f>
        <v>11</v>
      </c>
      <c r="S375" s="46" t="str">
        <f aca="false">INDEX(Lists!$B$2:$B$13,$R375)</f>
        <v>November</v>
      </c>
      <c r="T375" s="46" t="n">
        <f aca="false">HOUR($F375)</f>
        <v>7</v>
      </c>
      <c r="U375" s="46" t="n">
        <f aca="false">WEEKDAY($E375,2)</f>
        <v>2</v>
      </c>
      <c r="V375" s="46" t="str">
        <f aca="false">INDEX(Lists!$F$2:$F$8,$U375)</f>
        <v>Tuesday</v>
      </c>
      <c r="W375" s="85" t="n">
        <f aca="false">($G375+$H375)-($E375+$F375)</f>
        <v>2.61472222222222</v>
      </c>
      <c r="X375" s="46" t="str">
        <f aca="false">LOOKUP($M375,Lists!$G$2:$G$5,Lists!$H$2:$H$5)</f>
        <v>₹1,000 - 1,499</v>
      </c>
      <c r="Y375" s="46" t="str">
        <f aca="false">LOOKUP($W375,Lists!$I$2:$I$7,Lists!$J$2:$J$7)</f>
        <v>2 - 4 days</v>
      </c>
    </row>
    <row r="376" customFormat="false" ht="15" hidden="false" customHeight="false" outlineLevel="0" collapsed="false">
      <c r="A376" s="7" t="n">
        <v>375</v>
      </c>
      <c r="B376" s="7" t="s">
        <v>369</v>
      </c>
      <c r="C376" s="7" t="n">
        <v>46</v>
      </c>
      <c r="D376" s="7" t="n">
        <v>1</v>
      </c>
      <c r="E376" s="77" t="n">
        <v>44968</v>
      </c>
      <c r="F376" s="78" t="n">
        <v>0.17806712962963</v>
      </c>
      <c r="G376" s="77" t="n">
        <v>44977</v>
      </c>
      <c r="H376" s="78" t="n">
        <v>0.817800925925926</v>
      </c>
      <c r="I376" s="7" t="s">
        <v>499</v>
      </c>
      <c r="J376" s="7" t="s">
        <v>168</v>
      </c>
      <c r="K376" s="79" t="str">
        <f aca="false">INDEX(Products!$B$2:$B$71,MATCH($C376,Products!$A$2:$A$71,0))</f>
        <v>Pariatur Set</v>
      </c>
      <c r="L376" s="79" t="str">
        <f aca="false">INDEX(Products!$C$2:$C$71,MATCH($C376,Products!$A$2:$A$71,0))</f>
        <v>Cake</v>
      </c>
      <c r="M376" s="80" t="n">
        <f aca="false">INDEX(Products!$D$2:$D$71,MATCH($C376,Products!$A$2:$A$71,0))</f>
        <v>758</v>
      </c>
      <c r="N376" s="80" t="n">
        <f aca="false">$D376*$M376</f>
        <v>758</v>
      </c>
      <c r="O376" s="79" t="str">
        <f aca="false">INDEX(Customers!$C$2:$C$101,MATCH($B376,Customers!$A$2:$A$101,0))</f>
        <v>New Delhi</v>
      </c>
      <c r="P376" s="79" t="str">
        <f aca="false">INDEX(Customers!$F$2:$F$101,MATCH($B376,Customers!$A$2:$A$101,0))</f>
        <v>Female</v>
      </c>
      <c r="Q376" s="79" t="str">
        <f aca="false">INDEX(Customers!$B$2:$B$101,MATCH($B376,Customers!$A$2:$A$101,0))</f>
        <v>Adira Rajan</v>
      </c>
      <c r="R376" s="79" t="n">
        <f aca="false">MONTH($E376)</f>
        <v>2</v>
      </c>
      <c r="S376" s="79" t="str">
        <f aca="false">INDEX(Lists!$B$2:$B$13,$R376)</f>
        <v>February</v>
      </c>
      <c r="T376" s="79" t="n">
        <f aca="false">HOUR($F376)</f>
        <v>4</v>
      </c>
      <c r="U376" s="79" t="n">
        <f aca="false">WEEKDAY($E376,2)</f>
        <v>6</v>
      </c>
      <c r="V376" s="79" t="str">
        <f aca="false">INDEX(Lists!$F$2:$F$8,$U376)</f>
        <v>Saturday</v>
      </c>
      <c r="W376" s="81" t="n">
        <f aca="false">($G376+$H376)-($E376+$F376)</f>
        <v>9.6397337962963</v>
      </c>
      <c r="X376" s="79" t="str">
        <f aca="false">LOOKUP($M376,Lists!$G$2:$G$5,Lists!$H$2:$H$5)</f>
        <v>₹500 - 999</v>
      </c>
      <c r="Y376" s="79" t="str">
        <f aca="false">LOOKUP($W376,Lists!$I$2:$I$7,Lists!$J$2:$J$7)</f>
        <v>8 - 10 days</v>
      </c>
    </row>
    <row r="377" customFormat="false" ht="15" hidden="false" customHeight="false" outlineLevel="0" collapsed="false">
      <c r="A377" s="2" t="n">
        <v>376</v>
      </c>
      <c r="B377" s="2" t="s">
        <v>385</v>
      </c>
      <c r="C377" s="2" t="n">
        <v>10</v>
      </c>
      <c r="D377" s="2" t="n">
        <v>2</v>
      </c>
      <c r="E377" s="82" t="n">
        <v>45060</v>
      </c>
      <c r="F377" s="83" t="n">
        <v>0.846203703703704</v>
      </c>
      <c r="G377" s="82" t="n">
        <v>45065</v>
      </c>
      <c r="H377" s="83" t="n">
        <v>0.991689814814815</v>
      </c>
      <c r="I377" s="2" t="s">
        <v>290</v>
      </c>
      <c r="J377" s="2" t="s">
        <v>31</v>
      </c>
      <c r="K377" s="46" t="str">
        <f aca="false">INDEX(Products!$B$2:$B$71,MATCH($C377,Products!$A$2:$A$71,0))</f>
        <v>Accusantium Gift</v>
      </c>
      <c r="L377" s="46" t="str">
        <f aca="false">INDEX(Products!$C$2:$C$71,MATCH($C377,Products!$A$2:$A$71,0))</f>
        <v>Cake</v>
      </c>
      <c r="M377" s="84" t="n">
        <f aca="false">INDEX(Products!$D$2:$D$71,MATCH($C377,Products!$A$2:$A$71,0))</f>
        <v>259</v>
      </c>
      <c r="N377" s="84" t="n">
        <f aca="false">$D377*$M377</f>
        <v>518</v>
      </c>
      <c r="O377" s="46" t="str">
        <f aca="false">INDEX(Customers!$C$2:$C$101,MATCH($B377,Customers!$A$2:$A$101,0))</f>
        <v>Sri Ganganagar</v>
      </c>
      <c r="P377" s="46" t="str">
        <f aca="false">INDEX(Customers!$F$2:$F$101,MATCH($B377,Customers!$A$2:$A$101,0))</f>
        <v>Female</v>
      </c>
      <c r="Q377" s="46" t="str">
        <f aca="false">INDEX(Customers!$B$2:$B$101,MATCH($B377,Customers!$A$2:$A$101,0))</f>
        <v>Nakul Randhawa</v>
      </c>
      <c r="R377" s="46" t="n">
        <f aca="false">MONTH($E377)</f>
        <v>5</v>
      </c>
      <c r="S377" s="46" t="str">
        <f aca="false">INDEX(Lists!$B$2:$B$13,$R377)</f>
        <v>May</v>
      </c>
      <c r="T377" s="46" t="n">
        <f aca="false">HOUR($F377)</f>
        <v>20</v>
      </c>
      <c r="U377" s="46" t="n">
        <f aca="false">WEEKDAY($E377,2)</f>
        <v>7</v>
      </c>
      <c r="V377" s="46" t="str">
        <f aca="false">INDEX(Lists!$F$2:$F$8,$U377)</f>
        <v>Sunday</v>
      </c>
      <c r="W377" s="85" t="n">
        <f aca="false">($G377+$H377)-($E377+$F377)</f>
        <v>5.14548611111111</v>
      </c>
      <c r="X377" s="46" t="str">
        <f aca="false">LOOKUP($M377,Lists!$G$2:$G$5,Lists!$H$2:$H$5)</f>
        <v>₹0 - 499</v>
      </c>
      <c r="Y377" s="46" t="str">
        <f aca="false">LOOKUP($W377,Lists!$I$2:$I$7,Lists!$J$2:$J$7)</f>
        <v>4 - 6 days</v>
      </c>
    </row>
    <row r="378" customFormat="false" ht="15" hidden="false" customHeight="false" outlineLevel="0" collapsed="false">
      <c r="A378" s="7" t="n">
        <v>377</v>
      </c>
      <c r="B378" s="7" t="s">
        <v>159</v>
      </c>
      <c r="C378" s="7" t="n">
        <v>55</v>
      </c>
      <c r="D378" s="7" t="n">
        <v>4</v>
      </c>
      <c r="E378" s="77" t="n">
        <v>45164</v>
      </c>
      <c r="F378" s="78" t="n">
        <v>0.357013888888889</v>
      </c>
      <c r="G378" s="77" t="n">
        <v>45169</v>
      </c>
      <c r="H378" s="78" t="n">
        <v>0.491076388888889</v>
      </c>
      <c r="I378" s="7" t="s">
        <v>387</v>
      </c>
      <c r="J378" s="7" t="s">
        <v>40</v>
      </c>
      <c r="K378" s="79" t="str">
        <f aca="false">INDEX(Products!$B$2:$B$71,MATCH($C378,Products!$A$2:$A$71,0))</f>
        <v>Dolores Gift</v>
      </c>
      <c r="L378" s="79" t="str">
        <f aca="false">INDEX(Products!$C$2:$C$71,MATCH($C378,Products!$A$2:$A$71,0))</f>
        <v>Soft Toys</v>
      </c>
      <c r="M378" s="80" t="n">
        <f aca="false">INDEX(Products!$D$2:$D$71,MATCH($C378,Products!$A$2:$A$71,0))</f>
        <v>1904</v>
      </c>
      <c r="N378" s="80" t="n">
        <f aca="false">$D378*$M378</f>
        <v>7616</v>
      </c>
      <c r="O378" s="79" t="str">
        <f aca="false">INDEX(Customers!$C$2:$C$101,MATCH($B378,Customers!$A$2:$A$101,0))</f>
        <v>Mangalore</v>
      </c>
      <c r="P378" s="79" t="str">
        <f aca="false">INDEX(Customers!$F$2:$F$101,MATCH($B378,Customers!$A$2:$A$101,0))</f>
        <v>Female</v>
      </c>
      <c r="Q378" s="79" t="str">
        <f aca="false">INDEX(Customers!$B$2:$B$101,MATCH($B378,Customers!$A$2:$A$101,0))</f>
        <v>Manikya Goswami</v>
      </c>
      <c r="R378" s="79" t="n">
        <f aca="false">MONTH($E378)</f>
        <v>8</v>
      </c>
      <c r="S378" s="79" t="str">
        <f aca="false">INDEX(Lists!$B$2:$B$13,$R378)</f>
        <v>August</v>
      </c>
      <c r="T378" s="79" t="n">
        <f aca="false">HOUR($F378)</f>
        <v>8</v>
      </c>
      <c r="U378" s="79" t="n">
        <f aca="false">WEEKDAY($E378,2)</f>
        <v>6</v>
      </c>
      <c r="V378" s="79" t="str">
        <f aca="false">INDEX(Lists!$F$2:$F$8,$U378)</f>
        <v>Saturday</v>
      </c>
      <c r="W378" s="81" t="n">
        <f aca="false">($G378+$H378)-($E378+$F378)</f>
        <v>5.1340625</v>
      </c>
      <c r="X378" s="79" t="str">
        <f aca="false">LOOKUP($M378,Lists!$G$2:$G$5,Lists!$H$2:$H$5)</f>
        <v>₹1,500 - 2,000</v>
      </c>
      <c r="Y378" s="79" t="str">
        <f aca="false">LOOKUP($W378,Lists!$I$2:$I$7,Lists!$J$2:$J$7)</f>
        <v>4 - 6 days</v>
      </c>
    </row>
    <row r="379" customFormat="false" ht="15" hidden="false" customHeight="false" outlineLevel="0" collapsed="false">
      <c r="A379" s="2" t="n">
        <v>378</v>
      </c>
      <c r="B379" s="2" t="s">
        <v>224</v>
      </c>
      <c r="C379" s="2" t="n">
        <v>6</v>
      </c>
      <c r="D379" s="2" t="n">
        <v>2</v>
      </c>
      <c r="E379" s="82" t="n">
        <v>44986</v>
      </c>
      <c r="F379" s="83" t="n">
        <v>0.479398148148148</v>
      </c>
      <c r="G379" s="82" t="n">
        <v>44993</v>
      </c>
      <c r="H379" s="83" t="n">
        <v>0.810324074074074</v>
      </c>
      <c r="I379" s="2" t="s">
        <v>410</v>
      </c>
      <c r="J379" s="2" t="s">
        <v>33</v>
      </c>
      <c r="K379" s="46" t="str">
        <f aca="false">INDEX(Products!$B$2:$B$71,MATCH($C379,Products!$A$2:$A$71,0))</f>
        <v>Quos Box</v>
      </c>
      <c r="L379" s="46" t="str">
        <f aca="false">INDEX(Products!$C$2:$C$71,MATCH($C379,Products!$A$2:$A$71,0))</f>
        <v>Cake</v>
      </c>
      <c r="M379" s="84" t="n">
        <f aca="false">INDEX(Products!$D$2:$D$71,MATCH($C379,Products!$A$2:$A$71,0))</f>
        <v>1112</v>
      </c>
      <c r="N379" s="84" t="n">
        <f aca="false">$D379*$M379</f>
        <v>2224</v>
      </c>
      <c r="O379" s="46" t="str">
        <f aca="false">INDEX(Customers!$C$2:$C$101,MATCH($B379,Customers!$A$2:$A$101,0))</f>
        <v>Pallavaram</v>
      </c>
      <c r="P379" s="46" t="str">
        <f aca="false">INDEX(Customers!$F$2:$F$101,MATCH($B379,Customers!$A$2:$A$101,0))</f>
        <v>Female</v>
      </c>
      <c r="Q379" s="46" t="str">
        <f aca="false">INDEX(Customers!$B$2:$B$101,MATCH($B379,Customers!$A$2:$A$101,0))</f>
        <v>Hazel Mangat</v>
      </c>
      <c r="R379" s="46" t="n">
        <f aca="false">MONTH($E379)</f>
        <v>3</v>
      </c>
      <c r="S379" s="46" t="str">
        <f aca="false">INDEX(Lists!$B$2:$B$13,$R379)</f>
        <v>March</v>
      </c>
      <c r="T379" s="46" t="n">
        <f aca="false">HOUR($F379)</f>
        <v>11</v>
      </c>
      <c r="U379" s="46" t="n">
        <f aca="false">WEEKDAY($E379,2)</f>
        <v>3</v>
      </c>
      <c r="V379" s="46" t="str">
        <f aca="false">INDEX(Lists!$F$2:$F$8,$U379)</f>
        <v>Wednesday</v>
      </c>
      <c r="W379" s="85" t="n">
        <f aca="false">($G379+$H379)-($E379+$F379)</f>
        <v>7.33092592592593</v>
      </c>
      <c r="X379" s="46" t="str">
        <f aca="false">LOOKUP($M379,Lists!$G$2:$G$5,Lists!$H$2:$H$5)</f>
        <v>₹1,000 - 1,499</v>
      </c>
      <c r="Y379" s="46" t="str">
        <f aca="false">LOOKUP($W379,Lists!$I$2:$I$7,Lists!$J$2:$J$7)</f>
        <v>6 - 8 days</v>
      </c>
    </row>
    <row r="380" customFormat="false" ht="15" hidden="false" customHeight="false" outlineLevel="0" collapsed="false">
      <c r="A380" s="7" t="n">
        <v>379</v>
      </c>
      <c r="B380" s="7" t="s">
        <v>334</v>
      </c>
      <c r="C380" s="7" t="n">
        <v>66</v>
      </c>
      <c r="D380" s="7" t="n">
        <v>1</v>
      </c>
      <c r="E380" s="77" t="n">
        <v>44988</v>
      </c>
      <c r="F380" s="78" t="n">
        <v>0.980335648148148</v>
      </c>
      <c r="G380" s="77" t="n">
        <v>44991</v>
      </c>
      <c r="H380" s="78" t="n">
        <v>0.447256944444445</v>
      </c>
      <c r="I380" s="7" t="s">
        <v>238</v>
      </c>
      <c r="J380" s="7" t="s">
        <v>33</v>
      </c>
      <c r="K380" s="79" t="str">
        <f aca="false">INDEX(Products!$B$2:$B$71,MATCH($C380,Products!$A$2:$A$71,0))</f>
        <v>Quas Box</v>
      </c>
      <c r="L380" s="79" t="str">
        <f aca="false">INDEX(Products!$C$2:$C$71,MATCH($C380,Products!$A$2:$A$71,0))</f>
        <v>Colors</v>
      </c>
      <c r="M380" s="80" t="n">
        <f aca="false">INDEX(Products!$D$2:$D$71,MATCH($C380,Products!$A$2:$A$71,0))</f>
        <v>610</v>
      </c>
      <c r="N380" s="80" t="n">
        <f aca="false">$D380*$M380</f>
        <v>610</v>
      </c>
      <c r="O380" s="79" t="str">
        <f aca="false">INDEX(Customers!$C$2:$C$101,MATCH($B380,Customers!$A$2:$A$101,0))</f>
        <v>Bhubaneswar</v>
      </c>
      <c r="P380" s="79" t="str">
        <f aca="false">INDEX(Customers!$F$2:$F$101,MATCH($B380,Customers!$A$2:$A$101,0))</f>
        <v>Female</v>
      </c>
      <c r="Q380" s="79" t="str">
        <f aca="false">INDEX(Customers!$B$2:$B$101,MATCH($B380,Customers!$A$2:$A$101,0))</f>
        <v>Jivika Rajan</v>
      </c>
      <c r="R380" s="79" t="n">
        <f aca="false">MONTH($E380)</f>
        <v>3</v>
      </c>
      <c r="S380" s="79" t="str">
        <f aca="false">INDEX(Lists!$B$2:$B$13,$R380)</f>
        <v>March</v>
      </c>
      <c r="T380" s="79" t="n">
        <f aca="false">HOUR($F380)</f>
        <v>23</v>
      </c>
      <c r="U380" s="79" t="n">
        <f aca="false">WEEKDAY($E380,2)</f>
        <v>5</v>
      </c>
      <c r="V380" s="79" t="str">
        <f aca="false">INDEX(Lists!$F$2:$F$8,$U380)</f>
        <v>Friday</v>
      </c>
      <c r="W380" s="81" t="n">
        <f aca="false">($G380+$H380)-($E380+$F380)</f>
        <v>2.4669212962963</v>
      </c>
      <c r="X380" s="79" t="str">
        <f aca="false">LOOKUP($M380,Lists!$G$2:$G$5,Lists!$H$2:$H$5)</f>
        <v>₹500 - 999</v>
      </c>
      <c r="Y380" s="79" t="str">
        <f aca="false">LOOKUP($W380,Lists!$I$2:$I$7,Lists!$J$2:$J$7)</f>
        <v>2 - 4 days</v>
      </c>
    </row>
    <row r="381" customFormat="false" ht="15" hidden="false" customHeight="false" outlineLevel="0" collapsed="false">
      <c r="A381" s="2" t="n">
        <v>380</v>
      </c>
      <c r="B381" s="2" t="s">
        <v>148</v>
      </c>
      <c r="C381" s="2" t="n">
        <v>60</v>
      </c>
      <c r="D381" s="2" t="n">
        <v>4</v>
      </c>
      <c r="E381" s="82" t="n">
        <v>45238</v>
      </c>
      <c r="F381" s="83" t="n">
        <v>0.564606481481482</v>
      </c>
      <c r="G381" s="82" t="n">
        <v>45245</v>
      </c>
      <c r="H381" s="83" t="n">
        <v>0.986539351851852</v>
      </c>
      <c r="I381" s="2" t="s">
        <v>271</v>
      </c>
      <c r="J381" s="2" t="s">
        <v>32</v>
      </c>
      <c r="K381" s="46" t="str">
        <f aca="false">INDEX(Products!$B$2:$B$71,MATCH($C381,Products!$A$2:$A$71,0))</f>
        <v>Ea Set</v>
      </c>
      <c r="L381" s="46" t="str">
        <f aca="false">INDEX(Products!$C$2:$C$71,MATCH($C381,Products!$A$2:$A$71,0))</f>
        <v>Sweets</v>
      </c>
      <c r="M381" s="84" t="n">
        <f aca="false">INDEX(Products!$D$2:$D$71,MATCH($C381,Products!$A$2:$A$71,0))</f>
        <v>827</v>
      </c>
      <c r="N381" s="84" t="n">
        <f aca="false">$D381*$M381</f>
        <v>3308</v>
      </c>
      <c r="O381" s="46" t="str">
        <f aca="false">INDEX(Customers!$C$2:$C$101,MATCH($B381,Customers!$A$2:$A$101,0))</f>
        <v>Madurai</v>
      </c>
      <c r="P381" s="46" t="str">
        <f aca="false">INDEX(Customers!$F$2:$F$101,MATCH($B381,Customers!$A$2:$A$101,0))</f>
        <v>Female</v>
      </c>
      <c r="Q381" s="46" t="str">
        <f aca="false">INDEX(Customers!$B$2:$B$101,MATCH($B381,Customers!$A$2:$A$101,0))</f>
        <v>Ritvik Borah</v>
      </c>
      <c r="R381" s="46" t="n">
        <f aca="false">MONTH($E381)</f>
        <v>11</v>
      </c>
      <c r="S381" s="46" t="str">
        <f aca="false">INDEX(Lists!$B$2:$B$13,$R381)</f>
        <v>November</v>
      </c>
      <c r="T381" s="46" t="n">
        <f aca="false">HOUR($F381)</f>
        <v>13</v>
      </c>
      <c r="U381" s="46" t="n">
        <f aca="false">WEEKDAY($E381,2)</f>
        <v>3</v>
      </c>
      <c r="V381" s="46" t="str">
        <f aca="false">INDEX(Lists!$F$2:$F$8,$U381)</f>
        <v>Wednesday</v>
      </c>
      <c r="W381" s="85" t="n">
        <f aca="false">($G381+$H381)-($E381+$F381)</f>
        <v>7.42193287037037</v>
      </c>
      <c r="X381" s="46" t="str">
        <f aca="false">LOOKUP($M381,Lists!$G$2:$G$5,Lists!$H$2:$H$5)</f>
        <v>₹500 - 999</v>
      </c>
      <c r="Y381" s="46" t="str">
        <f aca="false">LOOKUP($W381,Lists!$I$2:$I$7,Lists!$J$2:$J$7)</f>
        <v>6 - 8 days</v>
      </c>
    </row>
    <row r="382" customFormat="false" ht="15" hidden="false" customHeight="false" outlineLevel="0" collapsed="false">
      <c r="A382" s="7" t="n">
        <v>381</v>
      </c>
      <c r="B382" s="7" t="s">
        <v>159</v>
      </c>
      <c r="C382" s="7" t="n">
        <v>25</v>
      </c>
      <c r="D382" s="7" t="n">
        <v>3</v>
      </c>
      <c r="E382" s="77" t="n">
        <v>44951</v>
      </c>
      <c r="F382" s="78" t="n">
        <v>0.770868055555556</v>
      </c>
      <c r="G382" s="77" t="n">
        <v>44954</v>
      </c>
      <c r="H382" s="78" t="n">
        <v>0.264652777777778</v>
      </c>
      <c r="I382" s="7" t="s">
        <v>591</v>
      </c>
      <c r="J382" s="7" t="s">
        <v>168</v>
      </c>
      <c r="K382" s="79" t="str">
        <f aca="false">INDEX(Products!$B$2:$B$71,MATCH($C382,Products!$A$2:$A$71,0))</f>
        <v>Qui Gift</v>
      </c>
      <c r="L382" s="79" t="str">
        <f aca="false">INDEX(Products!$C$2:$C$71,MATCH($C382,Products!$A$2:$A$71,0))</f>
        <v>Plants</v>
      </c>
      <c r="M382" s="80" t="n">
        <f aca="false">INDEX(Products!$D$2:$D$71,MATCH($C382,Products!$A$2:$A$71,0))</f>
        <v>1202</v>
      </c>
      <c r="N382" s="80" t="n">
        <f aca="false">$D382*$M382</f>
        <v>3606</v>
      </c>
      <c r="O382" s="79" t="str">
        <f aca="false">INDEX(Customers!$C$2:$C$101,MATCH($B382,Customers!$A$2:$A$101,0))</f>
        <v>Mangalore</v>
      </c>
      <c r="P382" s="79" t="str">
        <f aca="false">INDEX(Customers!$F$2:$F$101,MATCH($B382,Customers!$A$2:$A$101,0))</f>
        <v>Female</v>
      </c>
      <c r="Q382" s="79" t="str">
        <f aca="false">INDEX(Customers!$B$2:$B$101,MATCH($B382,Customers!$A$2:$A$101,0))</f>
        <v>Manikya Goswami</v>
      </c>
      <c r="R382" s="79" t="n">
        <f aca="false">MONTH($E382)</f>
        <v>1</v>
      </c>
      <c r="S382" s="79" t="str">
        <f aca="false">INDEX(Lists!$B$2:$B$13,$R382)</f>
        <v>January</v>
      </c>
      <c r="T382" s="79" t="n">
        <f aca="false">HOUR($F382)</f>
        <v>18</v>
      </c>
      <c r="U382" s="79" t="n">
        <f aca="false">WEEKDAY($E382,2)</f>
        <v>3</v>
      </c>
      <c r="V382" s="79" t="str">
        <f aca="false">INDEX(Lists!$F$2:$F$8,$U382)</f>
        <v>Wednesday</v>
      </c>
      <c r="W382" s="81" t="n">
        <f aca="false">($G382+$H382)-($E382+$F382)</f>
        <v>2.49378472222222</v>
      </c>
      <c r="X382" s="79" t="str">
        <f aca="false">LOOKUP($M382,Lists!$G$2:$G$5,Lists!$H$2:$H$5)</f>
        <v>₹1,000 - 1,499</v>
      </c>
      <c r="Y382" s="79" t="str">
        <f aca="false">LOOKUP($W382,Lists!$I$2:$I$7,Lists!$J$2:$J$7)</f>
        <v>2 - 4 days</v>
      </c>
    </row>
    <row r="383" customFormat="false" ht="15" hidden="false" customHeight="false" outlineLevel="0" collapsed="false">
      <c r="A383" s="2" t="n">
        <v>382</v>
      </c>
      <c r="B383" s="2" t="s">
        <v>130</v>
      </c>
      <c r="C383" s="2" t="n">
        <v>24</v>
      </c>
      <c r="D383" s="2" t="n">
        <v>1</v>
      </c>
      <c r="E383" s="82" t="n">
        <v>45080</v>
      </c>
      <c r="F383" s="83" t="n">
        <v>0.418275462962963</v>
      </c>
      <c r="G383" s="82" t="n">
        <v>45090</v>
      </c>
      <c r="H383" s="83" t="n">
        <v>0.912361111111111</v>
      </c>
      <c r="I383" s="2" t="s">
        <v>447</v>
      </c>
      <c r="J383" s="2" t="s">
        <v>31</v>
      </c>
      <c r="K383" s="46" t="str">
        <f aca="false">INDEX(Products!$B$2:$B$71,MATCH($C383,Products!$A$2:$A$71,0))</f>
        <v>Ad Box</v>
      </c>
      <c r="L383" s="46" t="str">
        <f aca="false">INDEX(Products!$C$2:$C$71,MATCH($C383,Products!$A$2:$A$71,0))</f>
        <v>Mugs</v>
      </c>
      <c r="M383" s="84" t="n">
        <f aca="false">INDEX(Products!$D$2:$D$71,MATCH($C383,Products!$A$2:$A$71,0))</f>
        <v>535</v>
      </c>
      <c r="N383" s="84" t="n">
        <f aca="false">$D383*$M383</f>
        <v>535</v>
      </c>
      <c r="O383" s="46" t="str">
        <f aca="false">INDEX(Customers!$C$2:$C$101,MATCH($B383,Customers!$A$2:$A$101,0))</f>
        <v>Bilaspur</v>
      </c>
      <c r="P383" s="46" t="str">
        <f aca="false">INDEX(Customers!$F$2:$F$101,MATCH($B383,Customers!$A$2:$A$101,0))</f>
        <v>Male</v>
      </c>
      <c r="Q383" s="46" t="str">
        <f aca="false">INDEX(Customers!$B$2:$B$101,MATCH($B383,Customers!$A$2:$A$101,0))</f>
        <v>Jayesh Lanka</v>
      </c>
      <c r="R383" s="46" t="n">
        <f aca="false">MONTH($E383)</f>
        <v>6</v>
      </c>
      <c r="S383" s="46" t="str">
        <f aca="false">INDEX(Lists!$B$2:$B$13,$R383)</f>
        <v>June</v>
      </c>
      <c r="T383" s="46" t="n">
        <f aca="false">HOUR($F383)</f>
        <v>10</v>
      </c>
      <c r="U383" s="46" t="n">
        <f aca="false">WEEKDAY($E383,2)</f>
        <v>6</v>
      </c>
      <c r="V383" s="46" t="str">
        <f aca="false">INDEX(Lists!$F$2:$F$8,$U383)</f>
        <v>Saturday</v>
      </c>
      <c r="W383" s="85" t="n">
        <f aca="false">($G383+$H383)-($E383+$F383)</f>
        <v>10.4940856481481</v>
      </c>
      <c r="X383" s="46" t="str">
        <f aca="false">LOOKUP($M383,Lists!$G$2:$G$5,Lists!$H$2:$H$5)</f>
        <v>₹500 - 999</v>
      </c>
      <c r="Y383" s="46" t="str">
        <f aca="false">LOOKUP($W383,Lists!$I$2:$I$7,Lists!$J$2:$J$7)</f>
        <v>Over 10 days</v>
      </c>
    </row>
    <row r="384" customFormat="false" ht="15" hidden="false" customHeight="false" outlineLevel="0" collapsed="false">
      <c r="A384" s="7" t="n">
        <v>383</v>
      </c>
      <c r="B384" s="7" t="s">
        <v>167</v>
      </c>
      <c r="C384" s="7" t="n">
        <v>37</v>
      </c>
      <c r="D384" s="7" t="n">
        <v>1</v>
      </c>
      <c r="E384" s="77" t="n">
        <v>45236</v>
      </c>
      <c r="F384" s="78" t="n">
        <v>0.0116319444444444</v>
      </c>
      <c r="G384" s="77" t="n">
        <v>45238</v>
      </c>
      <c r="H384" s="78" t="n">
        <v>0.840185185185185</v>
      </c>
      <c r="I384" s="7" t="s">
        <v>519</v>
      </c>
      <c r="J384" s="7" t="s">
        <v>32</v>
      </c>
      <c r="K384" s="79" t="str">
        <f aca="false">INDEX(Products!$B$2:$B$71,MATCH($C384,Products!$A$2:$A$71,0))</f>
        <v>Officiis Pack</v>
      </c>
      <c r="L384" s="79" t="str">
        <f aca="false">INDEX(Products!$C$2:$C$71,MATCH($C384,Products!$A$2:$A$71,0))</f>
        <v>Colors</v>
      </c>
      <c r="M384" s="80" t="n">
        <f aca="false">INDEX(Products!$D$2:$D$71,MATCH($C384,Products!$A$2:$A$71,0))</f>
        <v>1428</v>
      </c>
      <c r="N384" s="80" t="n">
        <f aca="false">$D384*$M384</f>
        <v>1428</v>
      </c>
      <c r="O384" s="79" t="str">
        <f aca="false">INDEX(Customers!$C$2:$C$101,MATCH($B384,Customers!$A$2:$A$101,0))</f>
        <v>Tenali</v>
      </c>
      <c r="P384" s="79" t="str">
        <f aca="false">INDEX(Customers!$F$2:$F$101,MATCH($B384,Customers!$A$2:$A$101,0))</f>
        <v>Male</v>
      </c>
      <c r="Q384" s="79" t="str">
        <f aca="false">INDEX(Customers!$B$2:$B$101,MATCH($B384,Customers!$A$2:$A$101,0))</f>
        <v>Amani Ganesh</v>
      </c>
      <c r="R384" s="79" t="n">
        <f aca="false">MONTH($E384)</f>
        <v>11</v>
      </c>
      <c r="S384" s="79" t="str">
        <f aca="false">INDEX(Lists!$B$2:$B$13,$R384)</f>
        <v>November</v>
      </c>
      <c r="T384" s="79" t="n">
        <f aca="false">HOUR($F384)</f>
        <v>0</v>
      </c>
      <c r="U384" s="79" t="n">
        <f aca="false">WEEKDAY($E384,2)</f>
        <v>1</v>
      </c>
      <c r="V384" s="79" t="str">
        <f aca="false">INDEX(Lists!$F$2:$F$8,$U384)</f>
        <v>Monday</v>
      </c>
      <c r="W384" s="81" t="n">
        <f aca="false">($G384+$H384)-($E384+$F384)</f>
        <v>2.82855324074074</v>
      </c>
      <c r="X384" s="79" t="str">
        <f aca="false">LOOKUP($M384,Lists!$G$2:$G$5,Lists!$H$2:$H$5)</f>
        <v>₹1,000 - 1,499</v>
      </c>
      <c r="Y384" s="79" t="str">
        <f aca="false">LOOKUP($W384,Lists!$I$2:$I$7,Lists!$J$2:$J$7)</f>
        <v>2 - 4 days</v>
      </c>
    </row>
    <row r="385" customFormat="false" ht="15" hidden="false" customHeight="false" outlineLevel="0" collapsed="false">
      <c r="A385" s="2" t="n">
        <v>384</v>
      </c>
      <c r="B385" s="2" t="s">
        <v>133</v>
      </c>
      <c r="C385" s="2" t="n">
        <v>25</v>
      </c>
      <c r="D385" s="2" t="n">
        <v>3</v>
      </c>
      <c r="E385" s="82" t="n">
        <v>45057</v>
      </c>
      <c r="F385" s="83" t="n">
        <v>0.706909722222222</v>
      </c>
      <c r="G385" s="82" t="n">
        <v>45061</v>
      </c>
      <c r="H385" s="83" t="n">
        <v>0.581400462962963</v>
      </c>
      <c r="I385" s="2" t="s">
        <v>241</v>
      </c>
      <c r="J385" s="2" t="s">
        <v>168</v>
      </c>
      <c r="K385" s="46" t="str">
        <f aca="false">INDEX(Products!$B$2:$B$71,MATCH($C385,Products!$A$2:$A$71,0))</f>
        <v>Qui Gift</v>
      </c>
      <c r="L385" s="46" t="str">
        <f aca="false">INDEX(Products!$C$2:$C$71,MATCH($C385,Products!$A$2:$A$71,0))</f>
        <v>Plants</v>
      </c>
      <c r="M385" s="84" t="n">
        <f aca="false">INDEX(Products!$D$2:$D$71,MATCH($C385,Products!$A$2:$A$71,0))</f>
        <v>1202</v>
      </c>
      <c r="N385" s="84" t="n">
        <f aca="false">$D385*$M385</f>
        <v>3606</v>
      </c>
      <c r="O385" s="46" t="str">
        <f aca="false">INDEX(Customers!$C$2:$C$101,MATCH($B385,Customers!$A$2:$A$101,0))</f>
        <v>Miryalaguda</v>
      </c>
      <c r="P385" s="46" t="str">
        <f aca="false">INDEX(Customers!$F$2:$F$101,MATCH($B385,Customers!$A$2:$A$101,0))</f>
        <v>Male</v>
      </c>
      <c r="Q385" s="46" t="str">
        <f aca="false">INDEX(Customers!$B$2:$B$101,MATCH($B385,Customers!$A$2:$A$101,0))</f>
        <v>Tarini Bava</v>
      </c>
      <c r="R385" s="46" t="n">
        <f aca="false">MONTH($E385)</f>
        <v>5</v>
      </c>
      <c r="S385" s="46" t="str">
        <f aca="false">INDEX(Lists!$B$2:$B$13,$R385)</f>
        <v>May</v>
      </c>
      <c r="T385" s="46" t="n">
        <f aca="false">HOUR($F385)</f>
        <v>16</v>
      </c>
      <c r="U385" s="46" t="n">
        <f aca="false">WEEKDAY($E385,2)</f>
        <v>4</v>
      </c>
      <c r="V385" s="46" t="str">
        <f aca="false">INDEX(Lists!$F$2:$F$8,$U385)</f>
        <v>Thursday</v>
      </c>
      <c r="W385" s="85" t="n">
        <f aca="false">($G385+$H385)-($E385+$F385)</f>
        <v>3.87449074074074</v>
      </c>
      <c r="X385" s="46" t="str">
        <f aca="false">LOOKUP($M385,Lists!$G$2:$G$5,Lists!$H$2:$H$5)</f>
        <v>₹1,000 - 1,499</v>
      </c>
      <c r="Y385" s="46" t="str">
        <f aca="false">LOOKUP($W385,Lists!$I$2:$I$7,Lists!$J$2:$J$7)</f>
        <v>2 - 4 days</v>
      </c>
    </row>
    <row r="386" customFormat="false" ht="15" hidden="false" customHeight="false" outlineLevel="0" collapsed="false">
      <c r="A386" s="7" t="n">
        <v>385</v>
      </c>
      <c r="B386" s="7" t="s">
        <v>127</v>
      </c>
      <c r="C386" s="7" t="n">
        <v>50</v>
      </c>
      <c r="D386" s="7" t="n">
        <v>4</v>
      </c>
      <c r="E386" s="77" t="n">
        <v>44988</v>
      </c>
      <c r="F386" s="78" t="n">
        <v>0.0527893518518519</v>
      </c>
      <c r="G386" s="77" t="n">
        <v>44993</v>
      </c>
      <c r="H386" s="78" t="n">
        <v>0.448819444444444</v>
      </c>
      <c r="I386" s="7" t="s">
        <v>156</v>
      </c>
      <c r="J386" s="7" t="s">
        <v>33</v>
      </c>
      <c r="K386" s="79" t="str">
        <f aca="false">INDEX(Products!$B$2:$B$71,MATCH($C386,Products!$A$2:$A$71,0))</f>
        <v>Eligendi Set</v>
      </c>
      <c r="L386" s="79" t="str">
        <f aca="false">INDEX(Products!$C$2:$C$71,MATCH($C386,Products!$A$2:$A$71,0))</f>
        <v>Plants</v>
      </c>
      <c r="M386" s="80" t="n">
        <f aca="false">INDEX(Products!$D$2:$D$71,MATCH($C386,Products!$A$2:$A$71,0))</f>
        <v>422</v>
      </c>
      <c r="N386" s="80" t="n">
        <f aca="false">$D386*$M386</f>
        <v>1688</v>
      </c>
      <c r="O386" s="79" t="str">
        <f aca="false">INDEX(Customers!$C$2:$C$101,MATCH($B386,Customers!$A$2:$A$101,0))</f>
        <v>Bulandshahr</v>
      </c>
      <c r="P386" s="79" t="str">
        <f aca="false">INDEX(Customers!$F$2:$F$101,MATCH($B386,Customers!$A$2:$A$101,0))</f>
        <v>Female</v>
      </c>
      <c r="Q386" s="79" t="str">
        <f aca="false">INDEX(Customers!$B$2:$B$101,MATCH($B386,Customers!$A$2:$A$101,0))</f>
        <v>Myra Edwin</v>
      </c>
      <c r="R386" s="79" t="n">
        <f aca="false">MONTH($E386)</f>
        <v>3</v>
      </c>
      <c r="S386" s="79" t="str">
        <f aca="false">INDEX(Lists!$B$2:$B$13,$R386)</f>
        <v>March</v>
      </c>
      <c r="T386" s="79" t="n">
        <f aca="false">HOUR($F386)</f>
        <v>1</v>
      </c>
      <c r="U386" s="79" t="n">
        <f aca="false">WEEKDAY($E386,2)</f>
        <v>5</v>
      </c>
      <c r="V386" s="79" t="str">
        <f aca="false">INDEX(Lists!$F$2:$F$8,$U386)</f>
        <v>Friday</v>
      </c>
      <c r="W386" s="81" t="n">
        <f aca="false">($G386+$H386)-($E386+$F386)</f>
        <v>5.39603009259259</v>
      </c>
      <c r="X386" s="79" t="str">
        <f aca="false">LOOKUP($M386,Lists!$G$2:$G$5,Lists!$H$2:$H$5)</f>
        <v>₹0 - 499</v>
      </c>
      <c r="Y386" s="79" t="str">
        <f aca="false">LOOKUP($W386,Lists!$I$2:$I$7,Lists!$J$2:$J$7)</f>
        <v>4 - 6 days</v>
      </c>
    </row>
    <row r="387" customFormat="false" ht="15" hidden="false" customHeight="false" outlineLevel="0" collapsed="false">
      <c r="A387" s="2" t="n">
        <v>386</v>
      </c>
      <c r="B387" s="2" t="s">
        <v>369</v>
      </c>
      <c r="C387" s="2" t="n">
        <v>5</v>
      </c>
      <c r="D387" s="2" t="n">
        <v>4</v>
      </c>
      <c r="E387" s="82" t="n">
        <v>45081</v>
      </c>
      <c r="F387" s="83" t="n">
        <v>0.533159722222222</v>
      </c>
      <c r="G387" s="82" t="n">
        <v>45091</v>
      </c>
      <c r="H387" s="83" t="n">
        <v>0.899085648148148</v>
      </c>
      <c r="I387" s="2" t="s">
        <v>430</v>
      </c>
      <c r="J387" s="2" t="s">
        <v>165</v>
      </c>
      <c r="K387" s="46" t="str">
        <f aca="false">INDEX(Products!$B$2:$B$71,MATCH($C387,Products!$A$2:$A$71,0))</f>
        <v>Natus Gift</v>
      </c>
      <c r="L387" s="46" t="str">
        <f aca="false">INDEX(Products!$C$2:$C$71,MATCH($C387,Products!$A$2:$A$71,0))</f>
        <v>Colors</v>
      </c>
      <c r="M387" s="84" t="n">
        <f aca="false">INDEX(Products!$D$2:$D$71,MATCH($C387,Products!$A$2:$A$71,0))</f>
        <v>1444</v>
      </c>
      <c r="N387" s="84" t="n">
        <f aca="false">$D387*$M387</f>
        <v>5776</v>
      </c>
      <c r="O387" s="46" t="str">
        <f aca="false">INDEX(Customers!$C$2:$C$101,MATCH($B387,Customers!$A$2:$A$101,0))</f>
        <v>New Delhi</v>
      </c>
      <c r="P387" s="46" t="str">
        <f aca="false">INDEX(Customers!$F$2:$F$101,MATCH($B387,Customers!$A$2:$A$101,0))</f>
        <v>Female</v>
      </c>
      <c r="Q387" s="46" t="str">
        <f aca="false">INDEX(Customers!$B$2:$B$101,MATCH($B387,Customers!$A$2:$A$101,0))</f>
        <v>Adira Rajan</v>
      </c>
      <c r="R387" s="46" t="n">
        <f aca="false">MONTH($E387)</f>
        <v>6</v>
      </c>
      <c r="S387" s="46" t="str">
        <f aca="false">INDEX(Lists!$B$2:$B$13,$R387)</f>
        <v>June</v>
      </c>
      <c r="T387" s="46" t="n">
        <f aca="false">HOUR($F387)</f>
        <v>12</v>
      </c>
      <c r="U387" s="46" t="n">
        <f aca="false">WEEKDAY($E387,2)</f>
        <v>7</v>
      </c>
      <c r="V387" s="46" t="str">
        <f aca="false">INDEX(Lists!$F$2:$F$8,$U387)</f>
        <v>Sunday</v>
      </c>
      <c r="W387" s="85" t="n">
        <f aca="false">($G387+$H387)-($E387+$F387)</f>
        <v>10.3659259259259</v>
      </c>
      <c r="X387" s="46" t="str">
        <f aca="false">LOOKUP($M387,Lists!$G$2:$G$5,Lists!$H$2:$H$5)</f>
        <v>₹1,000 - 1,499</v>
      </c>
      <c r="Y387" s="46" t="str">
        <f aca="false">LOOKUP($W387,Lists!$I$2:$I$7,Lists!$J$2:$J$7)</f>
        <v>Over 10 days</v>
      </c>
    </row>
    <row r="388" customFormat="false" ht="15" hidden="false" customHeight="false" outlineLevel="0" collapsed="false">
      <c r="A388" s="7" t="n">
        <v>387</v>
      </c>
      <c r="B388" s="7" t="s">
        <v>285</v>
      </c>
      <c r="C388" s="7" t="n">
        <v>1</v>
      </c>
      <c r="D388" s="7" t="n">
        <v>2</v>
      </c>
      <c r="E388" s="77" t="n">
        <v>45046</v>
      </c>
      <c r="F388" s="78" t="n">
        <v>0.235011574074074</v>
      </c>
      <c r="G388" s="77" t="n">
        <v>45055</v>
      </c>
      <c r="H388" s="78" t="n">
        <v>0.0944212962962963</v>
      </c>
      <c r="I388" s="7" t="s">
        <v>132</v>
      </c>
      <c r="J388" s="7" t="s">
        <v>165</v>
      </c>
      <c r="K388" s="79" t="str">
        <f aca="false">INDEX(Products!$B$2:$B$71,MATCH($C388,Products!$A$2:$A$71,0))</f>
        <v>Magnam Set</v>
      </c>
      <c r="L388" s="79" t="str">
        <f aca="false">INDEX(Products!$C$2:$C$71,MATCH($C388,Products!$A$2:$A$71,0))</f>
        <v>Soft Toys</v>
      </c>
      <c r="M388" s="80" t="n">
        <f aca="false">INDEX(Products!$D$2:$D$71,MATCH($C388,Products!$A$2:$A$71,0))</f>
        <v>1935</v>
      </c>
      <c r="N388" s="80" t="n">
        <f aca="false">$D388*$M388</f>
        <v>3870</v>
      </c>
      <c r="O388" s="79" t="str">
        <f aca="false">INDEX(Customers!$C$2:$C$101,MATCH($B388,Customers!$A$2:$A$101,0))</f>
        <v>Kavali</v>
      </c>
      <c r="P388" s="79" t="str">
        <f aca="false">INDEX(Customers!$F$2:$F$101,MATCH($B388,Customers!$A$2:$A$101,0))</f>
        <v>Female</v>
      </c>
      <c r="Q388" s="79" t="str">
        <f aca="false">INDEX(Customers!$B$2:$B$101,MATCH($B388,Customers!$A$2:$A$101,0))</f>
        <v>Akarsh Ramesh</v>
      </c>
      <c r="R388" s="79" t="n">
        <f aca="false">MONTH($E388)</f>
        <v>4</v>
      </c>
      <c r="S388" s="79" t="str">
        <f aca="false">INDEX(Lists!$B$2:$B$13,$R388)</f>
        <v>April</v>
      </c>
      <c r="T388" s="79" t="n">
        <f aca="false">HOUR($F388)</f>
        <v>5</v>
      </c>
      <c r="U388" s="79" t="n">
        <f aca="false">WEEKDAY($E388,2)</f>
        <v>7</v>
      </c>
      <c r="V388" s="79" t="str">
        <f aca="false">INDEX(Lists!$F$2:$F$8,$U388)</f>
        <v>Sunday</v>
      </c>
      <c r="W388" s="81" t="n">
        <f aca="false">($G388+$H388)-($E388+$F388)</f>
        <v>8.85940972222222</v>
      </c>
      <c r="X388" s="79" t="str">
        <f aca="false">LOOKUP($M388,Lists!$G$2:$G$5,Lists!$H$2:$H$5)</f>
        <v>₹1,500 - 2,000</v>
      </c>
      <c r="Y388" s="79" t="str">
        <f aca="false">LOOKUP($W388,Lists!$I$2:$I$7,Lists!$J$2:$J$7)</f>
        <v>8 - 10 days</v>
      </c>
    </row>
    <row r="389" customFormat="false" ht="15" hidden="false" customHeight="false" outlineLevel="0" collapsed="false">
      <c r="A389" s="2" t="n">
        <v>388</v>
      </c>
      <c r="B389" s="2" t="s">
        <v>300</v>
      </c>
      <c r="C389" s="2" t="n">
        <v>36</v>
      </c>
      <c r="D389" s="2" t="n">
        <v>2</v>
      </c>
      <c r="E389" s="82" t="n">
        <v>45240</v>
      </c>
      <c r="F389" s="83" t="n">
        <v>0.0105324074074074</v>
      </c>
      <c r="G389" s="82" t="n">
        <v>45248</v>
      </c>
      <c r="H389" s="83" t="n">
        <v>0.442430555555556</v>
      </c>
      <c r="I389" s="2" t="s">
        <v>434</v>
      </c>
      <c r="J389" s="2" t="s">
        <v>31</v>
      </c>
      <c r="K389" s="46" t="str">
        <f aca="false">INDEX(Products!$B$2:$B$71,MATCH($C389,Products!$A$2:$A$71,0))</f>
        <v>Cum Gift</v>
      </c>
      <c r="L389" s="46" t="str">
        <f aca="false">INDEX(Products!$C$2:$C$71,MATCH($C389,Products!$A$2:$A$71,0))</f>
        <v>Plants</v>
      </c>
      <c r="M389" s="84" t="n">
        <f aca="false">INDEX(Products!$D$2:$D$71,MATCH($C389,Products!$A$2:$A$71,0))</f>
        <v>203</v>
      </c>
      <c r="N389" s="84" t="n">
        <f aca="false">$D389*$M389</f>
        <v>406</v>
      </c>
      <c r="O389" s="46" t="str">
        <f aca="false">INDEX(Customers!$C$2:$C$101,MATCH($B389,Customers!$A$2:$A$101,0))</f>
        <v>Malegaon</v>
      </c>
      <c r="P389" s="46" t="str">
        <f aca="false">INDEX(Customers!$F$2:$F$101,MATCH($B389,Customers!$A$2:$A$101,0))</f>
        <v>Female</v>
      </c>
      <c r="Q389" s="46" t="str">
        <f aca="false">INDEX(Customers!$B$2:$B$101,MATCH($B389,Customers!$A$2:$A$101,0))</f>
        <v>Eshani Buch</v>
      </c>
      <c r="R389" s="46" t="n">
        <f aca="false">MONTH($E389)</f>
        <v>11</v>
      </c>
      <c r="S389" s="46" t="str">
        <f aca="false">INDEX(Lists!$B$2:$B$13,$R389)</f>
        <v>November</v>
      </c>
      <c r="T389" s="46" t="n">
        <f aca="false">HOUR($F389)</f>
        <v>0</v>
      </c>
      <c r="U389" s="46" t="n">
        <f aca="false">WEEKDAY($E389,2)</f>
        <v>5</v>
      </c>
      <c r="V389" s="46" t="str">
        <f aca="false">INDEX(Lists!$F$2:$F$8,$U389)</f>
        <v>Friday</v>
      </c>
      <c r="W389" s="85" t="n">
        <f aca="false">($G389+$H389)-($E389+$F389)</f>
        <v>8.43189814814815</v>
      </c>
      <c r="X389" s="46" t="str">
        <f aca="false">LOOKUP($M389,Lists!$G$2:$G$5,Lists!$H$2:$H$5)</f>
        <v>₹0 - 499</v>
      </c>
      <c r="Y389" s="46" t="str">
        <f aca="false">LOOKUP($W389,Lists!$I$2:$I$7,Lists!$J$2:$J$7)</f>
        <v>8 - 10 days</v>
      </c>
    </row>
    <row r="390" customFormat="false" ht="15" hidden="false" customHeight="false" outlineLevel="0" collapsed="false">
      <c r="A390" s="7" t="n">
        <v>389</v>
      </c>
      <c r="B390" s="7" t="s">
        <v>285</v>
      </c>
      <c r="C390" s="7" t="n">
        <v>29</v>
      </c>
      <c r="D390" s="7" t="n">
        <v>2</v>
      </c>
      <c r="E390" s="77" t="n">
        <v>44991</v>
      </c>
      <c r="F390" s="78" t="n">
        <v>0.143263888888889</v>
      </c>
      <c r="G390" s="77" t="n">
        <v>45001</v>
      </c>
      <c r="H390" s="78" t="n">
        <v>0.759490740740741</v>
      </c>
      <c r="I390" s="7" t="s">
        <v>478</v>
      </c>
      <c r="J390" s="7" t="s">
        <v>33</v>
      </c>
      <c r="K390" s="79" t="str">
        <f aca="false">INDEX(Products!$B$2:$B$71,MATCH($C390,Products!$A$2:$A$71,0))</f>
        <v>In Set</v>
      </c>
      <c r="L390" s="79" t="str">
        <f aca="false">INDEX(Products!$C$2:$C$71,MATCH($C390,Products!$A$2:$A$71,0))</f>
        <v>Colors</v>
      </c>
      <c r="M390" s="80" t="n">
        <f aca="false">INDEX(Products!$D$2:$D$71,MATCH($C390,Products!$A$2:$A$71,0))</f>
        <v>1252</v>
      </c>
      <c r="N390" s="80" t="n">
        <f aca="false">$D390*$M390</f>
        <v>2504</v>
      </c>
      <c r="O390" s="79" t="str">
        <f aca="false">INDEX(Customers!$C$2:$C$101,MATCH($B390,Customers!$A$2:$A$101,0))</f>
        <v>Kavali</v>
      </c>
      <c r="P390" s="79" t="str">
        <f aca="false">INDEX(Customers!$F$2:$F$101,MATCH($B390,Customers!$A$2:$A$101,0))</f>
        <v>Female</v>
      </c>
      <c r="Q390" s="79" t="str">
        <f aca="false">INDEX(Customers!$B$2:$B$101,MATCH($B390,Customers!$A$2:$A$101,0))</f>
        <v>Akarsh Ramesh</v>
      </c>
      <c r="R390" s="79" t="n">
        <f aca="false">MONTH($E390)</f>
        <v>3</v>
      </c>
      <c r="S390" s="79" t="str">
        <f aca="false">INDEX(Lists!$B$2:$B$13,$R390)</f>
        <v>March</v>
      </c>
      <c r="T390" s="79" t="n">
        <f aca="false">HOUR($F390)</f>
        <v>3</v>
      </c>
      <c r="U390" s="79" t="n">
        <f aca="false">WEEKDAY($E390,2)</f>
        <v>1</v>
      </c>
      <c r="V390" s="79" t="str">
        <f aca="false">INDEX(Lists!$F$2:$F$8,$U390)</f>
        <v>Monday</v>
      </c>
      <c r="W390" s="81" t="n">
        <f aca="false">($G390+$H390)-($E390+$F390)</f>
        <v>10.6162268518519</v>
      </c>
      <c r="X390" s="79" t="str">
        <f aca="false">LOOKUP($M390,Lists!$G$2:$G$5,Lists!$H$2:$H$5)</f>
        <v>₹1,000 - 1,499</v>
      </c>
      <c r="Y390" s="79" t="str">
        <f aca="false">LOOKUP($W390,Lists!$I$2:$I$7,Lists!$J$2:$J$7)</f>
        <v>Over 10 days</v>
      </c>
    </row>
    <row r="391" customFormat="false" ht="15" hidden="false" customHeight="false" outlineLevel="0" collapsed="false">
      <c r="A391" s="2" t="n">
        <v>390</v>
      </c>
      <c r="B391" s="2" t="s">
        <v>233</v>
      </c>
      <c r="C391" s="2" t="n">
        <v>26</v>
      </c>
      <c r="D391" s="2" t="n">
        <v>4</v>
      </c>
      <c r="E391" s="82" t="n">
        <v>44988</v>
      </c>
      <c r="F391" s="83" t="n">
        <v>0.653425925925926</v>
      </c>
      <c r="G391" s="82" t="n">
        <v>44995</v>
      </c>
      <c r="H391" s="83" t="n">
        <v>0.959803240740741</v>
      </c>
      <c r="I391" s="2" t="s">
        <v>144</v>
      </c>
      <c r="J391" s="2" t="s">
        <v>33</v>
      </c>
      <c r="K391" s="46" t="str">
        <f aca="false">INDEX(Products!$B$2:$B$71,MATCH($C391,Products!$A$2:$A$71,0))</f>
        <v>Aliquam Box</v>
      </c>
      <c r="L391" s="46" t="str">
        <f aca="false">INDEX(Products!$C$2:$C$71,MATCH($C391,Products!$A$2:$A$71,0))</f>
        <v>Colors</v>
      </c>
      <c r="M391" s="84" t="n">
        <f aca="false">INDEX(Products!$D$2:$D$71,MATCH($C391,Products!$A$2:$A$71,0))</f>
        <v>289</v>
      </c>
      <c r="N391" s="84" t="n">
        <f aca="false">$D391*$M391</f>
        <v>1156</v>
      </c>
      <c r="O391" s="46" t="str">
        <f aca="false">INDEX(Customers!$C$2:$C$101,MATCH($B391,Customers!$A$2:$A$101,0))</f>
        <v>Vellore</v>
      </c>
      <c r="P391" s="46" t="str">
        <f aca="false">INDEX(Customers!$F$2:$F$101,MATCH($B391,Customers!$A$2:$A$101,0))</f>
        <v>Female</v>
      </c>
      <c r="Q391" s="46" t="str">
        <f aca="false">INDEX(Customers!$B$2:$B$101,MATCH($B391,Customers!$A$2:$A$101,0))</f>
        <v>Yasmin Sheth</v>
      </c>
      <c r="R391" s="46" t="n">
        <f aca="false">MONTH($E391)</f>
        <v>3</v>
      </c>
      <c r="S391" s="46" t="str">
        <f aca="false">INDEX(Lists!$B$2:$B$13,$R391)</f>
        <v>March</v>
      </c>
      <c r="T391" s="46" t="n">
        <f aca="false">HOUR($F391)</f>
        <v>15</v>
      </c>
      <c r="U391" s="46" t="n">
        <f aca="false">WEEKDAY($E391,2)</f>
        <v>5</v>
      </c>
      <c r="V391" s="46" t="str">
        <f aca="false">INDEX(Lists!$F$2:$F$8,$U391)</f>
        <v>Friday</v>
      </c>
      <c r="W391" s="85" t="n">
        <f aca="false">($G391+$H391)-($E391+$F391)</f>
        <v>7.30637731481482</v>
      </c>
      <c r="X391" s="46" t="str">
        <f aca="false">LOOKUP($M391,Lists!$G$2:$G$5,Lists!$H$2:$H$5)</f>
        <v>₹0 - 499</v>
      </c>
      <c r="Y391" s="46" t="str">
        <f aca="false">LOOKUP($W391,Lists!$I$2:$I$7,Lists!$J$2:$J$7)</f>
        <v>6 - 8 days</v>
      </c>
    </row>
    <row r="392" customFormat="false" ht="15" hidden="false" customHeight="false" outlineLevel="0" collapsed="false">
      <c r="A392" s="7" t="n">
        <v>391</v>
      </c>
      <c r="B392" s="7" t="s">
        <v>347</v>
      </c>
      <c r="C392" s="7" t="n">
        <v>22</v>
      </c>
      <c r="D392" s="7" t="n">
        <v>4</v>
      </c>
      <c r="E392" s="77" t="n">
        <v>45289</v>
      </c>
      <c r="F392" s="78" t="n">
        <v>0.572291666666667</v>
      </c>
      <c r="G392" s="77" t="n">
        <v>45298</v>
      </c>
      <c r="H392" s="78" t="n">
        <v>0.540752314814815</v>
      </c>
      <c r="I392" s="7" t="s">
        <v>203</v>
      </c>
      <c r="J392" s="7" t="s">
        <v>165</v>
      </c>
      <c r="K392" s="79" t="str">
        <f aca="false">INDEX(Products!$B$2:$B$71,MATCH($C392,Products!$A$2:$A$71,0))</f>
        <v>Exercitationem Pack</v>
      </c>
      <c r="L392" s="79" t="str">
        <f aca="false">INDEX(Products!$C$2:$C$71,MATCH($C392,Products!$A$2:$A$71,0))</f>
        <v>Soft Toys</v>
      </c>
      <c r="M392" s="80" t="n">
        <f aca="false">INDEX(Products!$D$2:$D$71,MATCH($C392,Products!$A$2:$A$71,0))</f>
        <v>1639</v>
      </c>
      <c r="N392" s="80" t="n">
        <f aca="false">$D392*$M392</f>
        <v>6556</v>
      </c>
      <c r="O392" s="79" t="str">
        <f aca="false">INDEX(Customers!$C$2:$C$101,MATCH($B392,Customers!$A$2:$A$101,0))</f>
        <v>Raurkela Industrial Township</v>
      </c>
      <c r="P392" s="79" t="str">
        <f aca="false">INDEX(Customers!$F$2:$F$101,MATCH($B392,Customers!$A$2:$A$101,0))</f>
        <v>Male</v>
      </c>
      <c r="Q392" s="79" t="str">
        <f aca="false">INDEX(Customers!$B$2:$B$101,MATCH($B392,Customers!$A$2:$A$101,0))</f>
        <v>Aaryahi Sodhi</v>
      </c>
      <c r="R392" s="79" t="n">
        <f aca="false">MONTH($E392)</f>
        <v>12</v>
      </c>
      <c r="S392" s="79" t="str">
        <f aca="false">INDEX(Lists!$B$2:$B$13,$R392)</f>
        <v>December</v>
      </c>
      <c r="T392" s="79" t="n">
        <f aca="false">HOUR($F392)</f>
        <v>13</v>
      </c>
      <c r="U392" s="79" t="n">
        <f aca="false">WEEKDAY($E392,2)</f>
        <v>5</v>
      </c>
      <c r="V392" s="79" t="str">
        <f aca="false">INDEX(Lists!$F$2:$F$8,$U392)</f>
        <v>Friday</v>
      </c>
      <c r="W392" s="81" t="n">
        <f aca="false">($G392+$H392)-($E392+$F392)</f>
        <v>8.96846064814815</v>
      </c>
      <c r="X392" s="79" t="str">
        <f aca="false">LOOKUP($M392,Lists!$G$2:$G$5,Lists!$H$2:$H$5)</f>
        <v>₹1,500 - 2,000</v>
      </c>
      <c r="Y392" s="79" t="str">
        <f aca="false">LOOKUP($W392,Lists!$I$2:$I$7,Lists!$J$2:$J$7)</f>
        <v>8 - 10 days</v>
      </c>
    </row>
    <row r="393" customFormat="false" ht="15" hidden="false" customHeight="false" outlineLevel="0" collapsed="false">
      <c r="A393" s="2" t="n">
        <v>392</v>
      </c>
      <c r="B393" s="2" t="s">
        <v>353</v>
      </c>
      <c r="C393" s="2" t="n">
        <v>4</v>
      </c>
      <c r="D393" s="2" t="n">
        <v>2</v>
      </c>
      <c r="E393" s="82" t="n">
        <v>45235</v>
      </c>
      <c r="F393" s="83" t="n">
        <v>0.138136574074074</v>
      </c>
      <c r="G393" s="82" t="n">
        <v>45236</v>
      </c>
      <c r="H393" s="83" t="n">
        <v>0.786909722222222</v>
      </c>
      <c r="I393" s="2" t="s">
        <v>381</v>
      </c>
      <c r="J393" s="2" t="s">
        <v>32</v>
      </c>
      <c r="K393" s="46" t="str">
        <f aca="false">INDEX(Products!$B$2:$B$71,MATCH($C393,Products!$A$2:$A$71,0))</f>
        <v>Accusantium Set</v>
      </c>
      <c r="L393" s="46" t="str">
        <f aca="false">INDEX(Products!$C$2:$C$71,MATCH($C393,Products!$A$2:$A$71,0))</f>
        <v>Sweets</v>
      </c>
      <c r="M393" s="84" t="n">
        <f aca="false">INDEX(Products!$D$2:$D$71,MATCH($C393,Products!$A$2:$A$71,0))</f>
        <v>1199</v>
      </c>
      <c r="N393" s="84" t="n">
        <f aca="false">$D393*$M393</f>
        <v>2398</v>
      </c>
      <c r="O393" s="46" t="str">
        <f aca="false">INDEX(Customers!$C$2:$C$101,MATCH($B393,Customers!$A$2:$A$101,0))</f>
        <v>Raipur</v>
      </c>
      <c r="P393" s="46" t="str">
        <f aca="false">INDEX(Customers!$F$2:$F$101,MATCH($B393,Customers!$A$2:$A$101,0))</f>
        <v>Male</v>
      </c>
      <c r="Q393" s="46" t="str">
        <f aca="false">INDEX(Customers!$B$2:$B$101,MATCH($B393,Customers!$A$2:$A$101,0))</f>
        <v>Bhamini Johal</v>
      </c>
      <c r="R393" s="46" t="n">
        <f aca="false">MONTH($E393)</f>
        <v>11</v>
      </c>
      <c r="S393" s="46" t="str">
        <f aca="false">INDEX(Lists!$B$2:$B$13,$R393)</f>
        <v>November</v>
      </c>
      <c r="T393" s="46" t="n">
        <f aca="false">HOUR($F393)</f>
        <v>3</v>
      </c>
      <c r="U393" s="46" t="n">
        <f aca="false">WEEKDAY($E393,2)</f>
        <v>7</v>
      </c>
      <c r="V393" s="46" t="str">
        <f aca="false">INDEX(Lists!$F$2:$F$8,$U393)</f>
        <v>Sunday</v>
      </c>
      <c r="W393" s="85" t="n">
        <f aca="false">($G393+$H393)-($E393+$F393)</f>
        <v>1.64877314814815</v>
      </c>
      <c r="X393" s="46" t="str">
        <f aca="false">LOOKUP($M393,Lists!$G$2:$G$5,Lists!$H$2:$H$5)</f>
        <v>₹1,000 - 1,499</v>
      </c>
      <c r="Y393" s="46" t="str">
        <f aca="false">LOOKUP($W393,Lists!$I$2:$I$7,Lists!$J$2:$J$7)</f>
        <v>0 - 2 days</v>
      </c>
    </row>
    <row r="394" customFormat="false" ht="15" hidden="false" customHeight="false" outlineLevel="0" collapsed="false">
      <c r="A394" s="7" t="n">
        <v>393</v>
      </c>
      <c r="B394" s="7" t="s">
        <v>357</v>
      </c>
      <c r="C394" s="7" t="n">
        <v>17</v>
      </c>
      <c r="D394" s="7" t="n">
        <v>5</v>
      </c>
      <c r="E394" s="77" t="n">
        <v>45244</v>
      </c>
      <c r="F394" s="78" t="n">
        <v>0.459236111111111</v>
      </c>
      <c r="G394" s="77" t="n">
        <v>45252</v>
      </c>
      <c r="H394" s="78" t="n">
        <v>0.674143518518519</v>
      </c>
      <c r="I394" s="7" t="s">
        <v>572</v>
      </c>
      <c r="J394" s="7" t="s">
        <v>168</v>
      </c>
      <c r="K394" s="79" t="str">
        <f aca="false">INDEX(Products!$B$2:$B$71,MATCH($C394,Products!$A$2:$A$71,0))</f>
        <v>Delectus Gift</v>
      </c>
      <c r="L394" s="79" t="str">
        <f aca="false">INDEX(Products!$C$2:$C$71,MATCH($C394,Products!$A$2:$A$71,0))</f>
        <v>Soft Toys</v>
      </c>
      <c r="M394" s="80" t="n">
        <f aca="false">INDEX(Products!$D$2:$D$71,MATCH($C394,Products!$A$2:$A$71,0))</f>
        <v>1899</v>
      </c>
      <c r="N394" s="80" t="n">
        <f aca="false">$D394*$M394</f>
        <v>9495</v>
      </c>
      <c r="O394" s="79" t="str">
        <f aca="false">INDEX(Customers!$C$2:$C$101,MATCH($B394,Customers!$A$2:$A$101,0))</f>
        <v>North Dumdum</v>
      </c>
      <c r="P394" s="79" t="str">
        <f aca="false">INDEX(Customers!$F$2:$F$101,MATCH($B394,Customers!$A$2:$A$101,0))</f>
        <v>Female</v>
      </c>
      <c r="Q394" s="79" t="str">
        <f aca="false">INDEX(Customers!$B$2:$B$101,MATCH($B394,Customers!$A$2:$A$101,0))</f>
        <v>Rania Bhatt</v>
      </c>
      <c r="R394" s="79" t="n">
        <f aca="false">MONTH($E394)</f>
        <v>11</v>
      </c>
      <c r="S394" s="79" t="str">
        <f aca="false">INDEX(Lists!$B$2:$B$13,$R394)</f>
        <v>November</v>
      </c>
      <c r="T394" s="79" t="n">
        <f aca="false">HOUR($F394)</f>
        <v>11</v>
      </c>
      <c r="U394" s="79" t="n">
        <f aca="false">WEEKDAY($E394,2)</f>
        <v>2</v>
      </c>
      <c r="V394" s="79" t="str">
        <f aca="false">INDEX(Lists!$F$2:$F$8,$U394)</f>
        <v>Tuesday</v>
      </c>
      <c r="W394" s="81" t="n">
        <f aca="false">($G394+$H394)-($E394+$F394)</f>
        <v>8.21490740740741</v>
      </c>
      <c r="X394" s="79" t="str">
        <f aca="false">LOOKUP($M394,Lists!$G$2:$G$5,Lists!$H$2:$H$5)</f>
        <v>₹1,500 - 2,000</v>
      </c>
      <c r="Y394" s="79" t="str">
        <f aca="false">LOOKUP($W394,Lists!$I$2:$I$7,Lists!$J$2:$J$7)</f>
        <v>8 - 10 days</v>
      </c>
    </row>
    <row r="395" customFormat="false" ht="15" hidden="false" customHeight="false" outlineLevel="0" collapsed="false">
      <c r="A395" s="2" t="n">
        <v>394</v>
      </c>
      <c r="B395" s="2" t="s">
        <v>194</v>
      </c>
      <c r="C395" s="2" t="n">
        <v>38</v>
      </c>
      <c r="D395" s="2" t="n">
        <v>5</v>
      </c>
      <c r="E395" s="82" t="n">
        <v>45008</v>
      </c>
      <c r="F395" s="83" t="n">
        <v>0.185150462962963</v>
      </c>
      <c r="G395" s="82" t="n">
        <v>45016</v>
      </c>
      <c r="H395" s="83" t="n">
        <v>0.809699074074074</v>
      </c>
      <c r="I395" s="2" t="s">
        <v>337</v>
      </c>
      <c r="J395" s="2" t="s">
        <v>31</v>
      </c>
      <c r="K395" s="46" t="str">
        <f aca="false">INDEX(Products!$B$2:$B$71,MATCH($C395,Products!$A$2:$A$71,0))</f>
        <v>Mollitia Set</v>
      </c>
      <c r="L395" s="46" t="str">
        <f aca="false">INDEX(Products!$C$2:$C$71,MATCH($C395,Products!$A$2:$A$71,0))</f>
        <v>Cake</v>
      </c>
      <c r="M395" s="84" t="n">
        <f aca="false">INDEX(Products!$D$2:$D$71,MATCH($C395,Products!$A$2:$A$71,0))</f>
        <v>562</v>
      </c>
      <c r="N395" s="84" t="n">
        <f aca="false">$D395*$M395</f>
        <v>2810</v>
      </c>
      <c r="O395" s="46" t="str">
        <f aca="false">INDEX(Customers!$C$2:$C$101,MATCH($B395,Customers!$A$2:$A$101,0))</f>
        <v>Noida</v>
      </c>
      <c r="P395" s="46" t="str">
        <f aca="false">INDEX(Customers!$F$2:$F$101,MATCH($B395,Customers!$A$2:$A$101,0))</f>
        <v>Female</v>
      </c>
      <c r="Q395" s="46" t="str">
        <f aca="false">INDEX(Customers!$B$2:$B$101,MATCH($B395,Customers!$A$2:$A$101,0))</f>
        <v>Hridaan Rajagopalan</v>
      </c>
      <c r="R395" s="46" t="n">
        <f aca="false">MONTH($E395)</f>
        <v>3</v>
      </c>
      <c r="S395" s="46" t="str">
        <f aca="false">INDEX(Lists!$B$2:$B$13,$R395)</f>
        <v>March</v>
      </c>
      <c r="T395" s="46" t="n">
        <f aca="false">HOUR($F395)</f>
        <v>4</v>
      </c>
      <c r="U395" s="46" t="n">
        <f aca="false">WEEKDAY($E395,2)</f>
        <v>4</v>
      </c>
      <c r="V395" s="46" t="str">
        <f aca="false">INDEX(Lists!$F$2:$F$8,$U395)</f>
        <v>Thursday</v>
      </c>
      <c r="W395" s="85" t="n">
        <f aca="false">($G395+$H395)-($E395+$F395)</f>
        <v>8.62454861111111</v>
      </c>
      <c r="X395" s="46" t="str">
        <f aca="false">LOOKUP($M395,Lists!$G$2:$G$5,Lists!$H$2:$H$5)</f>
        <v>₹500 - 999</v>
      </c>
      <c r="Y395" s="46" t="str">
        <f aca="false">LOOKUP($W395,Lists!$I$2:$I$7,Lists!$J$2:$J$7)</f>
        <v>8 - 10 days</v>
      </c>
    </row>
    <row r="396" customFormat="false" ht="15" hidden="false" customHeight="false" outlineLevel="0" collapsed="false">
      <c r="A396" s="7" t="n">
        <v>395</v>
      </c>
      <c r="B396" s="7" t="s">
        <v>303</v>
      </c>
      <c r="C396" s="7" t="n">
        <v>26</v>
      </c>
      <c r="D396" s="7" t="n">
        <v>2</v>
      </c>
      <c r="E396" s="77" t="n">
        <v>44988</v>
      </c>
      <c r="F396" s="78" t="n">
        <v>0.968680555555556</v>
      </c>
      <c r="G396" s="77" t="n">
        <v>44991</v>
      </c>
      <c r="H396" s="78" t="n">
        <v>0.772650462962963</v>
      </c>
      <c r="I396" s="7" t="s">
        <v>414</v>
      </c>
      <c r="J396" s="7" t="s">
        <v>33</v>
      </c>
      <c r="K396" s="79" t="str">
        <f aca="false">INDEX(Products!$B$2:$B$71,MATCH($C396,Products!$A$2:$A$71,0))</f>
        <v>Aliquam Box</v>
      </c>
      <c r="L396" s="79" t="str">
        <f aca="false">INDEX(Products!$C$2:$C$71,MATCH($C396,Products!$A$2:$A$71,0))</f>
        <v>Colors</v>
      </c>
      <c r="M396" s="80" t="n">
        <f aca="false">INDEX(Products!$D$2:$D$71,MATCH($C396,Products!$A$2:$A$71,0))</f>
        <v>289</v>
      </c>
      <c r="N396" s="80" t="n">
        <f aca="false">$D396*$M396</f>
        <v>578</v>
      </c>
      <c r="O396" s="79" t="str">
        <f aca="false">INDEX(Customers!$C$2:$C$101,MATCH($B396,Customers!$A$2:$A$101,0))</f>
        <v>Anand</v>
      </c>
      <c r="P396" s="79" t="str">
        <f aca="false">INDEX(Customers!$F$2:$F$101,MATCH($B396,Customers!$A$2:$A$101,0))</f>
        <v>Male</v>
      </c>
      <c r="Q396" s="79" t="str">
        <f aca="false">INDEX(Customers!$B$2:$B$101,MATCH($B396,Customers!$A$2:$A$101,0))</f>
        <v>Eva Sankaran</v>
      </c>
      <c r="R396" s="79" t="n">
        <f aca="false">MONTH($E396)</f>
        <v>3</v>
      </c>
      <c r="S396" s="79" t="str">
        <f aca="false">INDEX(Lists!$B$2:$B$13,$R396)</f>
        <v>March</v>
      </c>
      <c r="T396" s="79" t="n">
        <f aca="false">HOUR($F396)</f>
        <v>23</v>
      </c>
      <c r="U396" s="79" t="n">
        <f aca="false">WEEKDAY($E396,2)</f>
        <v>5</v>
      </c>
      <c r="V396" s="79" t="str">
        <f aca="false">INDEX(Lists!$F$2:$F$8,$U396)</f>
        <v>Friday</v>
      </c>
      <c r="W396" s="81" t="n">
        <f aca="false">($G396+$H396)-($E396+$F396)</f>
        <v>2.80396990740741</v>
      </c>
      <c r="X396" s="79" t="str">
        <f aca="false">LOOKUP($M396,Lists!$G$2:$G$5,Lists!$H$2:$H$5)</f>
        <v>₹0 - 499</v>
      </c>
      <c r="Y396" s="79" t="str">
        <f aca="false">LOOKUP($W396,Lists!$I$2:$I$7,Lists!$J$2:$J$7)</f>
        <v>2 - 4 days</v>
      </c>
    </row>
    <row r="397" customFormat="false" ht="15" hidden="false" customHeight="false" outlineLevel="0" collapsed="false">
      <c r="A397" s="2" t="n">
        <v>396</v>
      </c>
      <c r="B397" s="2" t="s">
        <v>306</v>
      </c>
      <c r="C397" s="2" t="n">
        <v>10</v>
      </c>
      <c r="D397" s="2" t="n">
        <v>5</v>
      </c>
      <c r="E397" s="82" t="n">
        <v>45000</v>
      </c>
      <c r="F397" s="83" t="n">
        <v>0.64650462962963</v>
      </c>
      <c r="G397" s="82" t="n">
        <v>45001</v>
      </c>
      <c r="H397" s="83" t="n">
        <v>0.0729282407407407</v>
      </c>
      <c r="I397" s="2" t="s">
        <v>595</v>
      </c>
      <c r="J397" s="2" t="s">
        <v>31</v>
      </c>
      <c r="K397" s="46" t="str">
        <f aca="false">INDEX(Products!$B$2:$B$71,MATCH($C397,Products!$A$2:$A$71,0))</f>
        <v>Accusantium Gift</v>
      </c>
      <c r="L397" s="46" t="str">
        <f aca="false">INDEX(Products!$C$2:$C$71,MATCH($C397,Products!$A$2:$A$71,0))</f>
        <v>Cake</v>
      </c>
      <c r="M397" s="84" t="n">
        <f aca="false">INDEX(Products!$D$2:$D$71,MATCH($C397,Products!$A$2:$A$71,0))</f>
        <v>259</v>
      </c>
      <c r="N397" s="84" t="n">
        <f aca="false">$D397*$M397</f>
        <v>1295</v>
      </c>
      <c r="O397" s="46" t="str">
        <f aca="false">INDEX(Customers!$C$2:$C$101,MATCH($B397,Customers!$A$2:$A$101,0))</f>
        <v>Kalyan-Dombivli</v>
      </c>
      <c r="P397" s="46" t="str">
        <f aca="false">INDEX(Customers!$F$2:$F$101,MATCH($B397,Customers!$A$2:$A$101,0))</f>
        <v>Male</v>
      </c>
      <c r="Q397" s="46" t="str">
        <f aca="false">INDEX(Customers!$B$2:$B$101,MATCH($B397,Customers!$A$2:$A$101,0))</f>
        <v>Ritvik Garde</v>
      </c>
      <c r="R397" s="46" t="n">
        <f aca="false">MONTH($E397)</f>
        <v>3</v>
      </c>
      <c r="S397" s="46" t="str">
        <f aca="false">INDEX(Lists!$B$2:$B$13,$R397)</f>
        <v>March</v>
      </c>
      <c r="T397" s="46" t="n">
        <f aca="false">HOUR($F397)</f>
        <v>15</v>
      </c>
      <c r="U397" s="46" t="n">
        <f aca="false">WEEKDAY($E397,2)</f>
        <v>3</v>
      </c>
      <c r="V397" s="46" t="str">
        <f aca="false">INDEX(Lists!$F$2:$F$8,$U397)</f>
        <v>Wednesday</v>
      </c>
      <c r="W397" s="85" t="n">
        <f aca="false">($G397+$H397)-($E397+$F397)</f>
        <v>0.426423611111111</v>
      </c>
      <c r="X397" s="46" t="str">
        <f aca="false">LOOKUP($M397,Lists!$G$2:$G$5,Lists!$H$2:$H$5)</f>
        <v>₹0 - 499</v>
      </c>
      <c r="Y397" s="46" t="str">
        <f aca="false">LOOKUP($W397,Lists!$I$2:$I$7,Lists!$J$2:$J$7)</f>
        <v>0 - 2 days</v>
      </c>
    </row>
    <row r="398" customFormat="false" ht="15" hidden="false" customHeight="false" outlineLevel="0" collapsed="false">
      <c r="A398" s="7" t="n">
        <v>397</v>
      </c>
      <c r="B398" s="7" t="s">
        <v>206</v>
      </c>
      <c r="C398" s="7" t="n">
        <v>4</v>
      </c>
      <c r="D398" s="7" t="n">
        <v>5</v>
      </c>
      <c r="E398" s="77" t="n">
        <v>45239</v>
      </c>
      <c r="F398" s="78" t="n">
        <v>0.2834375</v>
      </c>
      <c r="G398" s="77" t="n">
        <v>45244</v>
      </c>
      <c r="H398" s="78" t="n">
        <v>0.564282407407407</v>
      </c>
      <c r="I398" s="7" t="s">
        <v>443</v>
      </c>
      <c r="J398" s="7" t="s">
        <v>32</v>
      </c>
      <c r="K398" s="79" t="str">
        <f aca="false">INDEX(Products!$B$2:$B$71,MATCH($C398,Products!$A$2:$A$71,0))</f>
        <v>Accusantium Set</v>
      </c>
      <c r="L398" s="79" t="str">
        <f aca="false">INDEX(Products!$C$2:$C$71,MATCH($C398,Products!$A$2:$A$71,0))</f>
        <v>Sweets</v>
      </c>
      <c r="M398" s="80" t="n">
        <f aca="false">INDEX(Products!$D$2:$D$71,MATCH($C398,Products!$A$2:$A$71,0))</f>
        <v>1199</v>
      </c>
      <c r="N398" s="80" t="n">
        <f aca="false">$D398*$M398</f>
        <v>5995</v>
      </c>
      <c r="O398" s="79" t="str">
        <f aca="false">INDEX(Customers!$C$2:$C$101,MATCH($B398,Customers!$A$2:$A$101,0))</f>
        <v>Bhatpara</v>
      </c>
      <c r="P398" s="79" t="str">
        <f aca="false">INDEX(Customers!$F$2:$F$101,MATCH($B398,Customers!$A$2:$A$101,0))</f>
        <v>Male</v>
      </c>
      <c r="Q398" s="79" t="str">
        <f aca="false">INDEX(Customers!$B$2:$B$101,MATCH($B398,Customers!$A$2:$A$101,0))</f>
        <v>Hridaan Sood</v>
      </c>
      <c r="R398" s="79" t="n">
        <f aca="false">MONTH($E398)</f>
        <v>11</v>
      </c>
      <c r="S398" s="79" t="str">
        <f aca="false">INDEX(Lists!$B$2:$B$13,$R398)</f>
        <v>November</v>
      </c>
      <c r="T398" s="79" t="n">
        <f aca="false">HOUR($F398)</f>
        <v>6</v>
      </c>
      <c r="U398" s="79" t="n">
        <f aca="false">WEEKDAY($E398,2)</f>
        <v>4</v>
      </c>
      <c r="V398" s="79" t="str">
        <f aca="false">INDEX(Lists!$F$2:$F$8,$U398)</f>
        <v>Thursday</v>
      </c>
      <c r="W398" s="81" t="n">
        <f aca="false">($G398+$H398)-($E398+$F398)</f>
        <v>5.28084490740741</v>
      </c>
      <c r="X398" s="79" t="str">
        <f aca="false">LOOKUP($M398,Lists!$G$2:$G$5,Lists!$H$2:$H$5)</f>
        <v>₹1,000 - 1,499</v>
      </c>
      <c r="Y398" s="79" t="str">
        <f aca="false">LOOKUP($W398,Lists!$I$2:$I$7,Lists!$J$2:$J$7)</f>
        <v>4 - 6 days</v>
      </c>
    </row>
    <row r="399" customFormat="false" ht="15" hidden="false" customHeight="false" outlineLevel="0" collapsed="false">
      <c r="A399" s="2" t="n">
        <v>398</v>
      </c>
      <c r="B399" s="2" t="s">
        <v>338</v>
      </c>
      <c r="C399" s="2" t="n">
        <v>54</v>
      </c>
      <c r="D399" s="2" t="n">
        <v>1</v>
      </c>
      <c r="E399" s="82" t="n">
        <v>45051</v>
      </c>
      <c r="F399" s="83" t="n">
        <v>0.364826388888889</v>
      </c>
      <c r="G399" s="82" t="n">
        <v>45061</v>
      </c>
      <c r="H399" s="83" t="n">
        <v>0.417858796296296</v>
      </c>
      <c r="I399" s="2" t="s">
        <v>327</v>
      </c>
      <c r="J399" s="2" t="s">
        <v>168</v>
      </c>
      <c r="K399" s="46" t="str">
        <f aca="false">INDEX(Products!$B$2:$B$71,MATCH($C399,Products!$A$2:$A$71,0))</f>
        <v>Occaecati Gift</v>
      </c>
      <c r="L399" s="46" t="str">
        <f aca="false">INDEX(Products!$C$2:$C$71,MATCH($C399,Products!$A$2:$A$71,0))</f>
        <v>Cake</v>
      </c>
      <c r="M399" s="84" t="n">
        <f aca="false">INDEX(Products!$D$2:$D$71,MATCH($C399,Products!$A$2:$A$71,0))</f>
        <v>1236</v>
      </c>
      <c r="N399" s="84" t="n">
        <f aca="false">$D399*$M399</f>
        <v>1236</v>
      </c>
      <c r="O399" s="46" t="str">
        <f aca="false">INDEX(Customers!$C$2:$C$101,MATCH($B399,Customers!$A$2:$A$101,0))</f>
        <v>Bhopal</v>
      </c>
      <c r="P399" s="46" t="str">
        <f aca="false">INDEX(Customers!$F$2:$F$101,MATCH($B399,Customers!$A$2:$A$101,0))</f>
        <v>Male</v>
      </c>
      <c r="Q399" s="46" t="str">
        <f aca="false">INDEX(Customers!$B$2:$B$101,MATCH($B399,Customers!$A$2:$A$101,0))</f>
        <v>Mohanlal Garde</v>
      </c>
      <c r="R399" s="46" t="n">
        <f aca="false">MONTH($E399)</f>
        <v>5</v>
      </c>
      <c r="S399" s="46" t="str">
        <f aca="false">INDEX(Lists!$B$2:$B$13,$R399)</f>
        <v>May</v>
      </c>
      <c r="T399" s="46" t="n">
        <f aca="false">HOUR($F399)</f>
        <v>8</v>
      </c>
      <c r="U399" s="46" t="n">
        <f aca="false">WEEKDAY($E399,2)</f>
        <v>5</v>
      </c>
      <c r="V399" s="46" t="str">
        <f aca="false">INDEX(Lists!$F$2:$F$8,$U399)</f>
        <v>Friday</v>
      </c>
      <c r="W399" s="85" t="n">
        <f aca="false">($G399+$H399)-($E399+$F399)</f>
        <v>10.0530324074074</v>
      </c>
      <c r="X399" s="46" t="str">
        <f aca="false">LOOKUP($M399,Lists!$G$2:$G$5,Lists!$H$2:$H$5)</f>
        <v>₹1,000 - 1,499</v>
      </c>
      <c r="Y399" s="46" t="str">
        <f aca="false">LOOKUP($W399,Lists!$I$2:$I$7,Lists!$J$2:$J$7)</f>
        <v>Over 10 days</v>
      </c>
    </row>
    <row r="400" customFormat="false" ht="15" hidden="false" customHeight="false" outlineLevel="0" collapsed="false">
      <c r="A400" s="7" t="n">
        <v>399</v>
      </c>
      <c r="B400" s="7" t="s">
        <v>145</v>
      </c>
      <c r="C400" s="7" t="n">
        <v>68</v>
      </c>
      <c r="D400" s="7" t="n">
        <v>1</v>
      </c>
      <c r="E400" s="77" t="n">
        <v>44965</v>
      </c>
      <c r="F400" s="78" t="n">
        <v>0.265127314814815</v>
      </c>
      <c r="G400" s="77" t="n">
        <v>44972</v>
      </c>
      <c r="H400" s="78" t="n">
        <v>0.297384259259259</v>
      </c>
      <c r="I400" s="7" t="s">
        <v>203</v>
      </c>
      <c r="J400" s="7" t="s">
        <v>179</v>
      </c>
      <c r="K400" s="79" t="str">
        <f aca="false">INDEX(Products!$B$2:$B$71,MATCH($C400,Products!$A$2:$A$71,0))</f>
        <v>Quas Gift</v>
      </c>
      <c r="L400" s="79" t="str">
        <f aca="false">INDEX(Products!$C$2:$C$71,MATCH($C400,Products!$A$2:$A$71,0))</f>
        <v>Soft Toys</v>
      </c>
      <c r="M400" s="80" t="n">
        <f aca="false">INDEX(Products!$D$2:$D$71,MATCH($C400,Products!$A$2:$A$71,0))</f>
        <v>597</v>
      </c>
      <c r="N400" s="80" t="n">
        <f aca="false">$D400*$M400</f>
        <v>597</v>
      </c>
      <c r="O400" s="79" t="str">
        <f aca="false">INDEX(Customers!$C$2:$C$101,MATCH($B400,Customers!$A$2:$A$101,0))</f>
        <v>Chinsurah</v>
      </c>
      <c r="P400" s="79" t="str">
        <f aca="false">INDEX(Customers!$F$2:$F$101,MATCH($B400,Customers!$A$2:$A$101,0))</f>
        <v>Female</v>
      </c>
      <c r="Q400" s="79" t="str">
        <f aca="false">INDEX(Customers!$B$2:$B$101,MATCH($B400,Customers!$A$2:$A$101,0))</f>
        <v>Veer Ray</v>
      </c>
      <c r="R400" s="79" t="n">
        <f aca="false">MONTH($E400)</f>
        <v>2</v>
      </c>
      <c r="S400" s="79" t="str">
        <f aca="false">INDEX(Lists!$B$2:$B$13,$R400)</f>
        <v>February</v>
      </c>
      <c r="T400" s="79" t="n">
        <f aca="false">HOUR($F400)</f>
        <v>6</v>
      </c>
      <c r="U400" s="79" t="n">
        <f aca="false">WEEKDAY($E400,2)</f>
        <v>3</v>
      </c>
      <c r="V400" s="79" t="str">
        <f aca="false">INDEX(Lists!$F$2:$F$8,$U400)</f>
        <v>Wednesday</v>
      </c>
      <c r="W400" s="81" t="n">
        <f aca="false">($G400+$H400)-($E400+$F400)</f>
        <v>7.03225694444445</v>
      </c>
      <c r="X400" s="79" t="str">
        <f aca="false">LOOKUP($M400,Lists!$G$2:$G$5,Lists!$H$2:$H$5)</f>
        <v>₹500 - 999</v>
      </c>
      <c r="Y400" s="79" t="str">
        <f aca="false">LOOKUP($W400,Lists!$I$2:$I$7,Lists!$J$2:$J$7)</f>
        <v>6 - 8 days</v>
      </c>
    </row>
    <row r="401" customFormat="false" ht="15" hidden="false" customHeight="false" outlineLevel="0" collapsed="false">
      <c r="A401" s="2" t="n">
        <v>400</v>
      </c>
      <c r="B401" s="2" t="s">
        <v>347</v>
      </c>
      <c r="C401" s="2" t="n">
        <v>45</v>
      </c>
      <c r="D401" s="2" t="n">
        <v>3</v>
      </c>
      <c r="E401" s="82" t="n">
        <v>45053</v>
      </c>
      <c r="F401" s="83" t="n">
        <v>0.58681712962963</v>
      </c>
      <c r="G401" s="82" t="n">
        <v>45061</v>
      </c>
      <c r="H401" s="83" t="n">
        <v>0.75755787037037</v>
      </c>
      <c r="I401" s="2" t="s">
        <v>469</v>
      </c>
      <c r="J401" s="2" t="s">
        <v>31</v>
      </c>
      <c r="K401" s="46" t="str">
        <f aca="false">INDEX(Products!$B$2:$B$71,MATCH($C401,Products!$A$2:$A$71,0))</f>
        <v>Iusto Set</v>
      </c>
      <c r="L401" s="46" t="str">
        <f aca="false">INDEX(Products!$C$2:$C$71,MATCH($C401,Products!$A$2:$A$71,0))</f>
        <v>Raksha Bandhan</v>
      </c>
      <c r="M401" s="84" t="n">
        <f aca="false">INDEX(Products!$D$2:$D$71,MATCH($C401,Products!$A$2:$A$71,0))</f>
        <v>722</v>
      </c>
      <c r="N401" s="84" t="n">
        <f aca="false">$D401*$M401</f>
        <v>2166</v>
      </c>
      <c r="O401" s="46" t="str">
        <f aca="false">INDEX(Customers!$C$2:$C$101,MATCH($B401,Customers!$A$2:$A$101,0))</f>
        <v>Raurkela Industrial Township</v>
      </c>
      <c r="P401" s="46" t="str">
        <f aca="false">INDEX(Customers!$F$2:$F$101,MATCH($B401,Customers!$A$2:$A$101,0))</f>
        <v>Male</v>
      </c>
      <c r="Q401" s="46" t="str">
        <f aca="false">INDEX(Customers!$B$2:$B$101,MATCH($B401,Customers!$A$2:$A$101,0))</f>
        <v>Aaryahi Sodhi</v>
      </c>
      <c r="R401" s="46" t="n">
        <f aca="false">MONTH($E401)</f>
        <v>5</v>
      </c>
      <c r="S401" s="46" t="str">
        <f aca="false">INDEX(Lists!$B$2:$B$13,$R401)</f>
        <v>May</v>
      </c>
      <c r="T401" s="46" t="n">
        <f aca="false">HOUR($F401)</f>
        <v>14</v>
      </c>
      <c r="U401" s="46" t="n">
        <f aca="false">WEEKDAY($E401,2)</f>
        <v>7</v>
      </c>
      <c r="V401" s="46" t="str">
        <f aca="false">INDEX(Lists!$F$2:$F$8,$U401)</f>
        <v>Sunday</v>
      </c>
      <c r="W401" s="85" t="n">
        <f aca="false">($G401+$H401)-($E401+$F401)</f>
        <v>8.17074074074074</v>
      </c>
      <c r="X401" s="46" t="str">
        <f aca="false">LOOKUP($M401,Lists!$G$2:$G$5,Lists!$H$2:$H$5)</f>
        <v>₹500 - 999</v>
      </c>
      <c r="Y401" s="46" t="str">
        <f aca="false">LOOKUP($W401,Lists!$I$2:$I$7,Lists!$J$2:$J$7)</f>
        <v>8 - 10 days</v>
      </c>
    </row>
    <row r="402" customFormat="false" ht="15" hidden="false" customHeight="false" outlineLevel="0" collapsed="false">
      <c r="A402" s="7" t="n">
        <v>401</v>
      </c>
      <c r="B402" s="7" t="s">
        <v>363</v>
      </c>
      <c r="C402" s="7" t="n">
        <v>9</v>
      </c>
      <c r="D402" s="7" t="n">
        <v>5</v>
      </c>
      <c r="E402" s="77" t="n">
        <v>45167</v>
      </c>
      <c r="F402" s="78" t="n">
        <v>0.828854166666667</v>
      </c>
      <c r="G402" s="77" t="n">
        <v>45173</v>
      </c>
      <c r="H402" s="78" t="n">
        <v>0.30494212962963</v>
      </c>
      <c r="I402" s="7" t="s">
        <v>232</v>
      </c>
      <c r="J402" s="7" t="s">
        <v>40</v>
      </c>
      <c r="K402" s="79" t="str">
        <f aca="false">INDEX(Products!$B$2:$B$71,MATCH($C402,Products!$A$2:$A$71,0))</f>
        <v>Aperiam Box</v>
      </c>
      <c r="L402" s="79" t="str">
        <f aca="false">INDEX(Products!$C$2:$C$71,MATCH($C402,Products!$A$2:$A$71,0))</f>
        <v>Colors</v>
      </c>
      <c r="M402" s="80" t="n">
        <f aca="false">INDEX(Products!$D$2:$D$71,MATCH($C402,Products!$A$2:$A$71,0))</f>
        <v>1605</v>
      </c>
      <c r="N402" s="80" t="n">
        <f aca="false">$D402*$M402</f>
        <v>8025</v>
      </c>
      <c r="O402" s="79" t="str">
        <f aca="false">INDEX(Customers!$C$2:$C$101,MATCH($B402,Customers!$A$2:$A$101,0))</f>
        <v>Nellore</v>
      </c>
      <c r="P402" s="79" t="str">
        <f aca="false">INDEX(Customers!$F$2:$F$101,MATCH($B402,Customers!$A$2:$A$101,0))</f>
        <v>Female</v>
      </c>
      <c r="Q402" s="79" t="str">
        <f aca="false">INDEX(Customers!$B$2:$B$101,MATCH($B402,Customers!$A$2:$A$101,0))</f>
        <v>Oorja Dey</v>
      </c>
      <c r="R402" s="79" t="n">
        <f aca="false">MONTH($E402)</f>
        <v>8</v>
      </c>
      <c r="S402" s="79" t="str">
        <f aca="false">INDEX(Lists!$B$2:$B$13,$R402)</f>
        <v>August</v>
      </c>
      <c r="T402" s="79" t="n">
        <f aca="false">HOUR($F402)</f>
        <v>19</v>
      </c>
      <c r="U402" s="79" t="n">
        <f aca="false">WEEKDAY($E402,2)</f>
        <v>2</v>
      </c>
      <c r="V402" s="79" t="str">
        <f aca="false">INDEX(Lists!$F$2:$F$8,$U402)</f>
        <v>Tuesday</v>
      </c>
      <c r="W402" s="81" t="n">
        <f aca="false">($G402+$H402)-($E402+$F402)</f>
        <v>5.47608796296296</v>
      </c>
      <c r="X402" s="79" t="str">
        <f aca="false">LOOKUP($M402,Lists!$G$2:$G$5,Lists!$H$2:$H$5)</f>
        <v>₹1,500 - 2,000</v>
      </c>
      <c r="Y402" s="79" t="str">
        <f aca="false">LOOKUP($W402,Lists!$I$2:$I$7,Lists!$J$2:$J$7)</f>
        <v>4 - 6 days</v>
      </c>
    </row>
    <row r="403" customFormat="false" ht="15" hidden="false" customHeight="false" outlineLevel="0" collapsed="false">
      <c r="A403" s="2" t="n">
        <v>402</v>
      </c>
      <c r="B403" s="2" t="s">
        <v>215</v>
      </c>
      <c r="C403" s="2" t="n">
        <v>29</v>
      </c>
      <c r="D403" s="2" t="n">
        <v>1</v>
      </c>
      <c r="E403" s="82" t="n">
        <v>44990</v>
      </c>
      <c r="F403" s="83" t="n">
        <v>0.696168981481481</v>
      </c>
      <c r="G403" s="82" t="n">
        <v>44993</v>
      </c>
      <c r="H403" s="83" t="n">
        <v>0.564467592592593</v>
      </c>
      <c r="I403" s="2" t="s">
        <v>589</v>
      </c>
      <c r="J403" s="2" t="s">
        <v>33</v>
      </c>
      <c r="K403" s="46" t="str">
        <f aca="false">INDEX(Products!$B$2:$B$71,MATCH($C403,Products!$A$2:$A$71,0))</f>
        <v>In Set</v>
      </c>
      <c r="L403" s="46" t="str">
        <f aca="false">INDEX(Products!$C$2:$C$71,MATCH($C403,Products!$A$2:$A$71,0))</f>
        <v>Colors</v>
      </c>
      <c r="M403" s="84" t="n">
        <f aca="false">INDEX(Products!$D$2:$D$71,MATCH($C403,Products!$A$2:$A$71,0))</f>
        <v>1252</v>
      </c>
      <c r="N403" s="84" t="n">
        <f aca="false">$D403*$M403</f>
        <v>1252</v>
      </c>
      <c r="O403" s="46" t="str">
        <f aca="false">INDEX(Customers!$C$2:$C$101,MATCH($B403,Customers!$A$2:$A$101,0))</f>
        <v>Davanagere</v>
      </c>
      <c r="P403" s="46" t="str">
        <f aca="false">INDEX(Customers!$F$2:$F$101,MATCH($B403,Customers!$A$2:$A$101,0))</f>
        <v>Male</v>
      </c>
      <c r="Q403" s="46" t="str">
        <f aca="false">INDEX(Customers!$B$2:$B$101,MATCH($B403,Customers!$A$2:$A$101,0))</f>
        <v>Aradhya Kumar</v>
      </c>
      <c r="R403" s="46" t="n">
        <f aca="false">MONTH($E403)</f>
        <v>3</v>
      </c>
      <c r="S403" s="46" t="str">
        <f aca="false">INDEX(Lists!$B$2:$B$13,$R403)</f>
        <v>March</v>
      </c>
      <c r="T403" s="46" t="n">
        <f aca="false">HOUR($F403)</f>
        <v>16</v>
      </c>
      <c r="U403" s="46" t="n">
        <f aca="false">WEEKDAY($E403,2)</f>
        <v>7</v>
      </c>
      <c r="V403" s="46" t="str">
        <f aca="false">INDEX(Lists!$F$2:$F$8,$U403)</f>
        <v>Sunday</v>
      </c>
      <c r="W403" s="85" t="n">
        <f aca="false">($G403+$H403)-($E403+$F403)</f>
        <v>2.86829861111111</v>
      </c>
      <c r="X403" s="46" t="str">
        <f aca="false">LOOKUP($M403,Lists!$G$2:$G$5,Lists!$H$2:$H$5)</f>
        <v>₹1,000 - 1,499</v>
      </c>
      <c r="Y403" s="46" t="str">
        <f aca="false">LOOKUP($W403,Lists!$I$2:$I$7,Lists!$J$2:$J$7)</f>
        <v>2 - 4 days</v>
      </c>
    </row>
    <row r="404" customFormat="false" ht="15" hidden="false" customHeight="false" outlineLevel="0" collapsed="false">
      <c r="A404" s="7" t="n">
        <v>403</v>
      </c>
      <c r="B404" s="7" t="s">
        <v>325</v>
      </c>
      <c r="C404" s="7" t="n">
        <v>57</v>
      </c>
      <c r="D404" s="7" t="n">
        <v>1</v>
      </c>
      <c r="E404" s="77" t="n">
        <v>44932</v>
      </c>
      <c r="F404" s="78" t="n">
        <v>0.489907407407407</v>
      </c>
      <c r="G404" s="77" t="n">
        <v>44942</v>
      </c>
      <c r="H404" s="78" t="n">
        <v>0.842662037037037</v>
      </c>
      <c r="I404" s="7" t="s">
        <v>305</v>
      </c>
      <c r="J404" s="7" t="s">
        <v>31</v>
      </c>
      <c r="K404" s="79" t="str">
        <f aca="false">INDEX(Products!$B$2:$B$71,MATCH($C404,Products!$A$2:$A$71,0))</f>
        <v>Voluptatem Box</v>
      </c>
      <c r="L404" s="79" t="str">
        <f aca="false">INDEX(Products!$C$2:$C$71,MATCH($C404,Products!$A$2:$A$71,0))</f>
        <v>Colors</v>
      </c>
      <c r="M404" s="80" t="n">
        <f aca="false">INDEX(Products!$D$2:$D$71,MATCH($C404,Products!$A$2:$A$71,0))</f>
        <v>1582</v>
      </c>
      <c r="N404" s="80" t="n">
        <f aca="false">$D404*$M404</f>
        <v>1582</v>
      </c>
      <c r="O404" s="79" t="str">
        <f aca="false">INDEX(Customers!$C$2:$C$101,MATCH($B404,Customers!$A$2:$A$101,0))</f>
        <v>Aligarh</v>
      </c>
      <c r="P404" s="79" t="str">
        <f aca="false">INDEX(Customers!$F$2:$F$101,MATCH($B404,Customers!$A$2:$A$101,0))</f>
        <v>Female</v>
      </c>
      <c r="Q404" s="79" t="str">
        <f aca="false">INDEX(Customers!$B$2:$B$101,MATCH($B404,Customers!$A$2:$A$101,0))</f>
        <v>Yashvi Bansal</v>
      </c>
      <c r="R404" s="79" t="n">
        <f aca="false">MONTH($E404)</f>
        <v>1</v>
      </c>
      <c r="S404" s="79" t="str">
        <f aca="false">INDEX(Lists!$B$2:$B$13,$R404)</f>
        <v>January</v>
      </c>
      <c r="T404" s="79" t="n">
        <f aca="false">HOUR($F404)</f>
        <v>11</v>
      </c>
      <c r="U404" s="79" t="n">
        <f aca="false">WEEKDAY($E404,2)</f>
        <v>5</v>
      </c>
      <c r="V404" s="79" t="str">
        <f aca="false">INDEX(Lists!$F$2:$F$8,$U404)</f>
        <v>Friday</v>
      </c>
      <c r="W404" s="81" t="n">
        <f aca="false">($G404+$H404)-($E404+$F404)</f>
        <v>10.3527546296296</v>
      </c>
      <c r="X404" s="79" t="str">
        <f aca="false">LOOKUP($M404,Lists!$G$2:$G$5,Lists!$H$2:$H$5)</f>
        <v>₹1,500 - 2,000</v>
      </c>
      <c r="Y404" s="79" t="str">
        <f aca="false">LOOKUP($W404,Lists!$I$2:$I$7,Lists!$J$2:$J$7)</f>
        <v>Over 10 days</v>
      </c>
    </row>
    <row r="405" customFormat="false" ht="15" hidden="false" customHeight="false" outlineLevel="0" collapsed="false">
      <c r="A405" s="2" t="n">
        <v>404</v>
      </c>
      <c r="B405" s="2" t="s">
        <v>269</v>
      </c>
      <c r="C405" s="2" t="n">
        <v>21</v>
      </c>
      <c r="D405" s="2" t="n">
        <v>5</v>
      </c>
      <c r="E405" s="82" t="n">
        <v>45160</v>
      </c>
      <c r="F405" s="83" t="n">
        <v>0.330092592592593</v>
      </c>
      <c r="G405" s="82" t="n">
        <v>45162</v>
      </c>
      <c r="H405" s="83" t="n">
        <v>0.935636574074074</v>
      </c>
      <c r="I405" s="2" t="s">
        <v>574</v>
      </c>
      <c r="J405" s="2" t="s">
        <v>40</v>
      </c>
      <c r="K405" s="46" t="str">
        <f aca="false">INDEX(Products!$B$2:$B$71,MATCH($C405,Products!$A$2:$A$71,0))</f>
        <v>Quia Gift</v>
      </c>
      <c r="L405" s="46" t="str">
        <f aca="false">INDEX(Products!$C$2:$C$71,MATCH($C405,Products!$A$2:$A$71,0))</f>
        <v>Colors</v>
      </c>
      <c r="M405" s="84" t="n">
        <f aca="false">INDEX(Products!$D$2:$D$71,MATCH($C405,Products!$A$2:$A$71,0))</f>
        <v>1561</v>
      </c>
      <c r="N405" s="84" t="n">
        <f aca="false">$D405*$M405</f>
        <v>7805</v>
      </c>
      <c r="O405" s="46" t="str">
        <f aca="false">INDEX(Customers!$C$2:$C$101,MATCH($B405,Customers!$A$2:$A$101,0))</f>
        <v>Imphal</v>
      </c>
      <c r="P405" s="46" t="str">
        <f aca="false">INDEX(Customers!$F$2:$F$101,MATCH($B405,Customers!$A$2:$A$101,0))</f>
        <v>Male</v>
      </c>
      <c r="Q405" s="46" t="str">
        <f aca="false">INDEX(Customers!$B$2:$B$101,MATCH($B405,Customers!$A$2:$A$101,0))</f>
        <v>Umang Luthra</v>
      </c>
      <c r="R405" s="46" t="n">
        <f aca="false">MONTH($E405)</f>
        <v>8</v>
      </c>
      <c r="S405" s="46" t="str">
        <f aca="false">INDEX(Lists!$B$2:$B$13,$R405)</f>
        <v>August</v>
      </c>
      <c r="T405" s="46" t="n">
        <f aca="false">HOUR($F405)</f>
        <v>7</v>
      </c>
      <c r="U405" s="46" t="n">
        <f aca="false">WEEKDAY($E405,2)</f>
        <v>2</v>
      </c>
      <c r="V405" s="46" t="str">
        <f aca="false">INDEX(Lists!$F$2:$F$8,$U405)</f>
        <v>Tuesday</v>
      </c>
      <c r="W405" s="85" t="n">
        <f aca="false">($G405+$H405)-($E405+$F405)</f>
        <v>2.60554398148148</v>
      </c>
      <c r="X405" s="46" t="str">
        <f aca="false">LOOKUP($M405,Lists!$G$2:$G$5,Lists!$H$2:$H$5)</f>
        <v>₹1,500 - 2,000</v>
      </c>
      <c r="Y405" s="46" t="str">
        <f aca="false">LOOKUP($W405,Lists!$I$2:$I$7,Lists!$J$2:$J$7)</f>
        <v>2 - 4 days</v>
      </c>
    </row>
    <row r="406" customFormat="false" ht="15" hidden="false" customHeight="false" outlineLevel="0" collapsed="false">
      <c r="A406" s="7" t="n">
        <v>405</v>
      </c>
      <c r="B406" s="7" t="s">
        <v>204</v>
      </c>
      <c r="C406" s="7" t="n">
        <v>49</v>
      </c>
      <c r="D406" s="7" t="n">
        <v>1</v>
      </c>
      <c r="E406" s="77" t="n">
        <v>44967</v>
      </c>
      <c r="F406" s="78" t="n">
        <v>0.961967592592593</v>
      </c>
      <c r="G406" s="77" t="n">
        <v>44975</v>
      </c>
      <c r="H406" s="78" t="n">
        <v>0.616412037037037</v>
      </c>
      <c r="I406" s="7" t="s">
        <v>401</v>
      </c>
      <c r="J406" s="7" t="s">
        <v>179</v>
      </c>
      <c r="K406" s="79" t="str">
        <f aca="false">INDEX(Products!$B$2:$B$71,MATCH($C406,Products!$A$2:$A$71,0))</f>
        <v>Voluptate Pack</v>
      </c>
      <c r="L406" s="79" t="str">
        <f aca="false">INDEX(Products!$C$2:$C$71,MATCH($C406,Products!$A$2:$A$71,0))</f>
        <v>Colors</v>
      </c>
      <c r="M406" s="80" t="n">
        <f aca="false">INDEX(Products!$D$2:$D$71,MATCH($C406,Products!$A$2:$A$71,0))</f>
        <v>903</v>
      </c>
      <c r="N406" s="80" t="n">
        <f aca="false">$D406*$M406</f>
        <v>903</v>
      </c>
      <c r="O406" s="79" t="str">
        <f aca="false">INDEX(Customers!$C$2:$C$101,MATCH($B406,Customers!$A$2:$A$101,0))</f>
        <v>Indore</v>
      </c>
      <c r="P406" s="79" t="str">
        <f aca="false">INDEX(Customers!$F$2:$F$101,MATCH($B406,Customers!$A$2:$A$101,0))</f>
        <v>Female</v>
      </c>
      <c r="Q406" s="79" t="str">
        <f aca="false">INDEX(Customers!$B$2:$B$101,MATCH($B406,Customers!$A$2:$A$101,0))</f>
        <v>Suhana Kurian</v>
      </c>
      <c r="R406" s="79" t="n">
        <f aca="false">MONTH($E406)</f>
        <v>2</v>
      </c>
      <c r="S406" s="79" t="str">
        <f aca="false">INDEX(Lists!$B$2:$B$13,$R406)</f>
        <v>February</v>
      </c>
      <c r="T406" s="79" t="n">
        <f aca="false">HOUR($F406)</f>
        <v>23</v>
      </c>
      <c r="U406" s="79" t="n">
        <f aca="false">WEEKDAY($E406,2)</f>
        <v>5</v>
      </c>
      <c r="V406" s="79" t="str">
        <f aca="false">INDEX(Lists!$F$2:$F$8,$U406)</f>
        <v>Friday</v>
      </c>
      <c r="W406" s="81" t="n">
        <f aca="false">($G406+$H406)-($E406+$F406)</f>
        <v>7.65444444444445</v>
      </c>
      <c r="X406" s="79" t="str">
        <f aca="false">LOOKUP($M406,Lists!$G$2:$G$5,Lists!$H$2:$H$5)</f>
        <v>₹500 - 999</v>
      </c>
      <c r="Y406" s="79" t="str">
        <f aca="false">LOOKUP($W406,Lists!$I$2:$I$7,Lists!$J$2:$J$7)</f>
        <v>6 - 8 days</v>
      </c>
    </row>
    <row r="407" customFormat="false" ht="15" hidden="false" customHeight="false" outlineLevel="0" collapsed="false">
      <c r="A407" s="2" t="n">
        <v>406</v>
      </c>
      <c r="B407" s="2" t="s">
        <v>251</v>
      </c>
      <c r="C407" s="2" t="n">
        <v>55</v>
      </c>
      <c r="D407" s="2" t="n">
        <v>4</v>
      </c>
      <c r="E407" s="82" t="n">
        <v>45163</v>
      </c>
      <c r="F407" s="83" t="n">
        <v>0.666168981481482</v>
      </c>
      <c r="G407" s="82" t="n">
        <v>45171</v>
      </c>
      <c r="H407" s="83" t="n">
        <v>0.266585648148148</v>
      </c>
      <c r="I407" s="2" t="s">
        <v>576</v>
      </c>
      <c r="J407" s="2" t="s">
        <v>40</v>
      </c>
      <c r="K407" s="46" t="str">
        <f aca="false">INDEX(Products!$B$2:$B$71,MATCH($C407,Products!$A$2:$A$71,0))</f>
        <v>Dolores Gift</v>
      </c>
      <c r="L407" s="46" t="str">
        <f aca="false">INDEX(Products!$C$2:$C$71,MATCH($C407,Products!$A$2:$A$71,0))</f>
        <v>Soft Toys</v>
      </c>
      <c r="M407" s="84" t="n">
        <f aca="false">INDEX(Products!$D$2:$D$71,MATCH($C407,Products!$A$2:$A$71,0))</f>
        <v>1904</v>
      </c>
      <c r="N407" s="84" t="n">
        <f aca="false">$D407*$M407</f>
        <v>7616</v>
      </c>
      <c r="O407" s="46" t="str">
        <f aca="false">INDEX(Customers!$C$2:$C$101,MATCH($B407,Customers!$A$2:$A$101,0))</f>
        <v>Imphal</v>
      </c>
      <c r="P407" s="46" t="str">
        <f aca="false">INDEX(Customers!$F$2:$F$101,MATCH($B407,Customers!$A$2:$A$101,0))</f>
        <v>Female</v>
      </c>
      <c r="Q407" s="46" t="str">
        <f aca="false">INDEX(Customers!$B$2:$B$101,MATCH($B407,Customers!$A$2:$A$101,0))</f>
        <v>Aarush Balasubramanian</v>
      </c>
      <c r="R407" s="46" t="n">
        <f aca="false">MONTH($E407)</f>
        <v>8</v>
      </c>
      <c r="S407" s="46" t="str">
        <f aca="false">INDEX(Lists!$B$2:$B$13,$R407)</f>
        <v>August</v>
      </c>
      <c r="T407" s="46" t="n">
        <f aca="false">HOUR($F407)</f>
        <v>15</v>
      </c>
      <c r="U407" s="46" t="n">
        <f aca="false">WEEKDAY($E407,2)</f>
        <v>5</v>
      </c>
      <c r="V407" s="46" t="str">
        <f aca="false">INDEX(Lists!$F$2:$F$8,$U407)</f>
        <v>Friday</v>
      </c>
      <c r="W407" s="85" t="n">
        <f aca="false">($G407+$H407)-($E407+$F407)</f>
        <v>7.60041666666667</v>
      </c>
      <c r="X407" s="46" t="str">
        <f aca="false">LOOKUP($M407,Lists!$G$2:$G$5,Lists!$H$2:$H$5)</f>
        <v>₹1,500 - 2,000</v>
      </c>
      <c r="Y407" s="46" t="str">
        <f aca="false">LOOKUP($W407,Lists!$I$2:$I$7,Lists!$J$2:$J$7)</f>
        <v>6 - 8 days</v>
      </c>
    </row>
    <row r="408" customFormat="false" ht="15" hidden="false" customHeight="false" outlineLevel="0" collapsed="false">
      <c r="A408" s="7" t="n">
        <v>407</v>
      </c>
      <c r="B408" s="7" t="s">
        <v>322</v>
      </c>
      <c r="C408" s="7" t="n">
        <v>69</v>
      </c>
      <c r="D408" s="7" t="n">
        <v>3</v>
      </c>
      <c r="E408" s="77" t="n">
        <v>44983</v>
      </c>
      <c r="F408" s="78" t="n">
        <v>0.369571759259259</v>
      </c>
      <c r="G408" s="77" t="n">
        <v>44985</v>
      </c>
      <c r="H408" s="78" t="n">
        <v>0.173425925925926</v>
      </c>
      <c r="I408" s="7" t="s">
        <v>436</v>
      </c>
      <c r="J408" s="7" t="s">
        <v>33</v>
      </c>
      <c r="K408" s="79" t="str">
        <f aca="false">INDEX(Products!$B$2:$B$71,MATCH($C408,Products!$A$2:$A$71,0))</f>
        <v>Id Box</v>
      </c>
      <c r="L408" s="79" t="str">
        <f aca="false">INDEX(Products!$C$2:$C$71,MATCH($C408,Products!$A$2:$A$71,0))</f>
        <v>Cake</v>
      </c>
      <c r="M408" s="80" t="n">
        <f aca="false">INDEX(Products!$D$2:$D$71,MATCH($C408,Products!$A$2:$A$71,0))</f>
        <v>998</v>
      </c>
      <c r="N408" s="80" t="n">
        <f aca="false">$D408*$M408</f>
        <v>2994</v>
      </c>
      <c r="O408" s="79" t="str">
        <f aca="false">INDEX(Customers!$C$2:$C$101,MATCH($B408,Customers!$A$2:$A$101,0))</f>
        <v>Sultan Pur Majra</v>
      </c>
      <c r="P408" s="79" t="str">
        <f aca="false">INDEX(Customers!$F$2:$F$101,MATCH($B408,Customers!$A$2:$A$101,0))</f>
        <v>Female</v>
      </c>
      <c r="Q408" s="79" t="str">
        <f aca="false">INDEX(Customers!$B$2:$B$101,MATCH($B408,Customers!$A$2:$A$101,0))</f>
        <v>Vanya Apte</v>
      </c>
      <c r="R408" s="79" t="n">
        <f aca="false">MONTH($E408)</f>
        <v>2</v>
      </c>
      <c r="S408" s="79" t="str">
        <f aca="false">INDEX(Lists!$B$2:$B$13,$R408)</f>
        <v>February</v>
      </c>
      <c r="T408" s="79" t="n">
        <f aca="false">HOUR($F408)</f>
        <v>8</v>
      </c>
      <c r="U408" s="79" t="n">
        <f aca="false">WEEKDAY($E408,2)</f>
        <v>7</v>
      </c>
      <c r="V408" s="79" t="str">
        <f aca="false">INDEX(Lists!$F$2:$F$8,$U408)</f>
        <v>Sunday</v>
      </c>
      <c r="W408" s="81" t="n">
        <f aca="false">($G408+$H408)-($E408+$F408)</f>
        <v>1.80385416666667</v>
      </c>
      <c r="X408" s="79" t="str">
        <f aca="false">LOOKUP($M408,Lists!$G$2:$G$5,Lists!$H$2:$H$5)</f>
        <v>₹500 - 999</v>
      </c>
      <c r="Y408" s="79" t="str">
        <f aca="false">LOOKUP($W408,Lists!$I$2:$I$7,Lists!$J$2:$J$7)</f>
        <v>0 - 2 days</v>
      </c>
    </row>
    <row r="409" customFormat="false" ht="15" hidden="false" customHeight="false" outlineLevel="0" collapsed="false">
      <c r="A409" s="2" t="n">
        <v>408</v>
      </c>
      <c r="B409" s="2" t="s">
        <v>291</v>
      </c>
      <c r="C409" s="2" t="n">
        <v>31</v>
      </c>
      <c r="D409" s="2" t="n">
        <v>2</v>
      </c>
      <c r="E409" s="82" t="n">
        <v>44990</v>
      </c>
      <c r="F409" s="83" t="n">
        <v>0.51349537037037</v>
      </c>
      <c r="G409" s="82" t="n">
        <v>44996</v>
      </c>
      <c r="H409" s="83" t="n">
        <v>0.195578703703704</v>
      </c>
      <c r="I409" s="2" t="s">
        <v>404</v>
      </c>
      <c r="J409" s="2" t="s">
        <v>165</v>
      </c>
      <c r="K409" s="46" t="str">
        <f aca="false">INDEX(Products!$B$2:$B$71,MATCH($C409,Products!$A$2:$A$71,0))</f>
        <v>Nihil Box</v>
      </c>
      <c r="L409" s="46" t="str">
        <f aca="false">INDEX(Products!$C$2:$C$71,MATCH($C409,Products!$A$2:$A$71,0))</f>
        <v>Colors</v>
      </c>
      <c r="M409" s="84" t="n">
        <f aca="false">INDEX(Products!$D$2:$D$71,MATCH($C409,Products!$A$2:$A$71,0))</f>
        <v>1804</v>
      </c>
      <c r="N409" s="84" t="n">
        <f aca="false">$D409*$M409</f>
        <v>3608</v>
      </c>
      <c r="O409" s="46" t="str">
        <f aca="false">INDEX(Customers!$C$2:$C$101,MATCH($B409,Customers!$A$2:$A$101,0))</f>
        <v>Jamnagar</v>
      </c>
      <c r="P409" s="46" t="str">
        <f aca="false">INDEX(Customers!$F$2:$F$101,MATCH($B409,Customers!$A$2:$A$101,0))</f>
        <v>Male</v>
      </c>
      <c r="Q409" s="46" t="str">
        <f aca="false">INDEX(Customers!$B$2:$B$101,MATCH($B409,Customers!$A$2:$A$101,0))</f>
        <v>Arhaan Ahluwalia</v>
      </c>
      <c r="R409" s="46" t="n">
        <f aca="false">MONTH($E409)</f>
        <v>3</v>
      </c>
      <c r="S409" s="46" t="str">
        <f aca="false">INDEX(Lists!$B$2:$B$13,$R409)</f>
        <v>March</v>
      </c>
      <c r="T409" s="46" t="n">
        <f aca="false">HOUR($F409)</f>
        <v>12</v>
      </c>
      <c r="U409" s="46" t="n">
        <f aca="false">WEEKDAY($E409,2)</f>
        <v>7</v>
      </c>
      <c r="V409" s="46" t="str">
        <f aca="false">INDEX(Lists!$F$2:$F$8,$U409)</f>
        <v>Sunday</v>
      </c>
      <c r="W409" s="85" t="n">
        <f aca="false">($G409+$H409)-($E409+$F409)</f>
        <v>5.68208333333333</v>
      </c>
      <c r="X409" s="46" t="str">
        <f aca="false">LOOKUP($M409,Lists!$G$2:$G$5,Lists!$H$2:$H$5)</f>
        <v>₹1,500 - 2,000</v>
      </c>
      <c r="Y409" s="46" t="str">
        <f aca="false">LOOKUP($W409,Lists!$I$2:$I$7,Lists!$J$2:$J$7)</f>
        <v>4 - 6 days</v>
      </c>
    </row>
    <row r="410" customFormat="false" ht="15" hidden="false" customHeight="false" outlineLevel="0" collapsed="false">
      <c r="A410" s="7" t="n">
        <v>409</v>
      </c>
      <c r="B410" s="7" t="s">
        <v>251</v>
      </c>
      <c r="C410" s="7" t="n">
        <v>50</v>
      </c>
      <c r="D410" s="7" t="n">
        <v>4</v>
      </c>
      <c r="E410" s="77" t="n">
        <v>44983</v>
      </c>
      <c r="F410" s="78" t="n">
        <v>0.738877314814815</v>
      </c>
      <c r="G410" s="77" t="n">
        <v>44985</v>
      </c>
      <c r="H410" s="78" t="n">
        <v>0.822881944444444</v>
      </c>
      <c r="I410" s="7" t="s">
        <v>454</v>
      </c>
      <c r="J410" s="7" t="s">
        <v>33</v>
      </c>
      <c r="K410" s="79" t="str">
        <f aca="false">INDEX(Products!$B$2:$B$71,MATCH($C410,Products!$A$2:$A$71,0))</f>
        <v>Eligendi Set</v>
      </c>
      <c r="L410" s="79" t="str">
        <f aca="false">INDEX(Products!$C$2:$C$71,MATCH($C410,Products!$A$2:$A$71,0))</f>
        <v>Plants</v>
      </c>
      <c r="M410" s="80" t="n">
        <f aca="false">INDEX(Products!$D$2:$D$71,MATCH($C410,Products!$A$2:$A$71,0))</f>
        <v>422</v>
      </c>
      <c r="N410" s="80" t="n">
        <f aca="false">$D410*$M410</f>
        <v>1688</v>
      </c>
      <c r="O410" s="79" t="str">
        <f aca="false">INDEX(Customers!$C$2:$C$101,MATCH($B410,Customers!$A$2:$A$101,0))</f>
        <v>Imphal</v>
      </c>
      <c r="P410" s="79" t="str">
        <f aca="false">INDEX(Customers!$F$2:$F$101,MATCH($B410,Customers!$A$2:$A$101,0))</f>
        <v>Female</v>
      </c>
      <c r="Q410" s="79" t="str">
        <f aca="false">INDEX(Customers!$B$2:$B$101,MATCH($B410,Customers!$A$2:$A$101,0))</f>
        <v>Aarush Balasubramanian</v>
      </c>
      <c r="R410" s="79" t="n">
        <f aca="false">MONTH($E410)</f>
        <v>2</v>
      </c>
      <c r="S410" s="79" t="str">
        <f aca="false">INDEX(Lists!$B$2:$B$13,$R410)</f>
        <v>February</v>
      </c>
      <c r="T410" s="79" t="n">
        <f aca="false">HOUR($F410)</f>
        <v>17</v>
      </c>
      <c r="U410" s="79" t="n">
        <f aca="false">WEEKDAY($E410,2)</f>
        <v>7</v>
      </c>
      <c r="V410" s="79" t="str">
        <f aca="false">INDEX(Lists!$F$2:$F$8,$U410)</f>
        <v>Sunday</v>
      </c>
      <c r="W410" s="81" t="n">
        <f aca="false">($G410+$H410)-($E410+$F410)</f>
        <v>2.08400462962963</v>
      </c>
      <c r="X410" s="79" t="str">
        <f aca="false">LOOKUP($M410,Lists!$G$2:$G$5,Lists!$H$2:$H$5)</f>
        <v>₹0 - 499</v>
      </c>
      <c r="Y410" s="79" t="str">
        <f aca="false">LOOKUP($W410,Lists!$I$2:$I$7,Lists!$J$2:$J$7)</f>
        <v>2 - 4 days</v>
      </c>
    </row>
    <row r="411" customFormat="false" ht="15" hidden="false" customHeight="false" outlineLevel="0" collapsed="false">
      <c r="A411" s="2" t="n">
        <v>410</v>
      </c>
      <c r="B411" s="2" t="s">
        <v>188</v>
      </c>
      <c r="C411" s="2" t="n">
        <v>24</v>
      </c>
      <c r="D411" s="2" t="n">
        <v>1</v>
      </c>
      <c r="E411" s="82" t="n">
        <v>44927</v>
      </c>
      <c r="F411" s="83" t="n">
        <v>0.847789351851852</v>
      </c>
      <c r="G411" s="82" t="n">
        <v>44928</v>
      </c>
      <c r="H411" s="83" t="n">
        <v>0.247986111111111</v>
      </c>
      <c r="I411" s="2" t="s">
        <v>580</v>
      </c>
      <c r="J411" s="2" t="s">
        <v>31</v>
      </c>
      <c r="K411" s="46" t="str">
        <f aca="false">INDEX(Products!$B$2:$B$71,MATCH($C411,Products!$A$2:$A$71,0))</f>
        <v>Ad Box</v>
      </c>
      <c r="L411" s="46" t="str">
        <f aca="false">INDEX(Products!$C$2:$C$71,MATCH($C411,Products!$A$2:$A$71,0))</f>
        <v>Mugs</v>
      </c>
      <c r="M411" s="84" t="n">
        <f aca="false">INDEX(Products!$D$2:$D$71,MATCH($C411,Products!$A$2:$A$71,0))</f>
        <v>535</v>
      </c>
      <c r="N411" s="84" t="n">
        <f aca="false">$D411*$M411</f>
        <v>535</v>
      </c>
      <c r="O411" s="46" t="str">
        <f aca="false">INDEX(Customers!$C$2:$C$101,MATCH($B411,Customers!$A$2:$A$101,0))</f>
        <v>Singrauli</v>
      </c>
      <c r="P411" s="46" t="str">
        <f aca="false">INDEX(Customers!$F$2:$F$101,MATCH($B411,Customers!$A$2:$A$101,0))</f>
        <v>Female</v>
      </c>
      <c r="Q411" s="46" t="str">
        <f aca="false">INDEX(Customers!$B$2:$B$101,MATCH($B411,Customers!$A$2:$A$101,0))</f>
        <v>Ira Bava</v>
      </c>
      <c r="R411" s="46" t="n">
        <f aca="false">MONTH($E411)</f>
        <v>1</v>
      </c>
      <c r="S411" s="46" t="str">
        <f aca="false">INDEX(Lists!$B$2:$B$13,$R411)</f>
        <v>January</v>
      </c>
      <c r="T411" s="46" t="n">
        <f aca="false">HOUR($F411)</f>
        <v>20</v>
      </c>
      <c r="U411" s="46" t="n">
        <f aca="false">WEEKDAY($E411,2)</f>
        <v>7</v>
      </c>
      <c r="V411" s="46" t="str">
        <f aca="false">INDEX(Lists!$F$2:$F$8,$U411)</f>
        <v>Sunday</v>
      </c>
      <c r="W411" s="85" t="n">
        <f aca="false">($G411+$H411)-($E411+$F411)</f>
        <v>0.400196759259259</v>
      </c>
      <c r="X411" s="46" t="str">
        <f aca="false">LOOKUP($M411,Lists!$G$2:$G$5,Lists!$H$2:$H$5)</f>
        <v>₹500 - 999</v>
      </c>
      <c r="Y411" s="46" t="str">
        <f aca="false">LOOKUP($W411,Lists!$I$2:$I$7,Lists!$J$2:$J$7)</f>
        <v>0 - 2 days</v>
      </c>
    </row>
    <row r="412" customFormat="false" ht="15" hidden="false" customHeight="false" outlineLevel="0" collapsed="false">
      <c r="A412" s="7" t="n">
        <v>411</v>
      </c>
      <c r="B412" s="7" t="s">
        <v>139</v>
      </c>
      <c r="C412" s="7" t="n">
        <v>48</v>
      </c>
      <c r="D412" s="7" t="n">
        <v>1</v>
      </c>
      <c r="E412" s="77" t="n">
        <v>45235</v>
      </c>
      <c r="F412" s="78" t="n">
        <v>0.688587962962963</v>
      </c>
      <c r="G412" s="77" t="n">
        <v>45238</v>
      </c>
      <c r="H412" s="78" t="n">
        <v>0.306550925925926</v>
      </c>
      <c r="I412" s="7" t="s">
        <v>500</v>
      </c>
      <c r="J412" s="7" t="s">
        <v>32</v>
      </c>
      <c r="K412" s="79" t="str">
        <f aca="false">INDEX(Products!$B$2:$B$71,MATCH($C412,Products!$A$2:$A$71,0))</f>
        <v>Maiores Gift</v>
      </c>
      <c r="L412" s="79" t="str">
        <f aca="false">INDEX(Products!$C$2:$C$71,MATCH($C412,Products!$A$2:$A$71,0))</f>
        <v>Colors</v>
      </c>
      <c r="M412" s="80" t="n">
        <f aca="false">INDEX(Products!$D$2:$D$71,MATCH($C412,Products!$A$2:$A$71,0))</f>
        <v>433</v>
      </c>
      <c r="N412" s="80" t="n">
        <f aca="false">$D412*$M412</f>
        <v>433</v>
      </c>
      <c r="O412" s="79" t="str">
        <f aca="false">INDEX(Customers!$C$2:$C$101,MATCH($B412,Customers!$A$2:$A$101,0))</f>
        <v>Karimnagar</v>
      </c>
      <c r="P412" s="79" t="str">
        <f aca="false">INDEX(Customers!$F$2:$F$101,MATCH($B412,Customers!$A$2:$A$101,0))</f>
        <v>Female</v>
      </c>
      <c r="Q412" s="79" t="str">
        <f aca="false">INDEX(Customers!$B$2:$B$101,MATCH($B412,Customers!$A$2:$A$101,0))</f>
        <v>Rania Mann</v>
      </c>
      <c r="R412" s="79" t="n">
        <f aca="false">MONTH($E412)</f>
        <v>11</v>
      </c>
      <c r="S412" s="79" t="str">
        <f aca="false">INDEX(Lists!$B$2:$B$13,$R412)</f>
        <v>November</v>
      </c>
      <c r="T412" s="79" t="n">
        <f aca="false">HOUR($F412)</f>
        <v>16</v>
      </c>
      <c r="U412" s="79" t="n">
        <f aca="false">WEEKDAY($E412,2)</f>
        <v>7</v>
      </c>
      <c r="V412" s="79" t="str">
        <f aca="false">INDEX(Lists!$F$2:$F$8,$U412)</f>
        <v>Sunday</v>
      </c>
      <c r="W412" s="81" t="n">
        <f aca="false">($G412+$H412)-($E412+$F412)</f>
        <v>2.61796296296296</v>
      </c>
      <c r="X412" s="79" t="str">
        <f aca="false">LOOKUP($M412,Lists!$G$2:$G$5,Lists!$H$2:$H$5)</f>
        <v>₹0 - 499</v>
      </c>
      <c r="Y412" s="79" t="str">
        <f aca="false">LOOKUP($W412,Lists!$I$2:$I$7,Lists!$J$2:$J$7)</f>
        <v>2 - 4 days</v>
      </c>
    </row>
    <row r="413" customFormat="false" ht="15" hidden="false" customHeight="false" outlineLevel="0" collapsed="false">
      <c r="A413" s="2" t="n">
        <v>412</v>
      </c>
      <c r="B413" s="2" t="s">
        <v>341</v>
      </c>
      <c r="C413" s="2" t="n">
        <v>67</v>
      </c>
      <c r="D413" s="2" t="n">
        <v>2</v>
      </c>
      <c r="E413" s="82" t="n">
        <v>45227</v>
      </c>
      <c r="F413" s="83" t="n">
        <v>0.394722222222222</v>
      </c>
      <c r="G413" s="82" t="n">
        <v>45230</v>
      </c>
      <c r="H413" s="83" t="n">
        <v>0.968368055555556</v>
      </c>
      <c r="I413" s="2" t="s">
        <v>479</v>
      </c>
      <c r="J413" s="2" t="s">
        <v>168</v>
      </c>
      <c r="K413" s="46" t="str">
        <f aca="false">INDEX(Products!$B$2:$B$71,MATCH($C413,Products!$A$2:$A$71,0))</f>
        <v>Maiores Box</v>
      </c>
      <c r="L413" s="46" t="str">
        <f aca="false">INDEX(Products!$C$2:$C$71,MATCH($C413,Products!$A$2:$A$71,0))</f>
        <v>Raksha Bandhan</v>
      </c>
      <c r="M413" s="84" t="n">
        <f aca="false">INDEX(Products!$D$2:$D$71,MATCH($C413,Products!$A$2:$A$71,0))</f>
        <v>1374</v>
      </c>
      <c r="N413" s="84" t="n">
        <f aca="false">$D413*$M413</f>
        <v>2748</v>
      </c>
      <c r="O413" s="46" t="str">
        <f aca="false">INDEX(Customers!$C$2:$C$101,MATCH($B413,Customers!$A$2:$A$101,0))</f>
        <v>Ratlam</v>
      </c>
      <c r="P413" s="46" t="str">
        <f aca="false">INDEX(Customers!$F$2:$F$101,MATCH($B413,Customers!$A$2:$A$101,0))</f>
        <v>Male</v>
      </c>
      <c r="Q413" s="46" t="str">
        <f aca="false">INDEX(Customers!$B$2:$B$101,MATCH($B413,Customers!$A$2:$A$101,0))</f>
        <v>Kaira Ramachandran</v>
      </c>
      <c r="R413" s="46" t="n">
        <f aca="false">MONTH($E413)</f>
        <v>10</v>
      </c>
      <c r="S413" s="46" t="str">
        <f aca="false">INDEX(Lists!$B$2:$B$13,$R413)</f>
        <v>October</v>
      </c>
      <c r="T413" s="46" t="n">
        <f aca="false">HOUR($F413)</f>
        <v>9</v>
      </c>
      <c r="U413" s="46" t="n">
        <f aca="false">WEEKDAY($E413,2)</f>
        <v>6</v>
      </c>
      <c r="V413" s="46" t="str">
        <f aca="false">INDEX(Lists!$F$2:$F$8,$U413)</f>
        <v>Saturday</v>
      </c>
      <c r="W413" s="85" t="n">
        <f aca="false">($G413+$H413)-($E413+$F413)</f>
        <v>3.57364583333333</v>
      </c>
      <c r="X413" s="46" t="str">
        <f aca="false">LOOKUP($M413,Lists!$G$2:$G$5,Lists!$H$2:$H$5)</f>
        <v>₹1,000 - 1,499</v>
      </c>
      <c r="Y413" s="46" t="str">
        <f aca="false">LOOKUP($W413,Lists!$I$2:$I$7,Lists!$J$2:$J$7)</f>
        <v>2 - 4 days</v>
      </c>
    </row>
    <row r="414" customFormat="false" ht="15" hidden="false" customHeight="false" outlineLevel="0" collapsed="false">
      <c r="A414" s="7" t="n">
        <v>413</v>
      </c>
      <c r="B414" s="7" t="s">
        <v>254</v>
      </c>
      <c r="C414" s="7" t="n">
        <v>59</v>
      </c>
      <c r="D414" s="7" t="n">
        <v>5</v>
      </c>
      <c r="E414" s="77" t="n">
        <v>45160</v>
      </c>
      <c r="F414" s="78" t="n">
        <v>0.230752314814815</v>
      </c>
      <c r="G414" s="77" t="n">
        <v>45168</v>
      </c>
      <c r="H414" s="78" t="n">
        <v>0.848043981481482</v>
      </c>
      <c r="I414" s="7" t="s">
        <v>171</v>
      </c>
      <c r="J414" s="7" t="s">
        <v>40</v>
      </c>
      <c r="K414" s="79" t="str">
        <f aca="false">INDEX(Products!$B$2:$B$71,MATCH($C414,Products!$A$2:$A$71,0))</f>
        <v>Pariatur Box</v>
      </c>
      <c r="L414" s="79" t="str">
        <f aca="false">INDEX(Products!$C$2:$C$71,MATCH($C414,Products!$A$2:$A$71,0))</f>
        <v>Cake</v>
      </c>
      <c r="M414" s="80" t="n">
        <f aca="false">INDEX(Products!$D$2:$D$71,MATCH($C414,Products!$A$2:$A$71,0))</f>
        <v>811</v>
      </c>
      <c r="N414" s="80" t="n">
        <f aca="false">$D414*$M414</f>
        <v>4055</v>
      </c>
      <c r="O414" s="79" t="str">
        <f aca="false">INDEX(Customers!$C$2:$C$101,MATCH($B414,Customers!$A$2:$A$101,0))</f>
        <v>Imphal</v>
      </c>
      <c r="P414" s="79" t="str">
        <f aca="false">INDEX(Customers!$F$2:$F$101,MATCH($B414,Customers!$A$2:$A$101,0))</f>
        <v>Female</v>
      </c>
      <c r="Q414" s="79" t="str">
        <f aca="false">INDEX(Customers!$B$2:$B$101,MATCH($B414,Customers!$A$2:$A$101,0))</f>
        <v>Chirag Srinivas</v>
      </c>
      <c r="R414" s="79" t="n">
        <f aca="false">MONTH($E414)</f>
        <v>8</v>
      </c>
      <c r="S414" s="79" t="str">
        <f aca="false">INDEX(Lists!$B$2:$B$13,$R414)</f>
        <v>August</v>
      </c>
      <c r="T414" s="79" t="n">
        <f aca="false">HOUR($F414)</f>
        <v>5</v>
      </c>
      <c r="U414" s="79" t="n">
        <f aca="false">WEEKDAY($E414,2)</f>
        <v>2</v>
      </c>
      <c r="V414" s="79" t="str">
        <f aca="false">INDEX(Lists!$F$2:$F$8,$U414)</f>
        <v>Tuesday</v>
      </c>
      <c r="W414" s="81" t="n">
        <f aca="false">($G414+$H414)-($E414+$F414)</f>
        <v>8.61729166666667</v>
      </c>
      <c r="X414" s="79" t="str">
        <f aca="false">LOOKUP($M414,Lists!$G$2:$G$5,Lists!$H$2:$H$5)</f>
        <v>₹500 - 999</v>
      </c>
      <c r="Y414" s="79" t="str">
        <f aca="false">LOOKUP($W414,Lists!$I$2:$I$7,Lists!$J$2:$J$7)</f>
        <v>8 - 10 days</v>
      </c>
    </row>
    <row r="415" customFormat="false" ht="15" hidden="false" customHeight="false" outlineLevel="0" collapsed="false">
      <c r="A415" s="2" t="n">
        <v>414</v>
      </c>
      <c r="B415" s="2" t="s">
        <v>206</v>
      </c>
      <c r="C415" s="2" t="n">
        <v>7</v>
      </c>
      <c r="D415" s="2" t="n">
        <v>4</v>
      </c>
      <c r="E415" s="82" t="n">
        <v>44985</v>
      </c>
      <c r="F415" s="83" t="n">
        <v>0.887627314814815</v>
      </c>
      <c r="G415" s="82" t="n">
        <v>44992</v>
      </c>
      <c r="H415" s="83" t="n">
        <v>0.0468865740740741</v>
      </c>
      <c r="I415" s="2" t="s">
        <v>546</v>
      </c>
      <c r="J415" s="2" t="s">
        <v>33</v>
      </c>
      <c r="K415" s="46" t="str">
        <f aca="false">INDEX(Products!$B$2:$B$71,MATCH($C415,Products!$A$2:$A$71,0))</f>
        <v>Quos Set</v>
      </c>
      <c r="L415" s="46" t="str">
        <f aca="false">INDEX(Products!$C$2:$C$71,MATCH($C415,Products!$A$2:$A$71,0))</f>
        <v>Soft Toys</v>
      </c>
      <c r="M415" s="84" t="n">
        <f aca="false">INDEX(Products!$D$2:$D$71,MATCH($C415,Products!$A$2:$A$71,0))</f>
        <v>409</v>
      </c>
      <c r="N415" s="84" t="n">
        <f aca="false">$D415*$M415</f>
        <v>1636</v>
      </c>
      <c r="O415" s="46" t="str">
        <f aca="false">INDEX(Customers!$C$2:$C$101,MATCH($B415,Customers!$A$2:$A$101,0))</f>
        <v>Bhatpara</v>
      </c>
      <c r="P415" s="46" t="str">
        <f aca="false">INDEX(Customers!$F$2:$F$101,MATCH($B415,Customers!$A$2:$A$101,0))</f>
        <v>Male</v>
      </c>
      <c r="Q415" s="46" t="str">
        <f aca="false">INDEX(Customers!$B$2:$B$101,MATCH($B415,Customers!$A$2:$A$101,0))</f>
        <v>Hridaan Sood</v>
      </c>
      <c r="R415" s="46" t="n">
        <f aca="false">MONTH($E415)</f>
        <v>2</v>
      </c>
      <c r="S415" s="46" t="str">
        <f aca="false">INDEX(Lists!$B$2:$B$13,$R415)</f>
        <v>February</v>
      </c>
      <c r="T415" s="46" t="n">
        <f aca="false">HOUR($F415)</f>
        <v>21</v>
      </c>
      <c r="U415" s="46" t="n">
        <f aca="false">WEEKDAY($E415,2)</f>
        <v>2</v>
      </c>
      <c r="V415" s="46" t="str">
        <f aca="false">INDEX(Lists!$F$2:$F$8,$U415)</f>
        <v>Tuesday</v>
      </c>
      <c r="W415" s="85" t="n">
        <f aca="false">($G415+$H415)-($E415+$F415)</f>
        <v>6.15925925925926</v>
      </c>
      <c r="X415" s="46" t="str">
        <f aca="false">LOOKUP($M415,Lists!$G$2:$G$5,Lists!$H$2:$H$5)</f>
        <v>₹0 - 499</v>
      </c>
      <c r="Y415" s="46" t="str">
        <f aca="false">LOOKUP($W415,Lists!$I$2:$I$7,Lists!$J$2:$J$7)</f>
        <v>6 - 8 days</v>
      </c>
    </row>
    <row r="416" customFormat="false" ht="15" hidden="false" customHeight="false" outlineLevel="0" collapsed="false">
      <c r="A416" s="7" t="n">
        <v>415</v>
      </c>
      <c r="B416" s="7" t="s">
        <v>297</v>
      </c>
      <c r="C416" s="7" t="n">
        <v>14</v>
      </c>
      <c r="D416" s="7" t="n">
        <v>4</v>
      </c>
      <c r="E416" s="77" t="n">
        <v>45085</v>
      </c>
      <c r="F416" s="78" t="n">
        <v>0.839236111111111</v>
      </c>
      <c r="G416" s="77" t="n">
        <v>45087</v>
      </c>
      <c r="H416" s="78" t="n">
        <v>0.0562037037037037</v>
      </c>
      <c r="I416" s="7" t="s">
        <v>403</v>
      </c>
      <c r="J416" s="7" t="s">
        <v>31</v>
      </c>
      <c r="K416" s="79" t="str">
        <f aca="false">INDEX(Products!$B$2:$B$71,MATCH($C416,Products!$A$2:$A$71,0))</f>
        <v>Deserunt Box</v>
      </c>
      <c r="L416" s="79" t="str">
        <f aca="false">INDEX(Products!$C$2:$C$71,MATCH($C416,Products!$A$2:$A$71,0))</f>
        <v>Colors</v>
      </c>
      <c r="M416" s="80" t="n">
        <f aca="false">INDEX(Products!$D$2:$D$71,MATCH($C416,Products!$A$2:$A$71,0))</f>
        <v>1915</v>
      </c>
      <c r="N416" s="80" t="n">
        <f aca="false">$D416*$M416</f>
        <v>7660</v>
      </c>
      <c r="O416" s="79" t="str">
        <f aca="false">INDEX(Customers!$C$2:$C$101,MATCH($B416,Customers!$A$2:$A$101,0))</f>
        <v>North Dumdum</v>
      </c>
      <c r="P416" s="79" t="str">
        <f aca="false">INDEX(Customers!$F$2:$F$101,MATCH($B416,Customers!$A$2:$A$101,0))</f>
        <v>Male</v>
      </c>
      <c r="Q416" s="79" t="str">
        <f aca="false">INDEX(Customers!$B$2:$B$101,MATCH($B416,Customers!$A$2:$A$101,0))</f>
        <v>Badal Vora</v>
      </c>
      <c r="R416" s="79" t="n">
        <f aca="false">MONTH($E416)</f>
        <v>6</v>
      </c>
      <c r="S416" s="79" t="str">
        <f aca="false">INDEX(Lists!$B$2:$B$13,$R416)</f>
        <v>June</v>
      </c>
      <c r="T416" s="79" t="n">
        <f aca="false">HOUR($F416)</f>
        <v>20</v>
      </c>
      <c r="U416" s="79" t="n">
        <f aca="false">WEEKDAY($E416,2)</f>
        <v>4</v>
      </c>
      <c r="V416" s="79" t="str">
        <f aca="false">INDEX(Lists!$F$2:$F$8,$U416)</f>
        <v>Thursday</v>
      </c>
      <c r="W416" s="81" t="n">
        <f aca="false">($G416+$H416)-($E416+$F416)</f>
        <v>1.21696759259259</v>
      </c>
      <c r="X416" s="79" t="str">
        <f aca="false">LOOKUP($M416,Lists!$G$2:$G$5,Lists!$H$2:$H$5)</f>
        <v>₹1,500 - 2,000</v>
      </c>
      <c r="Y416" s="79" t="str">
        <f aca="false">LOOKUP($W416,Lists!$I$2:$I$7,Lists!$J$2:$J$7)</f>
        <v>0 - 2 days</v>
      </c>
    </row>
    <row r="417" customFormat="false" ht="15" hidden="false" customHeight="false" outlineLevel="0" collapsed="false">
      <c r="A417" s="2" t="n">
        <v>416</v>
      </c>
      <c r="B417" s="2" t="s">
        <v>139</v>
      </c>
      <c r="C417" s="2" t="n">
        <v>58</v>
      </c>
      <c r="D417" s="2" t="n">
        <v>5</v>
      </c>
      <c r="E417" s="82" t="n">
        <v>44969</v>
      </c>
      <c r="F417" s="83" t="n">
        <v>0.695162037037037</v>
      </c>
      <c r="G417" s="82" t="n">
        <v>44974</v>
      </c>
      <c r="H417" s="83" t="n">
        <v>0.400706018518519</v>
      </c>
      <c r="I417" s="2" t="s">
        <v>551</v>
      </c>
      <c r="J417" s="2" t="s">
        <v>179</v>
      </c>
      <c r="K417" s="46" t="str">
        <f aca="false">INDEX(Products!$B$2:$B$71,MATCH($C417,Products!$A$2:$A$71,0))</f>
        <v>Sed Pack</v>
      </c>
      <c r="L417" s="46" t="str">
        <f aca="false">INDEX(Products!$C$2:$C$71,MATCH($C417,Products!$A$2:$A$71,0))</f>
        <v>Cake</v>
      </c>
      <c r="M417" s="84" t="n">
        <f aca="false">INDEX(Products!$D$2:$D$71,MATCH($C417,Products!$A$2:$A$71,0))</f>
        <v>1492</v>
      </c>
      <c r="N417" s="84" t="n">
        <f aca="false">$D417*$M417</f>
        <v>7460</v>
      </c>
      <c r="O417" s="46" t="str">
        <f aca="false">INDEX(Customers!$C$2:$C$101,MATCH($B417,Customers!$A$2:$A$101,0))</f>
        <v>Karimnagar</v>
      </c>
      <c r="P417" s="46" t="str">
        <f aca="false">INDEX(Customers!$F$2:$F$101,MATCH($B417,Customers!$A$2:$A$101,0))</f>
        <v>Female</v>
      </c>
      <c r="Q417" s="46" t="str">
        <f aca="false">INDEX(Customers!$B$2:$B$101,MATCH($B417,Customers!$A$2:$A$101,0))</f>
        <v>Rania Mann</v>
      </c>
      <c r="R417" s="46" t="n">
        <f aca="false">MONTH($E417)</f>
        <v>2</v>
      </c>
      <c r="S417" s="46" t="str">
        <f aca="false">INDEX(Lists!$B$2:$B$13,$R417)</f>
        <v>February</v>
      </c>
      <c r="T417" s="46" t="n">
        <f aca="false">HOUR($F417)</f>
        <v>16</v>
      </c>
      <c r="U417" s="46" t="n">
        <f aca="false">WEEKDAY($E417,2)</f>
        <v>7</v>
      </c>
      <c r="V417" s="46" t="str">
        <f aca="false">INDEX(Lists!$F$2:$F$8,$U417)</f>
        <v>Sunday</v>
      </c>
      <c r="W417" s="85" t="n">
        <f aca="false">($G417+$H417)-($E417+$F417)</f>
        <v>4.70554398148148</v>
      </c>
      <c r="X417" s="46" t="str">
        <f aca="false">LOOKUP($M417,Lists!$G$2:$G$5,Lists!$H$2:$H$5)</f>
        <v>₹1,000 - 1,499</v>
      </c>
      <c r="Y417" s="46" t="str">
        <f aca="false">LOOKUP($W417,Lists!$I$2:$I$7,Lists!$J$2:$J$7)</f>
        <v>4 - 6 days</v>
      </c>
    </row>
    <row r="418" customFormat="false" ht="15" hidden="false" customHeight="false" outlineLevel="0" collapsed="false">
      <c r="A418" s="7" t="n">
        <v>417</v>
      </c>
      <c r="B418" s="7" t="s">
        <v>133</v>
      </c>
      <c r="C418" s="7" t="n">
        <v>62</v>
      </c>
      <c r="D418" s="7" t="n">
        <v>4</v>
      </c>
      <c r="E418" s="77" t="n">
        <v>44992</v>
      </c>
      <c r="F418" s="78" t="n">
        <v>0.944907407407407</v>
      </c>
      <c r="G418" s="77" t="n">
        <v>44996</v>
      </c>
      <c r="H418" s="78" t="n">
        <v>0.247604166666667</v>
      </c>
      <c r="I418" s="7" t="s">
        <v>454</v>
      </c>
      <c r="J418" s="7" t="s">
        <v>33</v>
      </c>
      <c r="K418" s="79" t="str">
        <f aca="false">INDEX(Products!$B$2:$B$71,MATCH($C418,Products!$A$2:$A$71,0))</f>
        <v>Sed Set</v>
      </c>
      <c r="L418" s="79" t="str">
        <f aca="false">INDEX(Products!$C$2:$C$71,MATCH($C418,Products!$A$2:$A$71,0))</f>
        <v>Colors</v>
      </c>
      <c r="M418" s="80" t="n">
        <f aca="false">INDEX(Products!$D$2:$D$71,MATCH($C418,Products!$A$2:$A$71,0))</f>
        <v>1356</v>
      </c>
      <c r="N418" s="80" t="n">
        <f aca="false">$D418*$M418</f>
        <v>5424</v>
      </c>
      <c r="O418" s="79" t="str">
        <f aca="false">INDEX(Customers!$C$2:$C$101,MATCH($B418,Customers!$A$2:$A$101,0))</f>
        <v>Miryalaguda</v>
      </c>
      <c r="P418" s="79" t="str">
        <f aca="false">INDEX(Customers!$F$2:$F$101,MATCH($B418,Customers!$A$2:$A$101,0))</f>
        <v>Male</v>
      </c>
      <c r="Q418" s="79" t="str">
        <f aca="false">INDEX(Customers!$B$2:$B$101,MATCH($B418,Customers!$A$2:$A$101,0))</f>
        <v>Tarini Bava</v>
      </c>
      <c r="R418" s="79" t="n">
        <f aca="false">MONTH($E418)</f>
        <v>3</v>
      </c>
      <c r="S418" s="79" t="str">
        <f aca="false">INDEX(Lists!$B$2:$B$13,$R418)</f>
        <v>March</v>
      </c>
      <c r="T418" s="79" t="n">
        <f aca="false">HOUR($F418)</f>
        <v>22</v>
      </c>
      <c r="U418" s="79" t="n">
        <f aca="false">WEEKDAY($E418,2)</f>
        <v>2</v>
      </c>
      <c r="V418" s="79" t="str">
        <f aca="false">INDEX(Lists!$F$2:$F$8,$U418)</f>
        <v>Tuesday</v>
      </c>
      <c r="W418" s="81" t="n">
        <f aca="false">($G418+$H418)-($E418+$F418)</f>
        <v>3.30269675925926</v>
      </c>
      <c r="X418" s="79" t="str">
        <f aca="false">LOOKUP($M418,Lists!$G$2:$G$5,Lists!$H$2:$H$5)</f>
        <v>₹1,000 - 1,499</v>
      </c>
      <c r="Y418" s="79" t="str">
        <f aca="false">LOOKUP($W418,Lists!$I$2:$I$7,Lists!$J$2:$J$7)</f>
        <v>2 - 4 days</v>
      </c>
    </row>
    <row r="419" customFormat="false" ht="15" hidden="false" customHeight="false" outlineLevel="0" collapsed="false">
      <c r="A419" s="2" t="n">
        <v>418</v>
      </c>
      <c r="B419" s="2" t="s">
        <v>309</v>
      </c>
      <c r="C419" s="2" t="n">
        <v>64</v>
      </c>
      <c r="D419" s="2" t="n">
        <v>3</v>
      </c>
      <c r="E419" s="82" t="n">
        <v>45162</v>
      </c>
      <c r="F419" s="83" t="n">
        <v>0.553726851851852</v>
      </c>
      <c r="G419" s="82" t="n">
        <v>45170</v>
      </c>
      <c r="H419" s="83" t="n">
        <v>0.484143518518519</v>
      </c>
      <c r="I419" s="2" t="s">
        <v>450</v>
      </c>
      <c r="J419" s="2" t="s">
        <v>40</v>
      </c>
      <c r="K419" s="46" t="str">
        <f aca="false">INDEX(Products!$B$2:$B$71,MATCH($C419,Products!$A$2:$A$71,0))</f>
        <v>Nostrum Box</v>
      </c>
      <c r="L419" s="46" t="str">
        <f aca="false">INDEX(Products!$C$2:$C$71,MATCH($C419,Products!$A$2:$A$71,0))</f>
        <v>Soft Toys</v>
      </c>
      <c r="M419" s="84" t="n">
        <f aca="false">INDEX(Products!$D$2:$D$71,MATCH($C419,Products!$A$2:$A$71,0))</f>
        <v>1878</v>
      </c>
      <c r="N419" s="84" t="n">
        <f aca="false">$D419*$M419</f>
        <v>5634</v>
      </c>
      <c r="O419" s="46" t="str">
        <f aca="false">INDEX(Customers!$C$2:$C$101,MATCH($B419,Customers!$A$2:$A$101,0))</f>
        <v>Madhyamgram</v>
      </c>
      <c r="P419" s="46" t="str">
        <f aca="false">INDEX(Customers!$F$2:$F$101,MATCH($B419,Customers!$A$2:$A$101,0))</f>
        <v>Female</v>
      </c>
      <c r="Q419" s="46" t="str">
        <f aca="false">INDEX(Customers!$B$2:$B$101,MATCH($B419,Customers!$A$2:$A$101,0))</f>
        <v>Hunar Tripathi</v>
      </c>
      <c r="R419" s="46" t="n">
        <f aca="false">MONTH($E419)</f>
        <v>8</v>
      </c>
      <c r="S419" s="46" t="str">
        <f aca="false">INDEX(Lists!$B$2:$B$13,$R419)</f>
        <v>August</v>
      </c>
      <c r="T419" s="46" t="n">
        <f aca="false">HOUR($F419)</f>
        <v>13</v>
      </c>
      <c r="U419" s="46" t="n">
        <f aca="false">WEEKDAY($E419,2)</f>
        <v>4</v>
      </c>
      <c r="V419" s="46" t="str">
        <f aca="false">INDEX(Lists!$F$2:$F$8,$U419)</f>
        <v>Thursday</v>
      </c>
      <c r="W419" s="85" t="n">
        <f aca="false">($G419+$H419)-($E419+$F419)</f>
        <v>7.93041666666667</v>
      </c>
      <c r="X419" s="46" t="str">
        <f aca="false">LOOKUP($M419,Lists!$G$2:$G$5,Lists!$H$2:$H$5)</f>
        <v>₹1,500 - 2,000</v>
      </c>
      <c r="Y419" s="46" t="str">
        <f aca="false">LOOKUP($W419,Lists!$I$2:$I$7,Lists!$J$2:$J$7)</f>
        <v>6 - 8 days</v>
      </c>
    </row>
    <row r="420" customFormat="false" ht="15" hidden="false" customHeight="false" outlineLevel="0" collapsed="false">
      <c r="A420" s="7" t="n">
        <v>419</v>
      </c>
      <c r="B420" s="7" t="s">
        <v>297</v>
      </c>
      <c r="C420" s="7" t="n">
        <v>47</v>
      </c>
      <c r="D420" s="7" t="n">
        <v>3</v>
      </c>
      <c r="E420" s="77" t="n">
        <v>44990</v>
      </c>
      <c r="F420" s="78" t="n">
        <v>0.721423611111111</v>
      </c>
      <c r="G420" s="77" t="n">
        <v>44996</v>
      </c>
      <c r="H420" s="78" t="n">
        <v>0.578888888888889</v>
      </c>
      <c r="I420" s="7" t="s">
        <v>126</v>
      </c>
      <c r="J420" s="7" t="s">
        <v>33</v>
      </c>
      <c r="K420" s="79" t="str">
        <f aca="false">INDEX(Products!$B$2:$B$71,MATCH($C420,Products!$A$2:$A$71,0))</f>
        <v>Harum Pack</v>
      </c>
      <c r="L420" s="79" t="str">
        <f aca="false">INDEX(Products!$C$2:$C$71,MATCH($C420,Products!$A$2:$A$71,0))</f>
        <v>Colors</v>
      </c>
      <c r="M420" s="80" t="n">
        <f aca="false">INDEX(Products!$D$2:$D$71,MATCH($C420,Products!$A$2:$A$71,0))</f>
        <v>1638</v>
      </c>
      <c r="N420" s="80" t="n">
        <f aca="false">$D420*$M420</f>
        <v>4914</v>
      </c>
      <c r="O420" s="79" t="str">
        <f aca="false">INDEX(Customers!$C$2:$C$101,MATCH($B420,Customers!$A$2:$A$101,0))</f>
        <v>North Dumdum</v>
      </c>
      <c r="P420" s="79" t="str">
        <f aca="false">INDEX(Customers!$F$2:$F$101,MATCH($B420,Customers!$A$2:$A$101,0))</f>
        <v>Male</v>
      </c>
      <c r="Q420" s="79" t="str">
        <f aca="false">INDEX(Customers!$B$2:$B$101,MATCH($B420,Customers!$A$2:$A$101,0))</f>
        <v>Badal Vora</v>
      </c>
      <c r="R420" s="79" t="n">
        <f aca="false">MONTH($E420)</f>
        <v>3</v>
      </c>
      <c r="S420" s="79" t="str">
        <f aca="false">INDEX(Lists!$B$2:$B$13,$R420)</f>
        <v>March</v>
      </c>
      <c r="T420" s="79" t="n">
        <f aca="false">HOUR($F420)</f>
        <v>17</v>
      </c>
      <c r="U420" s="79" t="n">
        <f aca="false">WEEKDAY($E420,2)</f>
        <v>7</v>
      </c>
      <c r="V420" s="79" t="str">
        <f aca="false">INDEX(Lists!$F$2:$F$8,$U420)</f>
        <v>Sunday</v>
      </c>
      <c r="W420" s="81" t="n">
        <f aca="false">($G420+$H420)-($E420+$F420)</f>
        <v>5.85746527777778</v>
      </c>
      <c r="X420" s="79" t="str">
        <f aca="false">LOOKUP($M420,Lists!$G$2:$G$5,Lists!$H$2:$H$5)</f>
        <v>₹1,500 - 2,000</v>
      </c>
      <c r="Y420" s="79" t="str">
        <f aca="false">LOOKUP($W420,Lists!$I$2:$I$7,Lists!$J$2:$J$7)</f>
        <v>4 - 6 days</v>
      </c>
    </row>
    <row r="421" customFormat="false" ht="15" hidden="false" customHeight="false" outlineLevel="0" collapsed="false">
      <c r="A421" s="2" t="n">
        <v>420</v>
      </c>
      <c r="B421" s="2" t="s">
        <v>221</v>
      </c>
      <c r="C421" s="2" t="n">
        <v>6</v>
      </c>
      <c r="D421" s="2" t="n">
        <v>3</v>
      </c>
      <c r="E421" s="82" t="n">
        <v>44984</v>
      </c>
      <c r="F421" s="83" t="n">
        <v>0.358564814814815</v>
      </c>
      <c r="G421" s="82" t="n">
        <v>44985</v>
      </c>
      <c r="H421" s="83" t="n">
        <v>0.00519675925925926</v>
      </c>
      <c r="I421" s="2" t="s">
        <v>465</v>
      </c>
      <c r="J421" s="2" t="s">
        <v>33</v>
      </c>
      <c r="K421" s="46" t="str">
        <f aca="false">INDEX(Products!$B$2:$B$71,MATCH($C421,Products!$A$2:$A$71,0))</f>
        <v>Quos Box</v>
      </c>
      <c r="L421" s="46" t="str">
        <f aca="false">INDEX(Products!$C$2:$C$71,MATCH($C421,Products!$A$2:$A$71,0))</f>
        <v>Cake</v>
      </c>
      <c r="M421" s="84" t="n">
        <f aca="false">INDEX(Products!$D$2:$D$71,MATCH($C421,Products!$A$2:$A$71,0))</f>
        <v>1112</v>
      </c>
      <c r="N421" s="84" t="n">
        <f aca="false">$D421*$M421</f>
        <v>3336</v>
      </c>
      <c r="O421" s="46" t="str">
        <f aca="false">INDEX(Customers!$C$2:$C$101,MATCH($B421,Customers!$A$2:$A$101,0))</f>
        <v>Kamarhati</v>
      </c>
      <c r="P421" s="46" t="str">
        <f aca="false">INDEX(Customers!$F$2:$F$101,MATCH($B421,Customers!$A$2:$A$101,0))</f>
        <v>Male</v>
      </c>
      <c r="Q421" s="46" t="str">
        <f aca="false">INDEX(Customers!$B$2:$B$101,MATCH($B421,Customers!$A$2:$A$101,0))</f>
        <v>Kaira Bahl</v>
      </c>
      <c r="R421" s="46" t="n">
        <f aca="false">MONTH($E421)</f>
        <v>2</v>
      </c>
      <c r="S421" s="46" t="str">
        <f aca="false">INDEX(Lists!$B$2:$B$13,$R421)</f>
        <v>February</v>
      </c>
      <c r="T421" s="46" t="n">
        <f aca="false">HOUR($F421)</f>
        <v>8</v>
      </c>
      <c r="U421" s="46" t="n">
        <f aca="false">WEEKDAY($E421,2)</f>
        <v>1</v>
      </c>
      <c r="V421" s="46" t="str">
        <f aca="false">INDEX(Lists!$F$2:$F$8,$U421)</f>
        <v>Monday</v>
      </c>
      <c r="W421" s="85" t="n">
        <f aca="false">($G421+$H421)-($E421+$F421)</f>
        <v>0.646631944444445</v>
      </c>
      <c r="X421" s="46" t="str">
        <f aca="false">LOOKUP($M421,Lists!$G$2:$G$5,Lists!$H$2:$H$5)</f>
        <v>₹1,000 - 1,499</v>
      </c>
      <c r="Y421" s="46" t="str">
        <f aca="false">LOOKUP($W421,Lists!$I$2:$I$7,Lists!$J$2:$J$7)</f>
        <v>0 - 2 days</v>
      </c>
    </row>
    <row r="422" customFormat="false" ht="15" hidden="false" customHeight="false" outlineLevel="0" collapsed="false">
      <c r="A422" s="7" t="n">
        <v>421</v>
      </c>
      <c r="B422" s="7" t="s">
        <v>300</v>
      </c>
      <c r="C422" s="7" t="n">
        <v>38</v>
      </c>
      <c r="D422" s="7" t="n">
        <v>4</v>
      </c>
      <c r="E422" s="77" t="n">
        <v>45146</v>
      </c>
      <c r="F422" s="78" t="n">
        <v>0.844791666666667</v>
      </c>
      <c r="G422" s="77" t="n">
        <v>45150</v>
      </c>
      <c r="H422" s="78" t="n">
        <v>0.794444444444444</v>
      </c>
      <c r="I422" s="7" t="s">
        <v>561</v>
      </c>
      <c r="J422" s="7" t="s">
        <v>31</v>
      </c>
      <c r="K422" s="79" t="str">
        <f aca="false">INDEX(Products!$B$2:$B$71,MATCH($C422,Products!$A$2:$A$71,0))</f>
        <v>Mollitia Set</v>
      </c>
      <c r="L422" s="79" t="str">
        <f aca="false">INDEX(Products!$C$2:$C$71,MATCH($C422,Products!$A$2:$A$71,0))</f>
        <v>Cake</v>
      </c>
      <c r="M422" s="80" t="n">
        <f aca="false">INDEX(Products!$D$2:$D$71,MATCH($C422,Products!$A$2:$A$71,0))</f>
        <v>562</v>
      </c>
      <c r="N422" s="80" t="n">
        <f aca="false">$D422*$M422</f>
        <v>2248</v>
      </c>
      <c r="O422" s="79" t="str">
        <f aca="false">INDEX(Customers!$C$2:$C$101,MATCH($B422,Customers!$A$2:$A$101,0))</f>
        <v>Malegaon</v>
      </c>
      <c r="P422" s="79" t="str">
        <f aca="false">INDEX(Customers!$F$2:$F$101,MATCH($B422,Customers!$A$2:$A$101,0))</f>
        <v>Female</v>
      </c>
      <c r="Q422" s="79" t="str">
        <f aca="false">INDEX(Customers!$B$2:$B$101,MATCH($B422,Customers!$A$2:$A$101,0))</f>
        <v>Eshani Buch</v>
      </c>
      <c r="R422" s="79" t="n">
        <f aca="false">MONTH($E422)</f>
        <v>8</v>
      </c>
      <c r="S422" s="79" t="str">
        <f aca="false">INDEX(Lists!$B$2:$B$13,$R422)</f>
        <v>August</v>
      </c>
      <c r="T422" s="79" t="n">
        <f aca="false">HOUR($F422)</f>
        <v>20</v>
      </c>
      <c r="U422" s="79" t="n">
        <f aca="false">WEEKDAY($E422,2)</f>
        <v>2</v>
      </c>
      <c r="V422" s="79" t="str">
        <f aca="false">INDEX(Lists!$F$2:$F$8,$U422)</f>
        <v>Tuesday</v>
      </c>
      <c r="W422" s="81" t="n">
        <f aca="false">($G422+$H422)-($E422+$F422)</f>
        <v>3.94965277777778</v>
      </c>
      <c r="X422" s="79" t="str">
        <f aca="false">LOOKUP($M422,Lists!$G$2:$G$5,Lists!$H$2:$H$5)</f>
        <v>₹500 - 999</v>
      </c>
      <c r="Y422" s="79" t="str">
        <f aca="false">LOOKUP($W422,Lists!$I$2:$I$7,Lists!$J$2:$J$7)</f>
        <v>2 - 4 days</v>
      </c>
    </row>
    <row r="423" customFormat="false" ht="15" hidden="false" customHeight="false" outlineLevel="0" collapsed="false">
      <c r="A423" s="2" t="n">
        <v>422</v>
      </c>
      <c r="B423" s="2" t="s">
        <v>236</v>
      </c>
      <c r="C423" s="2" t="n">
        <v>53</v>
      </c>
      <c r="D423" s="2" t="n">
        <v>2</v>
      </c>
      <c r="E423" s="82" t="n">
        <v>45158</v>
      </c>
      <c r="F423" s="83" t="n">
        <v>0.12775462962963</v>
      </c>
      <c r="G423" s="82" t="n">
        <v>45167</v>
      </c>
      <c r="H423" s="83" t="n">
        <v>0.170590277777778</v>
      </c>
      <c r="I423" s="2" t="s">
        <v>359</v>
      </c>
      <c r="J423" s="2" t="s">
        <v>40</v>
      </c>
      <c r="K423" s="46" t="str">
        <f aca="false">INDEX(Products!$B$2:$B$71,MATCH($C423,Products!$A$2:$A$71,0))</f>
        <v>Ipsam Set</v>
      </c>
      <c r="L423" s="46" t="str">
        <f aca="false">INDEX(Products!$C$2:$C$71,MATCH($C423,Products!$A$2:$A$71,0))</f>
        <v>Sweets</v>
      </c>
      <c r="M423" s="84" t="n">
        <f aca="false">INDEX(Products!$D$2:$D$71,MATCH($C423,Products!$A$2:$A$71,0))</f>
        <v>1672</v>
      </c>
      <c r="N423" s="84" t="n">
        <f aca="false">$D423*$M423</f>
        <v>3344</v>
      </c>
      <c r="O423" s="46" t="str">
        <f aca="false">INDEX(Customers!$C$2:$C$101,MATCH($B423,Customers!$A$2:$A$101,0))</f>
        <v>Agra</v>
      </c>
      <c r="P423" s="46" t="str">
        <f aca="false">INDEX(Customers!$F$2:$F$101,MATCH($B423,Customers!$A$2:$A$101,0))</f>
        <v>Male</v>
      </c>
      <c r="Q423" s="46" t="str">
        <f aca="false">INDEX(Customers!$B$2:$B$101,MATCH($B423,Customers!$A$2:$A$101,0))</f>
        <v>Seher Mann</v>
      </c>
      <c r="R423" s="46" t="n">
        <f aca="false">MONTH($E423)</f>
        <v>8</v>
      </c>
      <c r="S423" s="46" t="str">
        <f aca="false">INDEX(Lists!$B$2:$B$13,$R423)</f>
        <v>August</v>
      </c>
      <c r="T423" s="46" t="n">
        <f aca="false">HOUR($F423)</f>
        <v>3</v>
      </c>
      <c r="U423" s="46" t="n">
        <f aca="false">WEEKDAY($E423,2)</f>
        <v>7</v>
      </c>
      <c r="V423" s="46" t="str">
        <f aca="false">INDEX(Lists!$F$2:$F$8,$U423)</f>
        <v>Sunday</v>
      </c>
      <c r="W423" s="85" t="n">
        <f aca="false">($G423+$H423)-($E423+$F423)</f>
        <v>9.04283564814815</v>
      </c>
      <c r="X423" s="46" t="str">
        <f aca="false">LOOKUP($M423,Lists!$G$2:$G$5,Lists!$H$2:$H$5)</f>
        <v>₹1,500 - 2,000</v>
      </c>
      <c r="Y423" s="46" t="str">
        <f aca="false">LOOKUP($W423,Lists!$I$2:$I$7,Lists!$J$2:$J$7)</f>
        <v>8 - 10 days</v>
      </c>
    </row>
    <row r="424" customFormat="false" ht="15" hidden="false" customHeight="false" outlineLevel="0" collapsed="false">
      <c r="A424" s="7" t="n">
        <v>423</v>
      </c>
      <c r="B424" s="7" t="s">
        <v>303</v>
      </c>
      <c r="C424" s="7" t="n">
        <v>19</v>
      </c>
      <c r="D424" s="7" t="n">
        <v>1</v>
      </c>
      <c r="E424" s="77" t="n">
        <v>44968</v>
      </c>
      <c r="F424" s="78" t="n">
        <v>0.699282407407407</v>
      </c>
      <c r="G424" s="77" t="n">
        <v>44974</v>
      </c>
      <c r="H424" s="78" t="n">
        <v>0.00700231481481482</v>
      </c>
      <c r="I424" s="7" t="s">
        <v>147</v>
      </c>
      <c r="J424" s="7" t="s">
        <v>179</v>
      </c>
      <c r="K424" s="79" t="str">
        <f aca="false">INDEX(Products!$B$2:$B$71,MATCH($C424,Products!$A$2:$A$71,0))</f>
        <v>Iure Gift</v>
      </c>
      <c r="L424" s="79" t="str">
        <f aca="false">INDEX(Products!$C$2:$C$71,MATCH($C424,Products!$A$2:$A$71,0))</f>
        <v>Mugs</v>
      </c>
      <c r="M424" s="80" t="n">
        <f aca="false">INDEX(Products!$D$2:$D$71,MATCH($C424,Products!$A$2:$A$71,0))</f>
        <v>1234</v>
      </c>
      <c r="N424" s="80" t="n">
        <f aca="false">$D424*$M424</f>
        <v>1234</v>
      </c>
      <c r="O424" s="79" t="str">
        <f aca="false">INDEX(Customers!$C$2:$C$101,MATCH($B424,Customers!$A$2:$A$101,0))</f>
        <v>Anand</v>
      </c>
      <c r="P424" s="79" t="str">
        <f aca="false">INDEX(Customers!$F$2:$F$101,MATCH($B424,Customers!$A$2:$A$101,0))</f>
        <v>Male</v>
      </c>
      <c r="Q424" s="79" t="str">
        <f aca="false">INDEX(Customers!$B$2:$B$101,MATCH($B424,Customers!$A$2:$A$101,0))</f>
        <v>Eva Sankaran</v>
      </c>
      <c r="R424" s="79" t="n">
        <f aca="false">MONTH($E424)</f>
        <v>2</v>
      </c>
      <c r="S424" s="79" t="str">
        <f aca="false">INDEX(Lists!$B$2:$B$13,$R424)</f>
        <v>February</v>
      </c>
      <c r="T424" s="79" t="n">
        <f aca="false">HOUR($F424)</f>
        <v>16</v>
      </c>
      <c r="U424" s="79" t="n">
        <f aca="false">WEEKDAY($E424,2)</f>
        <v>6</v>
      </c>
      <c r="V424" s="79" t="str">
        <f aca="false">INDEX(Lists!$F$2:$F$8,$U424)</f>
        <v>Saturday</v>
      </c>
      <c r="W424" s="81" t="n">
        <f aca="false">($G424+$H424)-($E424+$F424)</f>
        <v>5.30771990740741</v>
      </c>
      <c r="X424" s="79" t="str">
        <f aca="false">LOOKUP($M424,Lists!$G$2:$G$5,Lists!$H$2:$H$5)</f>
        <v>₹1,000 - 1,499</v>
      </c>
      <c r="Y424" s="79" t="str">
        <f aca="false">LOOKUP($W424,Lists!$I$2:$I$7,Lists!$J$2:$J$7)</f>
        <v>4 - 6 days</v>
      </c>
    </row>
    <row r="425" customFormat="false" ht="15" hidden="false" customHeight="false" outlineLevel="0" collapsed="false">
      <c r="A425" s="2" t="n">
        <v>424</v>
      </c>
      <c r="B425" s="2" t="s">
        <v>316</v>
      </c>
      <c r="C425" s="2" t="n">
        <v>7</v>
      </c>
      <c r="D425" s="2" t="n">
        <v>4</v>
      </c>
      <c r="E425" s="82" t="n">
        <v>44986</v>
      </c>
      <c r="F425" s="83" t="n">
        <v>0.128425925925926</v>
      </c>
      <c r="G425" s="82" t="n">
        <v>44994</v>
      </c>
      <c r="H425" s="83" t="n">
        <v>0.435451388888889</v>
      </c>
      <c r="I425" s="2" t="s">
        <v>459</v>
      </c>
      <c r="J425" s="2" t="s">
        <v>33</v>
      </c>
      <c r="K425" s="46" t="str">
        <f aca="false">INDEX(Products!$B$2:$B$71,MATCH($C425,Products!$A$2:$A$71,0))</f>
        <v>Quos Set</v>
      </c>
      <c r="L425" s="46" t="str">
        <f aca="false">INDEX(Products!$C$2:$C$71,MATCH($C425,Products!$A$2:$A$71,0))</f>
        <v>Soft Toys</v>
      </c>
      <c r="M425" s="84" t="n">
        <f aca="false">INDEX(Products!$D$2:$D$71,MATCH($C425,Products!$A$2:$A$71,0))</f>
        <v>409</v>
      </c>
      <c r="N425" s="84" t="n">
        <f aca="false">$D425*$M425</f>
        <v>1636</v>
      </c>
      <c r="O425" s="46" t="str">
        <f aca="false">INDEX(Customers!$C$2:$C$101,MATCH($B425,Customers!$A$2:$A$101,0))</f>
        <v>Hyderabad</v>
      </c>
      <c r="P425" s="46" t="str">
        <f aca="false">INDEX(Customers!$F$2:$F$101,MATCH($B425,Customers!$A$2:$A$101,0))</f>
        <v>Male</v>
      </c>
      <c r="Q425" s="46" t="str">
        <f aca="false">INDEX(Customers!$B$2:$B$101,MATCH($B425,Customers!$A$2:$A$101,0))</f>
        <v>Charvi Karnik</v>
      </c>
      <c r="R425" s="46" t="n">
        <f aca="false">MONTH($E425)</f>
        <v>3</v>
      </c>
      <c r="S425" s="46" t="str">
        <f aca="false">INDEX(Lists!$B$2:$B$13,$R425)</f>
        <v>March</v>
      </c>
      <c r="T425" s="46" t="n">
        <f aca="false">HOUR($F425)</f>
        <v>3</v>
      </c>
      <c r="U425" s="46" t="n">
        <f aca="false">WEEKDAY($E425,2)</f>
        <v>3</v>
      </c>
      <c r="V425" s="46" t="str">
        <f aca="false">INDEX(Lists!$F$2:$F$8,$U425)</f>
        <v>Wednesday</v>
      </c>
      <c r="W425" s="85" t="n">
        <f aca="false">($G425+$H425)-($E425+$F425)</f>
        <v>8.30702546296296</v>
      </c>
      <c r="X425" s="46" t="str">
        <f aca="false">LOOKUP($M425,Lists!$G$2:$G$5,Lists!$H$2:$H$5)</f>
        <v>₹0 - 499</v>
      </c>
      <c r="Y425" s="46" t="str">
        <f aca="false">LOOKUP($W425,Lists!$I$2:$I$7,Lists!$J$2:$J$7)</f>
        <v>8 - 10 days</v>
      </c>
    </row>
    <row r="426" customFormat="false" ht="15" hidden="false" customHeight="false" outlineLevel="0" collapsed="false">
      <c r="A426" s="7" t="n">
        <v>425</v>
      </c>
      <c r="B426" s="7" t="s">
        <v>313</v>
      </c>
      <c r="C426" s="7" t="n">
        <v>56</v>
      </c>
      <c r="D426" s="7" t="n">
        <v>1</v>
      </c>
      <c r="E426" s="77" t="n">
        <v>45199</v>
      </c>
      <c r="F426" s="78" t="n">
        <v>0.00145833333333333</v>
      </c>
      <c r="G426" s="77" t="n">
        <v>45208</v>
      </c>
      <c r="H426" s="78" t="n">
        <v>0.957962962962963</v>
      </c>
      <c r="I426" s="7" t="s">
        <v>513</v>
      </c>
      <c r="J426" s="7" t="s">
        <v>168</v>
      </c>
      <c r="K426" s="79" t="str">
        <f aca="false">INDEX(Products!$B$2:$B$71,MATCH($C426,Products!$A$2:$A$71,0))</f>
        <v>Quia Gift</v>
      </c>
      <c r="L426" s="79" t="str">
        <f aca="false">INDEX(Products!$C$2:$C$71,MATCH($C426,Products!$A$2:$A$71,0))</f>
        <v>Raksha Bandhan</v>
      </c>
      <c r="M426" s="80" t="n">
        <f aca="false">INDEX(Products!$D$2:$D$71,MATCH($C426,Products!$A$2:$A$71,0))</f>
        <v>1272</v>
      </c>
      <c r="N426" s="80" t="n">
        <f aca="false">$D426*$M426</f>
        <v>1272</v>
      </c>
      <c r="O426" s="79" t="str">
        <f aca="false">INDEX(Customers!$C$2:$C$101,MATCH($B426,Customers!$A$2:$A$101,0))</f>
        <v>Tiruppur</v>
      </c>
      <c r="P426" s="79" t="str">
        <f aca="false">INDEX(Customers!$F$2:$F$101,MATCH($B426,Customers!$A$2:$A$101,0))</f>
        <v>Male</v>
      </c>
      <c r="Q426" s="79" t="str">
        <f aca="false">INDEX(Customers!$B$2:$B$101,MATCH($B426,Customers!$A$2:$A$101,0))</f>
        <v>Purab Sheth</v>
      </c>
      <c r="R426" s="79" t="n">
        <f aca="false">MONTH($E426)</f>
        <v>9</v>
      </c>
      <c r="S426" s="79" t="str">
        <f aca="false">INDEX(Lists!$B$2:$B$13,$R426)</f>
        <v>September</v>
      </c>
      <c r="T426" s="79" t="n">
        <f aca="false">HOUR($F426)</f>
        <v>0</v>
      </c>
      <c r="U426" s="79" t="n">
        <f aca="false">WEEKDAY($E426,2)</f>
        <v>6</v>
      </c>
      <c r="V426" s="79" t="str">
        <f aca="false">INDEX(Lists!$F$2:$F$8,$U426)</f>
        <v>Saturday</v>
      </c>
      <c r="W426" s="81" t="n">
        <f aca="false">($G426+$H426)-($E426+$F426)</f>
        <v>9.95650462962963</v>
      </c>
      <c r="X426" s="79" t="str">
        <f aca="false">LOOKUP($M426,Lists!$G$2:$G$5,Lists!$H$2:$H$5)</f>
        <v>₹1,000 - 1,499</v>
      </c>
      <c r="Y426" s="79" t="str">
        <f aca="false">LOOKUP($W426,Lists!$I$2:$I$7,Lists!$J$2:$J$7)</f>
        <v>8 - 10 days</v>
      </c>
    </row>
    <row r="427" customFormat="false" ht="15" hidden="false" customHeight="false" outlineLevel="0" collapsed="false">
      <c r="A427" s="2" t="n">
        <v>426</v>
      </c>
      <c r="B427" s="2" t="s">
        <v>319</v>
      </c>
      <c r="C427" s="2" t="n">
        <v>2</v>
      </c>
      <c r="D427" s="2" t="n">
        <v>2</v>
      </c>
      <c r="E427" s="82" t="n">
        <v>44970</v>
      </c>
      <c r="F427" s="83" t="n">
        <v>0.958263888888889</v>
      </c>
      <c r="G427" s="82" t="n">
        <v>44974</v>
      </c>
      <c r="H427" s="83" t="n">
        <v>0.577083333333333</v>
      </c>
      <c r="I427" s="2" t="s">
        <v>456</v>
      </c>
      <c r="J427" s="2" t="s">
        <v>179</v>
      </c>
      <c r="K427" s="46" t="str">
        <f aca="false">INDEX(Products!$B$2:$B$71,MATCH($C427,Products!$A$2:$A$71,0))</f>
        <v>Voluptas Box</v>
      </c>
      <c r="L427" s="46" t="str">
        <f aca="false">INDEX(Products!$C$2:$C$71,MATCH($C427,Products!$A$2:$A$71,0))</f>
        <v>Plants</v>
      </c>
      <c r="M427" s="84" t="n">
        <f aca="false">INDEX(Products!$D$2:$D$71,MATCH($C427,Products!$A$2:$A$71,0))</f>
        <v>441</v>
      </c>
      <c r="N427" s="84" t="n">
        <f aca="false">$D427*$M427</f>
        <v>882</v>
      </c>
      <c r="O427" s="46" t="str">
        <f aca="false">INDEX(Customers!$C$2:$C$101,MATCH($B427,Customers!$A$2:$A$101,0))</f>
        <v>Parbhani</v>
      </c>
      <c r="P427" s="46" t="str">
        <f aca="false">INDEX(Customers!$F$2:$F$101,MATCH($B427,Customers!$A$2:$A$101,0))</f>
        <v>Male</v>
      </c>
      <c r="Q427" s="46" t="str">
        <f aca="false">INDEX(Customers!$B$2:$B$101,MATCH($B427,Customers!$A$2:$A$101,0))</f>
        <v>Zeeshan Tailor</v>
      </c>
      <c r="R427" s="46" t="n">
        <f aca="false">MONTH($E427)</f>
        <v>2</v>
      </c>
      <c r="S427" s="46" t="str">
        <f aca="false">INDEX(Lists!$B$2:$B$13,$R427)</f>
        <v>February</v>
      </c>
      <c r="T427" s="46" t="n">
        <f aca="false">HOUR($F427)</f>
        <v>22</v>
      </c>
      <c r="U427" s="46" t="n">
        <f aca="false">WEEKDAY($E427,2)</f>
        <v>1</v>
      </c>
      <c r="V427" s="46" t="str">
        <f aca="false">INDEX(Lists!$F$2:$F$8,$U427)</f>
        <v>Monday</v>
      </c>
      <c r="W427" s="85" t="n">
        <f aca="false">($G427+$H427)-($E427+$F427)</f>
        <v>3.61881944444444</v>
      </c>
      <c r="X427" s="46" t="str">
        <f aca="false">LOOKUP($M427,Lists!$G$2:$G$5,Lists!$H$2:$H$5)</f>
        <v>₹0 - 499</v>
      </c>
      <c r="Y427" s="46" t="str">
        <f aca="false">LOOKUP($W427,Lists!$I$2:$I$7,Lists!$J$2:$J$7)</f>
        <v>2 - 4 days</v>
      </c>
    </row>
    <row r="428" customFormat="false" ht="15" hidden="false" customHeight="false" outlineLevel="0" collapsed="false">
      <c r="A428" s="7" t="n">
        <v>427</v>
      </c>
      <c r="B428" s="7" t="s">
        <v>230</v>
      </c>
      <c r="C428" s="7" t="n">
        <v>48</v>
      </c>
      <c r="D428" s="7" t="n">
        <v>5</v>
      </c>
      <c r="E428" s="77" t="n">
        <v>45233</v>
      </c>
      <c r="F428" s="78" t="n">
        <v>0.330925925925926</v>
      </c>
      <c r="G428" s="77" t="n">
        <v>45243</v>
      </c>
      <c r="H428" s="78" t="n">
        <v>0.94875</v>
      </c>
      <c r="I428" s="7" t="s">
        <v>395</v>
      </c>
      <c r="J428" s="7" t="s">
        <v>32</v>
      </c>
      <c r="K428" s="79" t="str">
        <f aca="false">INDEX(Products!$B$2:$B$71,MATCH($C428,Products!$A$2:$A$71,0))</f>
        <v>Maiores Gift</v>
      </c>
      <c r="L428" s="79" t="str">
        <f aca="false">INDEX(Products!$C$2:$C$71,MATCH($C428,Products!$A$2:$A$71,0))</f>
        <v>Colors</v>
      </c>
      <c r="M428" s="80" t="n">
        <f aca="false">INDEX(Products!$D$2:$D$71,MATCH($C428,Products!$A$2:$A$71,0))</f>
        <v>433</v>
      </c>
      <c r="N428" s="80" t="n">
        <f aca="false">$D428*$M428</f>
        <v>2165</v>
      </c>
      <c r="O428" s="79" t="str">
        <f aca="false">INDEX(Customers!$C$2:$C$101,MATCH($B428,Customers!$A$2:$A$101,0))</f>
        <v>Ajmer</v>
      </c>
      <c r="P428" s="79" t="str">
        <f aca="false">INDEX(Customers!$F$2:$F$101,MATCH($B428,Customers!$A$2:$A$101,0))</f>
        <v>Male</v>
      </c>
      <c r="Q428" s="79" t="str">
        <f aca="false">INDEX(Customers!$B$2:$B$101,MATCH($B428,Customers!$A$2:$A$101,0))</f>
        <v>Eshani Sharma</v>
      </c>
      <c r="R428" s="79" t="n">
        <f aca="false">MONTH($E428)</f>
        <v>11</v>
      </c>
      <c r="S428" s="79" t="str">
        <f aca="false">INDEX(Lists!$B$2:$B$13,$R428)</f>
        <v>November</v>
      </c>
      <c r="T428" s="79" t="n">
        <f aca="false">HOUR($F428)</f>
        <v>7</v>
      </c>
      <c r="U428" s="79" t="n">
        <f aca="false">WEEKDAY($E428,2)</f>
        <v>5</v>
      </c>
      <c r="V428" s="79" t="str">
        <f aca="false">INDEX(Lists!$F$2:$F$8,$U428)</f>
        <v>Friday</v>
      </c>
      <c r="W428" s="81" t="n">
        <f aca="false">($G428+$H428)-($E428+$F428)</f>
        <v>10.6178240740741</v>
      </c>
      <c r="X428" s="79" t="str">
        <f aca="false">LOOKUP($M428,Lists!$G$2:$G$5,Lists!$H$2:$H$5)</f>
        <v>₹0 - 499</v>
      </c>
      <c r="Y428" s="79" t="str">
        <f aca="false">LOOKUP($W428,Lists!$I$2:$I$7,Lists!$J$2:$J$7)</f>
        <v>Over 10 days</v>
      </c>
    </row>
    <row r="429" customFormat="false" ht="15" hidden="false" customHeight="false" outlineLevel="0" collapsed="false">
      <c r="A429" s="2" t="n">
        <v>428</v>
      </c>
      <c r="B429" s="2" t="s">
        <v>218</v>
      </c>
      <c r="C429" s="2" t="n">
        <v>10</v>
      </c>
      <c r="D429" s="2" t="n">
        <v>2</v>
      </c>
      <c r="E429" s="82" t="n">
        <v>45266</v>
      </c>
      <c r="F429" s="83" t="n">
        <v>0.147662037037037</v>
      </c>
      <c r="G429" s="82" t="n">
        <v>45272</v>
      </c>
      <c r="H429" s="83" t="n">
        <v>0.817372685185185</v>
      </c>
      <c r="I429" s="2" t="s">
        <v>457</v>
      </c>
      <c r="J429" s="2" t="s">
        <v>31</v>
      </c>
      <c r="K429" s="46" t="str">
        <f aca="false">INDEX(Products!$B$2:$B$71,MATCH($C429,Products!$A$2:$A$71,0))</f>
        <v>Accusantium Gift</v>
      </c>
      <c r="L429" s="46" t="str">
        <f aca="false">INDEX(Products!$C$2:$C$71,MATCH($C429,Products!$A$2:$A$71,0))</f>
        <v>Cake</v>
      </c>
      <c r="M429" s="84" t="n">
        <f aca="false">INDEX(Products!$D$2:$D$71,MATCH($C429,Products!$A$2:$A$71,0))</f>
        <v>259</v>
      </c>
      <c r="N429" s="84" t="n">
        <f aca="false">$D429*$M429</f>
        <v>518</v>
      </c>
      <c r="O429" s="46" t="str">
        <f aca="false">INDEX(Customers!$C$2:$C$101,MATCH($B429,Customers!$A$2:$A$101,0))</f>
        <v>Aizawl</v>
      </c>
      <c r="P429" s="46" t="str">
        <f aca="false">INDEX(Customers!$F$2:$F$101,MATCH($B429,Customers!$A$2:$A$101,0))</f>
        <v>Female</v>
      </c>
      <c r="Q429" s="46" t="str">
        <f aca="false">INDEX(Customers!$B$2:$B$101,MATCH($B429,Customers!$A$2:$A$101,0))</f>
        <v>Yakshit Shah</v>
      </c>
      <c r="R429" s="46" t="n">
        <f aca="false">MONTH($E429)</f>
        <v>12</v>
      </c>
      <c r="S429" s="46" t="str">
        <f aca="false">INDEX(Lists!$B$2:$B$13,$R429)</f>
        <v>December</v>
      </c>
      <c r="T429" s="46" t="n">
        <f aca="false">HOUR($F429)</f>
        <v>3</v>
      </c>
      <c r="U429" s="46" t="n">
        <f aca="false">WEEKDAY($E429,2)</f>
        <v>3</v>
      </c>
      <c r="V429" s="46" t="str">
        <f aca="false">INDEX(Lists!$F$2:$F$8,$U429)</f>
        <v>Wednesday</v>
      </c>
      <c r="W429" s="85" t="n">
        <f aca="false">($G429+$H429)-($E429+$F429)</f>
        <v>6.66971064814815</v>
      </c>
      <c r="X429" s="46" t="str">
        <f aca="false">LOOKUP($M429,Lists!$G$2:$G$5,Lists!$H$2:$H$5)</f>
        <v>₹0 - 499</v>
      </c>
      <c r="Y429" s="46" t="str">
        <f aca="false">LOOKUP($W429,Lists!$I$2:$I$7,Lists!$J$2:$J$7)</f>
        <v>6 - 8 days</v>
      </c>
    </row>
    <row r="430" customFormat="false" ht="15" hidden="false" customHeight="false" outlineLevel="0" collapsed="false">
      <c r="A430" s="7" t="n">
        <v>429</v>
      </c>
      <c r="B430" s="7" t="s">
        <v>142</v>
      </c>
      <c r="C430" s="7" t="n">
        <v>9</v>
      </c>
      <c r="D430" s="7" t="n">
        <v>5</v>
      </c>
      <c r="E430" s="77" t="n">
        <v>45160</v>
      </c>
      <c r="F430" s="78" t="n">
        <v>0.949270833333333</v>
      </c>
      <c r="G430" s="77" t="n">
        <v>45169</v>
      </c>
      <c r="H430" s="78" t="n">
        <v>0.530462962962963</v>
      </c>
      <c r="I430" s="7" t="s">
        <v>191</v>
      </c>
      <c r="J430" s="7" t="s">
        <v>40</v>
      </c>
      <c r="K430" s="79" t="str">
        <f aca="false">INDEX(Products!$B$2:$B$71,MATCH($C430,Products!$A$2:$A$71,0))</f>
        <v>Aperiam Box</v>
      </c>
      <c r="L430" s="79" t="str">
        <f aca="false">INDEX(Products!$C$2:$C$71,MATCH($C430,Products!$A$2:$A$71,0))</f>
        <v>Colors</v>
      </c>
      <c r="M430" s="80" t="n">
        <f aca="false">INDEX(Products!$D$2:$D$71,MATCH($C430,Products!$A$2:$A$71,0))</f>
        <v>1605</v>
      </c>
      <c r="N430" s="80" t="n">
        <f aca="false">$D430*$M430</f>
        <v>8025</v>
      </c>
      <c r="O430" s="79" t="str">
        <f aca="false">INDEX(Customers!$C$2:$C$101,MATCH($B430,Customers!$A$2:$A$101,0))</f>
        <v>Berhampore</v>
      </c>
      <c r="P430" s="79" t="str">
        <f aca="false">INDEX(Customers!$F$2:$F$101,MATCH($B430,Customers!$A$2:$A$101,0))</f>
        <v>Male</v>
      </c>
      <c r="Q430" s="79" t="str">
        <f aca="false">INDEX(Customers!$B$2:$B$101,MATCH($B430,Customers!$A$2:$A$101,0))</f>
        <v>Jayant Kamdar</v>
      </c>
      <c r="R430" s="79" t="n">
        <f aca="false">MONTH($E430)</f>
        <v>8</v>
      </c>
      <c r="S430" s="79" t="str">
        <f aca="false">INDEX(Lists!$B$2:$B$13,$R430)</f>
        <v>August</v>
      </c>
      <c r="T430" s="79" t="n">
        <f aca="false">HOUR($F430)</f>
        <v>22</v>
      </c>
      <c r="U430" s="79" t="n">
        <f aca="false">WEEKDAY($E430,2)</f>
        <v>2</v>
      </c>
      <c r="V430" s="79" t="str">
        <f aca="false">INDEX(Lists!$F$2:$F$8,$U430)</f>
        <v>Tuesday</v>
      </c>
      <c r="W430" s="81" t="n">
        <f aca="false">($G430+$H430)-($E430+$F430)</f>
        <v>8.58119212962963</v>
      </c>
      <c r="X430" s="79" t="str">
        <f aca="false">LOOKUP($M430,Lists!$G$2:$G$5,Lists!$H$2:$H$5)</f>
        <v>₹1,500 - 2,000</v>
      </c>
      <c r="Y430" s="79" t="str">
        <f aca="false">LOOKUP($W430,Lists!$I$2:$I$7,Lists!$J$2:$J$7)</f>
        <v>8 - 10 days</v>
      </c>
    </row>
    <row r="431" customFormat="false" ht="15" hidden="false" customHeight="false" outlineLevel="0" collapsed="false">
      <c r="A431" s="2" t="n">
        <v>430</v>
      </c>
      <c r="B431" s="2" t="s">
        <v>239</v>
      </c>
      <c r="C431" s="2" t="n">
        <v>27</v>
      </c>
      <c r="D431" s="2" t="n">
        <v>2</v>
      </c>
      <c r="E431" s="82" t="n">
        <v>45165</v>
      </c>
      <c r="F431" s="83" t="n">
        <v>0.305902777777778</v>
      </c>
      <c r="G431" s="82" t="n">
        <v>45169</v>
      </c>
      <c r="H431" s="83" t="n">
        <v>0.41912037037037</v>
      </c>
      <c r="I431" s="2" t="s">
        <v>549</v>
      </c>
      <c r="J431" s="2" t="s">
        <v>40</v>
      </c>
      <c r="K431" s="46" t="str">
        <f aca="false">INDEX(Products!$B$2:$B$71,MATCH($C431,Products!$A$2:$A$71,0))</f>
        <v>Architecto Gift</v>
      </c>
      <c r="L431" s="46" t="str">
        <f aca="false">INDEX(Products!$C$2:$C$71,MATCH($C431,Products!$A$2:$A$71,0))</f>
        <v>Cake</v>
      </c>
      <c r="M431" s="84" t="n">
        <f aca="false">INDEX(Products!$D$2:$D$71,MATCH($C431,Products!$A$2:$A$71,0))</f>
        <v>548</v>
      </c>
      <c r="N431" s="84" t="n">
        <f aca="false">$D431*$M431</f>
        <v>1096</v>
      </c>
      <c r="O431" s="46" t="str">
        <f aca="false">INDEX(Customers!$C$2:$C$101,MATCH($B431,Customers!$A$2:$A$101,0))</f>
        <v>Maheshtala</v>
      </c>
      <c r="P431" s="46" t="str">
        <f aca="false">INDEX(Customers!$F$2:$F$101,MATCH($B431,Customers!$A$2:$A$101,0))</f>
        <v>Female</v>
      </c>
      <c r="Q431" s="46" t="str">
        <f aca="false">INDEX(Customers!$B$2:$B$101,MATCH($B431,Customers!$A$2:$A$101,0))</f>
        <v>Divit Mahajan</v>
      </c>
      <c r="R431" s="46" t="n">
        <f aca="false">MONTH($E431)</f>
        <v>8</v>
      </c>
      <c r="S431" s="46" t="str">
        <f aca="false">INDEX(Lists!$B$2:$B$13,$R431)</f>
        <v>August</v>
      </c>
      <c r="T431" s="46" t="n">
        <f aca="false">HOUR($F431)</f>
        <v>7</v>
      </c>
      <c r="U431" s="46" t="n">
        <f aca="false">WEEKDAY($E431,2)</f>
        <v>7</v>
      </c>
      <c r="V431" s="46" t="str">
        <f aca="false">INDEX(Lists!$F$2:$F$8,$U431)</f>
        <v>Sunday</v>
      </c>
      <c r="W431" s="85" t="n">
        <f aca="false">($G431+$H431)-($E431+$F431)</f>
        <v>4.11321759259259</v>
      </c>
      <c r="X431" s="46" t="str">
        <f aca="false">LOOKUP($M431,Lists!$G$2:$G$5,Lists!$H$2:$H$5)</f>
        <v>₹500 - 999</v>
      </c>
      <c r="Y431" s="46" t="str">
        <f aca="false">LOOKUP($W431,Lists!$I$2:$I$7,Lists!$J$2:$J$7)</f>
        <v>4 - 6 days</v>
      </c>
    </row>
    <row r="432" customFormat="false" ht="15" hidden="false" customHeight="false" outlineLevel="0" collapsed="false">
      <c r="A432" s="7" t="n">
        <v>431</v>
      </c>
      <c r="B432" s="7" t="s">
        <v>275</v>
      </c>
      <c r="C432" s="7" t="n">
        <v>1</v>
      </c>
      <c r="D432" s="7" t="n">
        <v>4</v>
      </c>
      <c r="E432" s="77" t="n">
        <v>45273</v>
      </c>
      <c r="F432" s="78" t="n">
        <v>0.80119212962963</v>
      </c>
      <c r="G432" s="77" t="n">
        <v>45279</v>
      </c>
      <c r="H432" s="78" t="n">
        <v>0.876666666666667</v>
      </c>
      <c r="I432" s="7" t="s">
        <v>603</v>
      </c>
      <c r="J432" s="7" t="s">
        <v>165</v>
      </c>
      <c r="K432" s="79" t="str">
        <f aca="false">INDEX(Products!$B$2:$B$71,MATCH($C432,Products!$A$2:$A$71,0))</f>
        <v>Magnam Set</v>
      </c>
      <c r="L432" s="79" t="str">
        <f aca="false">INDEX(Products!$C$2:$C$71,MATCH($C432,Products!$A$2:$A$71,0))</f>
        <v>Soft Toys</v>
      </c>
      <c r="M432" s="80" t="n">
        <f aca="false">INDEX(Products!$D$2:$D$71,MATCH($C432,Products!$A$2:$A$71,0))</f>
        <v>1935</v>
      </c>
      <c r="N432" s="80" t="n">
        <f aca="false">$D432*$M432</f>
        <v>7740</v>
      </c>
      <c r="O432" s="79" t="str">
        <f aca="false">INDEX(Customers!$C$2:$C$101,MATCH($B432,Customers!$A$2:$A$101,0))</f>
        <v>Delhi</v>
      </c>
      <c r="P432" s="79" t="str">
        <f aca="false">INDEX(Customers!$F$2:$F$101,MATCH($B432,Customers!$A$2:$A$101,0))</f>
        <v>Female</v>
      </c>
      <c r="Q432" s="79" t="str">
        <f aca="false">INDEX(Customers!$B$2:$B$101,MATCH($B432,Customers!$A$2:$A$101,0))</f>
        <v>Zain Hegde</v>
      </c>
      <c r="R432" s="79" t="n">
        <f aca="false">MONTH($E432)</f>
        <v>12</v>
      </c>
      <c r="S432" s="79" t="str">
        <f aca="false">INDEX(Lists!$B$2:$B$13,$R432)</f>
        <v>December</v>
      </c>
      <c r="T432" s="79" t="n">
        <f aca="false">HOUR($F432)</f>
        <v>19</v>
      </c>
      <c r="U432" s="79" t="n">
        <f aca="false">WEEKDAY($E432,2)</f>
        <v>3</v>
      </c>
      <c r="V432" s="79" t="str">
        <f aca="false">INDEX(Lists!$F$2:$F$8,$U432)</f>
        <v>Wednesday</v>
      </c>
      <c r="W432" s="81" t="n">
        <f aca="false">($G432+$H432)-($E432+$F432)</f>
        <v>6.07547453703704</v>
      </c>
      <c r="X432" s="79" t="str">
        <f aca="false">LOOKUP($M432,Lists!$G$2:$G$5,Lists!$H$2:$H$5)</f>
        <v>₹1,500 - 2,000</v>
      </c>
      <c r="Y432" s="79" t="str">
        <f aca="false">LOOKUP($W432,Lists!$I$2:$I$7,Lists!$J$2:$J$7)</f>
        <v>6 - 8 days</v>
      </c>
    </row>
    <row r="433" customFormat="false" ht="15" hidden="false" customHeight="false" outlineLevel="0" collapsed="false">
      <c r="A433" s="2" t="n">
        <v>432</v>
      </c>
      <c r="B433" s="2" t="s">
        <v>372</v>
      </c>
      <c r="C433" s="2" t="n">
        <v>12</v>
      </c>
      <c r="D433" s="2" t="n">
        <v>4</v>
      </c>
      <c r="E433" s="82" t="n">
        <v>44931</v>
      </c>
      <c r="F433" s="83" t="n">
        <v>0.5065625</v>
      </c>
      <c r="G433" s="82" t="n">
        <v>44939</v>
      </c>
      <c r="H433" s="83" t="n">
        <v>0.819884259259259</v>
      </c>
      <c r="I433" s="2" t="s">
        <v>193</v>
      </c>
      <c r="J433" s="2" t="s">
        <v>168</v>
      </c>
      <c r="K433" s="46" t="str">
        <f aca="false">INDEX(Products!$B$2:$B$71,MATCH($C433,Products!$A$2:$A$71,0))</f>
        <v>Non Set</v>
      </c>
      <c r="L433" s="46" t="str">
        <f aca="false">INDEX(Products!$C$2:$C$71,MATCH($C433,Products!$A$2:$A$71,0))</f>
        <v>Plants</v>
      </c>
      <c r="M433" s="84" t="n">
        <f aca="false">INDEX(Products!$D$2:$D$71,MATCH($C433,Products!$A$2:$A$71,0))</f>
        <v>672</v>
      </c>
      <c r="N433" s="84" t="n">
        <f aca="false">$D433*$M433</f>
        <v>2688</v>
      </c>
      <c r="O433" s="46" t="str">
        <f aca="false">INDEX(Customers!$C$2:$C$101,MATCH($B433,Customers!$A$2:$A$101,0))</f>
        <v>Dibrugarh</v>
      </c>
      <c r="P433" s="46" t="str">
        <f aca="false">INDEX(Customers!$F$2:$F$101,MATCH($B433,Customers!$A$2:$A$101,0))</f>
        <v>Male</v>
      </c>
      <c r="Q433" s="46" t="str">
        <f aca="false">INDEX(Customers!$B$2:$B$101,MATCH($B433,Customers!$A$2:$A$101,0))</f>
        <v>Zoya Mani</v>
      </c>
      <c r="R433" s="46" t="n">
        <f aca="false">MONTH($E433)</f>
        <v>1</v>
      </c>
      <c r="S433" s="46" t="str">
        <f aca="false">INDEX(Lists!$B$2:$B$13,$R433)</f>
        <v>January</v>
      </c>
      <c r="T433" s="46" t="n">
        <f aca="false">HOUR($F433)</f>
        <v>12</v>
      </c>
      <c r="U433" s="46" t="n">
        <f aca="false">WEEKDAY($E433,2)</f>
        <v>4</v>
      </c>
      <c r="V433" s="46" t="str">
        <f aca="false">INDEX(Lists!$F$2:$F$8,$U433)</f>
        <v>Thursday</v>
      </c>
      <c r="W433" s="85" t="n">
        <f aca="false">($G433+$H433)-($E433+$F433)</f>
        <v>8.31332175925926</v>
      </c>
      <c r="X433" s="46" t="str">
        <f aca="false">LOOKUP($M433,Lists!$G$2:$G$5,Lists!$H$2:$H$5)</f>
        <v>₹500 - 999</v>
      </c>
      <c r="Y433" s="46" t="str">
        <f aca="false">LOOKUP($W433,Lists!$I$2:$I$7,Lists!$J$2:$J$7)</f>
        <v>8 - 10 days</v>
      </c>
    </row>
    <row r="434" customFormat="false" ht="15" hidden="false" customHeight="false" outlineLevel="0" collapsed="false">
      <c r="A434" s="7" t="n">
        <v>433</v>
      </c>
      <c r="B434" s="7" t="s">
        <v>306</v>
      </c>
      <c r="C434" s="7" t="n">
        <v>7</v>
      </c>
      <c r="D434" s="7" t="n">
        <v>5</v>
      </c>
      <c r="E434" s="77" t="n">
        <v>44983</v>
      </c>
      <c r="F434" s="78" t="n">
        <v>0.981840277777778</v>
      </c>
      <c r="G434" s="77" t="n">
        <v>44987</v>
      </c>
      <c r="H434" s="78" t="n">
        <v>0.180509259259259</v>
      </c>
      <c r="I434" s="7" t="s">
        <v>169</v>
      </c>
      <c r="J434" s="7" t="s">
        <v>33</v>
      </c>
      <c r="K434" s="79" t="str">
        <f aca="false">INDEX(Products!$B$2:$B$71,MATCH($C434,Products!$A$2:$A$71,0))</f>
        <v>Quos Set</v>
      </c>
      <c r="L434" s="79" t="str">
        <f aca="false">INDEX(Products!$C$2:$C$71,MATCH($C434,Products!$A$2:$A$71,0))</f>
        <v>Soft Toys</v>
      </c>
      <c r="M434" s="80" t="n">
        <f aca="false">INDEX(Products!$D$2:$D$71,MATCH($C434,Products!$A$2:$A$71,0))</f>
        <v>409</v>
      </c>
      <c r="N434" s="80" t="n">
        <f aca="false">$D434*$M434</f>
        <v>2045</v>
      </c>
      <c r="O434" s="79" t="str">
        <f aca="false">INDEX(Customers!$C$2:$C$101,MATCH($B434,Customers!$A$2:$A$101,0))</f>
        <v>Kalyan-Dombivli</v>
      </c>
      <c r="P434" s="79" t="str">
        <f aca="false">INDEX(Customers!$F$2:$F$101,MATCH($B434,Customers!$A$2:$A$101,0))</f>
        <v>Male</v>
      </c>
      <c r="Q434" s="79" t="str">
        <f aca="false">INDEX(Customers!$B$2:$B$101,MATCH($B434,Customers!$A$2:$A$101,0))</f>
        <v>Ritvik Garde</v>
      </c>
      <c r="R434" s="79" t="n">
        <f aca="false">MONTH($E434)</f>
        <v>2</v>
      </c>
      <c r="S434" s="79" t="str">
        <f aca="false">INDEX(Lists!$B$2:$B$13,$R434)</f>
        <v>February</v>
      </c>
      <c r="T434" s="79" t="n">
        <f aca="false">HOUR($F434)</f>
        <v>23</v>
      </c>
      <c r="U434" s="79" t="n">
        <f aca="false">WEEKDAY($E434,2)</f>
        <v>7</v>
      </c>
      <c r="V434" s="79" t="str">
        <f aca="false">INDEX(Lists!$F$2:$F$8,$U434)</f>
        <v>Sunday</v>
      </c>
      <c r="W434" s="81" t="n">
        <f aca="false">($G434+$H434)-($E434+$F434)</f>
        <v>3.19866898148148</v>
      </c>
      <c r="X434" s="79" t="str">
        <f aca="false">LOOKUP($M434,Lists!$G$2:$G$5,Lists!$H$2:$H$5)</f>
        <v>₹0 - 499</v>
      </c>
      <c r="Y434" s="79" t="str">
        <f aca="false">LOOKUP($W434,Lists!$I$2:$I$7,Lists!$J$2:$J$7)</f>
        <v>2 - 4 days</v>
      </c>
    </row>
    <row r="435" customFormat="false" ht="15" hidden="false" customHeight="false" outlineLevel="0" collapsed="false">
      <c r="A435" s="2" t="n">
        <v>434</v>
      </c>
      <c r="B435" s="2" t="s">
        <v>176</v>
      </c>
      <c r="C435" s="2" t="n">
        <v>51</v>
      </c>
      <c r="D435" s="2" t="n">
        <v>4</v>
      </c>
      <c r="E435" s="82" t="n">
        <v>45258</v>
      </c>
      <c r="F435" s="83" t="n">
        <v>0.307708333333333</v>
      </c>
      <c r="G435" s="82" t="n">
        <v>45259</v>
      </c>
      <c r="H435" s="83" t="n">
        <v>0.821898148148148</v>
      </c>
      <c r="I435" s="2" t="s">
        <v>458</v>
      </c>
      <c r="J435" s="2" t="s">
        <v>165</v>
      </c>
      <c r="K435" s="46" t="str">
        <f aca="false">INDEX(Products!$B$2:$B$71,MATCH($C435,Products!$A$2:$A$71,0))</f>
        <v>Fugit Set</v>
      </c>
      <c r="L435" s="46" t="str">
        <f aca="false">INDEX(Products!$C$2:$C$71,MATCH($C435,Products!$A$2:$A$71,0))</f>
        <v>Soft Toys</v>
      </c>
      <c r="M435" s="84" t="n">
        <f aca="false">INDEX(Products!$D$2:$D$71,MATCH($C435,Products!$A$2:$A$71,0))</f>
        <v>1084</v>
      </c>
      <c r="N435" s="84" t="n">
        <f aca="false">$D435*$M435</f>
        <v>4336</v>
      </c>
      <c r="O435" s="46" t="str">
        <f aca="false">INDEX(Customers!$C$2:$C$101,MATCH($B435,Customers!$A$2:$A$101,0))</f>
        <v>Machilipatnam</v>
      </c>
      <c r="P435" s="46" t="str">
        <f aca="false">INDEX(Customers!$F$2:$F$101,MATCH($B435,Customers!$A$2:$A$101,0))</f>
        <v>Male</v>
      </c>
      <c r="Q435" s="46" t="str">
        <f aca="false">INDEX(Customers!$B$2:$B$101,MATCH($B435,Customers!$A$2:$A$101,0))</f>
        <v>Samaira Ganesh</v>
      </c>
      <c r="R435" s="46" t="n">
        <f aca="false">MONTH($E435)</f>
        <v>11</v>
      </c>
      <c r="S435" s="46" t="str">
        <f aca="false">INDEX(Lists!$B$2:$B$13,$R435)</f>
        <v>November</v>
      </c>
      <c r="T435" s="46" t="n">
        <f aca="false">HOUR($F435)</f>
        <v>7</v>
      </c>
      <c r="U435" s="46" t="n">
        <f aca="false">WEEKDAY($E435,2)</f>
        <v>2</v>
      </c>
      <c r="V435" s="46" t="str">
        <f aca="false">INDEX(Lists!$F$2:$F$8,$U435)</f>
        <v>Tuesday</v>
      </c>
      <c r="W435" s="85" t="n">
        <f aca="false">($G435+$H435)-($E435+$F435)</f>
        <v>1.51418981481481</v>
      </c>
      <c r="X435" s="46" t="str">
        <f aca="false">LOOKUP($M435,Lists!$G$2:$G$5,Lists!$H$2:$H$5)</f>
        <v>₹1,000 - 1,499</v>
      </c>
      <c r="Y435" s="46" t="str">
        <f aca="false">LOOKUP($W435,Lists!$I$2:$I$7,Lists!$J$2:$J$7)</f>
        <v>0 - 2 days</v>
      </c>
    </row>
    <row r="436" customFormat="false" ht="15" hidden="false" customHeight="false" outlineLevel="0" collapsed="false">
      <c r="A436" s="7" t="n">
        <v>435</v>
      </c>
      <c r="B436" s="7" t="s">
        <v>170</v>
      </c>
      <c r="C436" s="7" t="n">
        <v>53</v>
      </c>
      <c r="D436" s="7" t="n">
        <v>4</v>
      </c>
      <c r="E436" s="77" t="n">
        <v>45160</v>
      </c>
      <c r="F436" s="78" t="n">
        <v>0.727430555555556</v>
      </c>
      <c r="G436" s="77" t="n">
        <v>45165</v>
      </c>
      <c r="H436" s="78" t="n">
        <v>0.524467592592593</v>
      </c>
      <c r="I436" s="7" t="s">
        <v>489</v>
      </c>
      <c r="J436" s="7" t="s">
        <v>40</v>
      </c>
      <c r="K436" s="79" t="str">
        <f aca="false">INDEX(Products!$B$2:$B$71,MATCH($C436,Products!$A$2:$A$71,0))</f>
        <v>Ipsam Set</v>
      </c>
      <c r="L436" s="79" t="str">
        <f aca="false">INDEX(Products!$C$2:$C$71,MATCH($C436,Products!$A$2:$A$71,0))</f>
        <v>Sweets</v>
      </c>
      <c r="M436" s="80" t="n">
        <f aca="false">INDEX(Products!$D$2:$D$71,MATCH($C436,Products!$A$2:$A$71,0))</f>
        <v>1672</v>
      </c>
      <c r="N436" s="80" t="n">
        <f aca="false">$D436*$M436</f>
        <v>6688</v>
      </c>
      <c r="O436" s="79" t="str">
        <f aca="false">INDEX(Customers!$C$2:$C$101,MATCH($B436,Customers!$A$2:$A$101,0))</f>
        <v>Gangtok</v>
      </c>
      <c r="P436" s="79" t="str">
        <f aca="false">INDEX(Customers!$F$2:$F$101,MATCH($B436,Customers!$A$2:$A$101,0))</f>
        <v>Male</v>
      </c>
      <c r="Q436" s="79" t="str">
        <f aca="false">INDEX(Customers!$B$2:$B$101,MATCH($B436,Customers!$A$2:$A$101,0))</f>
        <v>Advika Dhar</v>
      </c>
      <c r="R436" s="79" t="n">
        <f aca="false">MONTH($E436)</f>
        <v>8</v>
      </c>
      <c r="S436" s="79" t="str">
        <f aca="false">INDEX(Lists!$B$2:$B$13,$R436)</f>
        <v>August</v>
      </c>
      <c r="T436" s="79" t="n">
        <f aca="false">HOUR($F436)</f>
        <v>17</v>
      </c>
      <c r="U436" s="79" t="n">
        <f aca="false">WEEKDAY($E436,2)</f>
        <v>2</v>
      </c>
      <c r="V436" s="79" t="str">
        <f aca="false">INDEX(Lists!$F$2:$F$8,$U436)</f>
        <v>Tuesday</v>
      </c>
      <c r="W436" s="81" t="n">
        <f aca="false">($G436+$H436)-($E436+$F436)</f>
        <v>4.79703703703704</v>
      </c>
      <c r="X436" s="79" t="str">
        <f aca="false">LOOKUP($M436,Lists!$G$2:$G$5,Lists!$H$2:$H$5)</f>
        <v>₹1,500 - 2,000</v>
      </c>
      <c r="Y436" s="79" t="str">
        <f aca="false">LOOKUP($W436,Lists!$I$2:$I$7,Lists!$J$2:$J$7)</f>
        <v>4 - 6 days</v>
      </c>
    </row>
    <row r="437" customFormat="false" ht="15" hidden="false" customHeight="false" outlineLevel="0" collapsed="false">
      <c r="A437" s="2" t="n">
        <v>436</v>
      </c>
      <c r="B437" s="2" t="s">
        <v>278</v>
      </c>
      <c r="C437" s="2" t="n">
        <v>8</v>
      </c>
      <c r="D437" s="2" t="n">
        <v>1</v>
      </c>
      <c r="E437" s="82" t="n">
        <v>44953</v>
      </c>
      <c r="F437" s="83" t="n">
        <v>0.255555555555556</v>
      </c>
      <c r="G437" s="82" t="n">
        <v>44960</v>
      </c>
      <c r="H437" s="83" t="n">
        <v>0.34431712962963</v>
      </c>
      <c r="I437" s="2" t="s">
        <v>553</v>
      </c>
      <c r="J437" s="2" t="s">
        <v>168</v>
      </c>
      <c r="K437" s="46" t="str">
        <f aca="false">INDEX(Products!$B$2:$B$71,MATCH($C437,Products!$A$2:$A$71,0))</f>
        <v>Qui Box</v>
      </c>
      <c r="L437" s="46" t="str">
        <f aca="false">INDEX(Products!$C$2:$C$71,MATCH($C437,Products!$A$2:$A$71,0))</f>
        <v>Sweets</v>
      </c>
      <c r="M437" s="84" t="n">
        <f aca="false">INDEX(Products!$D$2:$D$71,MATCH($C437,Products!$A$2:$A$71,0))</f>
        <v>252</v>
      </c>
      <c r="N437" s="84" t="n">
        <f aca="false">$D437*$M437</f>
        <v>252</v>
      </c>
      <c r="O437" s="46" t="str">
        <f aca="false">INDEX(Customers!$C$2:$C$101,MATCH($B437,Customers!$A$2:$A$101,0))</f>
        <v>Guntakal</v>
      </c>
      <c r="P437" s="46" t="str">
        <f aca="false">INDEX(Customers!$F$2:$F$101,MATCH($B437,Customers!$A$2:$A$101,0))</f>
        <v>Male</v>
      </c>
      <c r="Q437" s="46" t="str">
        <f aca="false">INDEX(Customers!$B$2:$B$101,MATCH($B437,Customers!$A$2:$A$101,0))</f>
        <v>Charvi Kanda</v>
      </c>
      <c r="R437" s="46" t="n">
        <f aca="false">MONTH($E437)</f>
        <v>1</v>
      </c>
      <c r="S437" s="46" t="str">
        <f aca="false">INDEX(Lists!$B$2:$B$13,$R437)</f>
        <v>January</v>
      </c>
      <c r="T437" s="46" t="n">
        <f aca="false">HOUR($F437)</f>
        <v>6</v>
      </c>
      <c r="U437" s="46" t="n">
        <f aca="false">WEEKDAY($E437,2)</f>
        <v>5</v>
      </c>
      <c r="V437" s="46" t="str">
        <f aca="false">INDEX(Lists!$F$2:$F$8,$U437)</f>
        <v>Friday</v>
      </c>
      <c r="W437" s="85" t="n">
        <f aca="false">($G437+$H437)-($E437+$F437)</f>
        <v>7.08876157407407</v>
      </c>
      <c r="X437" s="46" t="str">
        <f aca="false">LOOKUP($M437,Lists!$G$2:$G$5,Lists!$H$2:$H$5)</f>
        <v>₹0 - 499</v>
      </c>
      <c r="Y437" s="46" t="str">
        <f aca="false">LOOKUP($W437,Lists!$I$2:$I$7,Lists!$J$2:$J$7)</f>
        <v>6 - 8 days</v>
      </c>
    </row>
    <row r="438" customFormat="false" ht="15" hidden="false" customHeight="false" outlineLevel="0" collapsed="false">
      <c r="A438" s="7" t="n">
        <v>437</v>
      </c>
      <c r="B438" s="7" t="s">
        <v>151</v>
      </c>
      <c r="C438" s="7" t="n">
        <v>55</v>
      </c>
      <c r="D438" s="7" t="n">
        <v>1</v>
      </c>
      <c r="E438" s="77" t="n">
        <v>45162</v>
      </c>
      <c r="F438" s="78" t="n">
        <v>0.271377314814815</v>
      </c>
      <c r="G438" s="77" t="n">
        <v>45165</v>
      </c>
      <c r="H438" s="78" t="n">
        <v>0.95599537037037</v>
      </c>
      <c r="I438" s="7" t="s">
        <v>601</v>
      </c>
      <c r="J438" s="7" t="s">
        <v>40</v>
      </c>
      <c r="K438" s="79" t="str">
        <f aca="false">INDEX(Products!$B$2:$B$71,MATCH($C438,Products!$A$2:$A$71,0))</f>
        <v>Dolores Gift</v>
      </c>
      <c r="L438" s="79" t="str">
        <f aca="false">INDEX(Products!$C$2:$C$71,MATCH($C438,Products!$A$2:$A$71,0))</f>
        <v>Soft Toys</v>
      </c>
      <c r="M438" s="80" t="n">
        <f aca="false">INDEX(Products!$D$2:$D$71,MATCH($C438,Products!$A$2:$A$71,0))</f>
        <v>1904</v>
      </c>
      <c r="N438" s="80" t="n">
        <f aca="false">$D438*$M438</f>
        <v>1904</v>
      </c>
      <c r="O438" s="79" t="str">
        <f aca="false">INDEX(Customers!$C$2:$C$101,MATCH($B438,Customers!$A$2:$A$101,0))</f>
        <v>Kanpur</v>
      </c>
      <c r="P438" s="79" t="str">
        <f aca="false">INDEX(Customers!$F$2:$F$101,MATCH($B438,Customers!$A$2:$A$101,0))</f>
        <v>Male</v>
      </c>
      <c r="Q438" s="79" t="str">
        <f aca="false">INDEX(Customers!$B$2:$B$101,MATCH($B438,Customers!$A$2:$A$101,0))</f>
        <v>Darshit Dave</v>
      </c>
      <c r="R438" s="79" t="n">
        <f aca="false">MONTH($E438)</f>
        <v>8</v>
      </c>
      <c r="S438" s="79" t="str">
        <f aca="false">INDEX(Lists!$B$2:$B$13,$R438)</f>
        <v>August</v>
      </c>
      <c r="T438" s="79" t="n">
        <f aca="false">HOUR($F438)</f>
        <v>6</v>
      </c>
      <c r="U438" s="79" t="n">
        <f aca="false">WEEKDAY($E438,2)</f>
        <v>4</v>
      </c>
      <c r="V438" s="79" t="str">
        <f aca="false">INDEX(Lists!$F$2:$F$8,$U438)</f>
        <v>Thursday</v>
      </c>
      <c r="W438" s="81" t="n">
        <f aca="false">($G438+$H438)-($E438+$F438)</f>
        <v>3.68461805555556</v>
      </c>
      <c r="X438" s="79" t="str">
        <f aca="false">LOOKUP($M438,Lists!$G$2:$G$5,Lists!$H$2:$H$5)</f>
        <v>₹1,500 - 2,000</v>
      </c>
      <c r="Y438" s="79" t="str">
        <f aca="false">LOOKUP($W438,Lists!$I$2:$I$7,Lists!$J$2:$J$7)</f>
        <v>2 - 4 days</v>
      </c>
    </row>
    <row r="439" customFormat="false" ht="15" hidden="false" customHeight="false" outlineLevel="0" collapsed="false">
      <c r="A439" s="2" t="n">
        <v>438</v>
      </c>
      <c r="B439" s="2" t="s">
        <v>215</v>
      </c>
      <c r="C439" s="2" t="n">
        <v>34</v>
      </c>
      <c r="D439" s="2" t="n">
        <v>2</v>
      </c>
      <c r="E439" s="82" t="n">
        <v>45164</v>
      </c>
      <c r="F439" s="83" t="n">
        <v>0.393946759259259</v>
      </c>
      <c r="G439" s="82" t="n">
        <v>45165</v>
      </c>
      <c r="H439" s="83" t="n">
        <v>0.137858796296296</v>
      </c>
      <c r="I439" s="2" t="s">
        <v>582</v>
      </c>
      <c r="J439" s="2" t="s">
        <v>40</v>
      </c>
      <c r="K439" s="46" t="str">
        <f aca="false">INDEX(Products!$B$2:$B$71,MATCH($C439,Products!$A$2:$A$71,0))</f>
        <v>Placeat Pack</v>
      </c>
      <c r="L439" s="46" t="str">
        <f aca="false">INDEX(Products!$C$2:$C$71,MATCH($C439,Products!$A$2:$A$71,0))</f>
        <v>Soft Toys</v>
      </c>
      <c r="M439" s="84" t="n">
        <f aca="false">INDEX(Products!$D$2:$D$71,MATCH($C439,Products!$A$2:$A$71,0))</f>
        <v>1335</v>
      </c>
      <c r="N439" s="84" t="n">
        <f aca="false">$D439*$M439</f>
        <v>2670</v>
      </c>
      <c r="O439" s="46" t="str">
        <f aca="false">INDEX(Customers!$C$2:$C$101,MATCH($B439,Customers!$A$2:$A$101,0))</f>
        <v>Davanagere</v>
      </c>
      <c r="P439" s="46" t="str">
        <f aca="false">INDEX(Customers!$F$2:$F$101,MATCH($B439,Customers!$A$2:$A$101,0))</f>
        <v>Male</v>
      </c>
      <c r="Q439" s="46" t="str">
        <f aca="false">INDEX(Customers!$B$2:$B$101,MATCH($B439,Customers!$A$2:$A$101,0))</f>
        <v>Aradhya Kumar</v>
      </c>
      <c r="R439" s="46" t="n">
        <f aca="false">MONTH($E439)</f>
        <v>8</v>
      </c>
      <c r="S439" s="46" t="str">
        <f aca="false">INDEX(Lists!$B$2:$B$13,$R439)</f>
        <v>August</v>
      </c>
      <c r="T439" s="46" t="n">
        <f aca="false">HOUR($F439)</f>
        <v>9</v>
      </c>
      <c r="U439" s="46" t="n">
        <f aca="false">WEEKDAY($E439,2)</f>
        <v>6</v>
      </c>
      <c r="V439" s="46" t="str">
        <f aca="false">INDEX(Lists!$F$2:$F$8,$U439)</f>
        <v>Saturday</v>
      </c>
      <c r="W439" s="85" t="n">
        <f aca="false">($G439+$H439)-($E439+$F439)</f>
        <v>0.743912037037037</v>
      </c>
      <c r="X439" s="46" t="str">
        <f aca="false">LOOKUP($M439,Lists!$G$2:$G$5,Lists!$H$2:$H$5)</f>
        <v>₹1,000 - 1,499</v>
      </c>
      <c r="Y439" s="46" t="str">
        <f aca="false">LOOKUP($W439,Lists!$I$2:$I$7,Lists!$J$2:$J$7)</f>
        <v>0 - 2 days</v>
      </c>
    </row>
    <row r="440" customFormat="false" ht="15" hidden="false" customHeight="false" outlineLevel="0" collapsed="false">
      <c r="A440" s="7" t="n">
        <v>439</v>
      </c>
      <c r="B440" s="7" t="s">
        <v>215</v>
      </c>
      <c r="C440" s="7" t="n">
        <v>12</v>
      </c>
      <c r="D440" s="7" t="n">
        <v>3</v>
      </c>
      <c r="E440" s="77" t="n">
        <v>45273</v>
      </c>
      <c r="F440" s="78" t="n">
        <v>0.372349537037037</v>
      </c>
      <c r="G440" s="77" t="n">
        <v>45282</v>
      </c>
      <c r="H440" s="78" t="n">
        <v>0.535486111111111</v>
      </c>
      <c r="I440" s="7" t="s">
        <v>418</v>
      </c>
      <c r="J440" s="7" t="s">
        <v>168</v>
      </c>
      <c r="K440" s="79" t="str">
        <f aca="false">INDEX(Products!$B$2:$B$71,MATCH($C440,Products!$A$2:$A$71,0))</f>
        <v>Non Set</v>
      </c>
      <c r="L440" s="79" t="str">
        <f aca="false">INDEX(Products!$C$2:$C$71,MATCH($C440,Products!$A$2:$A$71,0))</f>
        <v>Plants</v>
      </c>
      <c r="M440" s="80" t="n">
        <f aca="false">INDEX(Products!$D$2:$D$71,MATCH($C440,Products!$A$2:$A$71,0))</f>
        <v>672</v>
      </c>
      <c r="N440" s="80" t="n">
        <f aca="false">$D440*$M440</f>
        <v>2016</v>
      </c>
      <c r="O440" s="79" t="str">
        <f aca="false">INDEX(Customers!$C$2:$C$101,MATCH($B440,Customers!$A$2:$A$101,0))</f>
        <v>Davanagere</v>
      </c>
      <c r="P440" s="79" t="str">
        <f aca="false">INDEX(Customers!$F$2:$F$101,MATCH($B440,Customers!$A$2:$A$101,0))</f>
        <v>Male</v>
      </c>
      <c r="Q440" s="79" t="str">
        <f aca="false">INDEX(Customers!$B$2:$B$101,MATCH($B440,Customers!$A$2:$A$101,0))</f>
        <v>Aradhya Kumar</v>
      </c>
      <c r="R440" s="79" t="n">
        <f aca="false">MONTH($E440)</f>
        <v>12</v>
      </c>
      <c r="S440" s="79" t="str">
        <f aca="false">INDEX(Lists!$B$2:$B$13,$R440)</f>
        <v>December</v>
      </c>
      <c r="T440" s="79" t="n">
        <f aca="false">HOUR($F440)</f>
        <v>8</v>
      </c>
      <c r="U440" s="79" t="n">
        <f aca="false">WEEKDAY($E440,2)</f>
        <v>3</v>
      </c>
      <c r="V440" s="79" t="str">
        <f aca="false">INDEX(Lists!$F$2:$F$8,$U440)</f>
        <v>Wednesday</v>
      </c>
      <c r="W440" s="81" t="n">
        <f aca="false">($G440+$H440)-($E440+$F440)</f>
        <v>9.16313657407407</v>
      </c>
      <c r="X440" s="79" t="str">
        <f aca="false">LOOKUP($M440,Lists!$G$2:$G$5,Lists!$H$2:$H$5)</f>
        <v>₹500 - 999</v>
      </c>
      <c r="Y440" s="79" t="str">
        <f aca="false">LOOKUP($W440,Lists!$I$2:$I$7,Lists!$J$2:$J$7)</f>
        <v>8 - 10 days</v>
      </c>
    </row>
    <row r="441" customFormat="false" ht="15" hidden="false" customHeight="false" outlineLevel="0" collapsed="false">
      <c r="A441" s="2" t="n">
        <v>440</v>
      </c>
      <c r="B441" s="2" t="s">
        <v>172</v>
      </c>
      <c r="C441" s="2" t="n">
        <v>13</v>
      </c>
      <c r="D441" s="2" t="n">
        <v>4</v>
      </c>
      <c r="E441" s="82" t="n">
        <v>44992</v>
      </c>
      <c r="F441" s="83" t="n">
        <v>0.398275462962963</v>
      </c>
      <c r="G441" s="82" t="n">
        <v>44994</v>
      </c>
      <c r="H441" s="83" t="n">
        <v>0.0565856481481482</v>
      </c>
      <c r="I441" s="2" t="s">
        <v>395</v>
      </c>
      <c r="J441" s="2" t="s">
        <v>33</v>
      </c>
      <c r="K441" s="46" t="str">
        <f aca="false">INDEX(Products!$B$2:$B$71,MATCH($C441,Products!$A$2:$A$71,0))</f>
        <v>Et Set</v>
      </c>
      <c r="L441" s="46" t="str">
        <f aca="false">INDEX(Products!$C$2:$C$71,MATCH($C441,Products!$A$2:$A$71,0))</f>
        <v>Mugs</v>
      </c>
      <c r="M441" s="84" t="n">
        <f aca="false">INDEX(Products!$D$2:$D$71,MATCH($C441,Products!$A$2:$A$71,0))</f>
        <v>1141</v>
      </c>
      <c r="N441" s="84" t="n">
        <f aca="false">$D441*$M441</f>
        <v>4564</v>
      </c>
      <c r="O441" s="46" t="str">
        <f aca="false">INDEX(Customers!$C$2:$C$101,MATCH($B441,Customers!$A$2:$A$101,0))</f>
        <v>Nizamabad</v>
      </c>
      <c r="P441" s="46" t="str">
        <f aca="false">INDEX(Customers!$F$2:$F$101,MATCH($B441,Customers!$A$2:$A$101,0))</f>
        <v>Male</v>
      </c>
      <c r="Q441" s="46" t="str">
        <f aca="false">INDEX(Customers!$B$2:$B$101,MATCH($B441,Customers!$A$2:$A$101,0))</f>
        <v>Eva Vaidya</v>
      </c>
      <c r="R441" s="46" t="n">
        <f aca="false">MONTH($E441)</f>
        <v>3</v>
      </c>
      <c r="S441" s="46" t="str">
        <f aca="false">INDEX(Lists!$B$2:$B$13,$R441)</f>
        <v>March</v>
      </c>
      <c r="T441" s="46" t="n">
        <f aca="false">HOUR($F441)</f>
        <v>9</v>
      </c>
      <c r="U441" s="46" t="n">
        <f aca="false">WEEKDAY($E441,2)</f>
        <v>2</v>
      </c>
      <c r="V441" s="46" t="str">
        <f aca="false">INDEX(Lists!$F$2:$F$8,$U441)</f>
        <v>Tuesday</v>
      </c>
      <c r="W441" s="85" t="n">
        <f aca="false">($G441+$H441)-($E441+$F441)</f>
        <v>1.65831018518519</v>
      </c>
      <c r="X441" s="46" t="str">
        <f aca="false">LOOKUP($M441,Lists!$G$2:$G$5,Lists!$H$2:$H$5)</f>
        <v>₹1,000 - 1,499</v>
      </c>
      <c r="Y441" s="46" t="str">
        <f aca="false">LOOKUP($W441,Lists!$I$2:$I$7,Lists!$J$2:$J$7)</f>
        <v>0 - 2 days</v>
      </c>
    </row>
    <row r="442" customFormat="false" ht="15" hidden="false" customHeight="false" outlineLevel="0" collapsed="false">
      <c r="A442" s="7" t="n">
        <v>441</v>
      </c>
      <c r="B442" s="7" t="s">
        <v>260</v>
      </c>
      <c r="C442" s="7" t="n">
        <v>26</v>
      </c>
      <c r="D442" s="7" t="n">
        <v>2</v>
      </c>
      <c r="E442" s="77" t="n">
        <v>44983</v>
      </c>
      <c r="F442" s="78" t="n">
        <v>0.474953703703704</v>
      </c>
      <c r="G442" s="77" t="n">
        <v>44991</v>
      </c>
      <c r="H442" s="78" t="n">
        <v>0.693634259259259</v>
      </c>
      <c r="I442" s="7" t="s">
        <v>470</v>
      </c>
      <c r="J442" s="7" t="s">
        <v>33</v>
      </c>
      <c r="K442" s="79" t="str">
        <f aca="false">INDEX(Products!$B$2:$B$71,MATCH($C442,Products!$A$2:$A$71,0))</f>
        <v>Aliquam Box</v>
      </c>
      <c r="L442" s="79" t="str">
        <f aca="false">INDEX(Products!$C$2:$C$71,MATCH($C442,Products!$A$2:$A$71,0))</f>
        <v>Colors</v>
      </c>
      <c r="M442" s="80" t="n">
        <f aca="false">INDEX(Products!$D$2:$D$71,MATCH($C442,Products!$A$2:$A$71,0))</f>
        <v>289</v>
      </c>
      <c r="N442" s="80" t="n">
        <f aca="false">$D442*$M442</f>
        <v>578</v>
      </c>
      <c r="O442" s="79" t="str">
        <f aca="false">INDEX(Customers!$C$2:$C$101,MATCH($B442,Customers!$A$2:$A$101,0))</f>
        <v>Dhanbad</v>
      </c>
      <c r="P442" s="79" t="str">
        <f aca="false">INDEX(Customers!$F$2:$F$101,MATCH($B442,Customers!$A$2:$A$101,0))</f>
        <v>Male</v>
      </c>
      <c r="Q442" s="79" t="str">
        <f aca="false">INDEX(Customers!$B$2:$B$101,MATCH($B442,Customers!$A$2:$A$101,0))</f>
        <v>Vardaniya Apte</v>
      </c>
      <c r="R442" s="79" t="n">
        <f aca="false">MONTH($E442)</f>
        <v>2</v>
      </c>
      <c r="S442" s="79" t="str">
        <f aca="false">INDEX(Lists!$B$2:$B$13,$R442)</f>
        <v>February</v>
      </c>
      <c r="T442" s="79" t="n">
        <f aca="false">HOUR($F442)</f>
        <v>11</v>
      </c>
      <c r="U442" s="79" t="n">
        <f aca="false">WEEKDAY($E442,2)</f>
        <v>7</v>
      </c>
      <c r="V442" s="79" t="str">
        <f aca="false">INDEX(Lists!$F$2:$F$8,$U442)</f>
        <v>Sunday</v>
      </c>
      <c r="W442" s="81" t="n">
        <f aca="false">($G442+$H442)-($E442+$F442)</f>
        <v>8.21868055555556</v>
      </c>
      <c r="X442" s="79" t="str">
        <f aca="false">LOOKUP($M442,Lists!$G$2:$G$5,Lists!$H$2:$H$5)</f>
        <v>₹0 - 499</v>
      </c>
      <c r="Y442" s="79" t="str">
        <f aca="false">LOOKUP($W442,Lists!$I$2:$I$7,Lists!$J$2:$J$7)</f>
        <v>8 - 10 days</v>
      </c>
    </row>
    <row r="443" customFormat="false" ht="15" hidden="false" customHeight="false" outlineLevel="0" collapsed="false">
      <c r="A443" s="2" t="n">
        <v>442</v>
      </c>
      <c r="B443" s="2" t="s">
        <v>183</v>
      </c>
      <c r="C443" s="2" t="n">
        <v>3</v>
      </c>
      <c r="D443" s="2" t="n">
        <v>3</v>
      </c>
      <c r="E443" s="82" t="n">
        <v>44965</v>
      </c>
      <c r="F443" s="83" t="n">
        <v>0.752314814814815</v>
      </c>
      <c r="G443" s="82" t="n">
        <v>44972</v>
      </c>
      <c r="H443" s="83" t="n">
        <v>0.337256944444444</v>
      </c>
      <c r="I443" s="2" t="s">
        <v>455</v>
      </c>
      <c r="J443" s="2" t="s">
        <v>179</v>
      </c>
      <c r="K443" s="46" t="str">
        <f aca="false">INDEX(Products!$B$2:$B$71,MATCH($C443,Products!$A$2:$A$71,0))</f>
        <v>Eius Gift</v>
      </c>
      <c r="L443" s="46" t="str">
        <f aca="false">INDEX(Products!$C$2:$C$71,MATCH($C443,Products!$A$2:$A$71,0))</f>
        <v>Colors</v>
      </c>
      <c r="M443" s="84" t="n">
        <f aca="false">INDEX(Products!$D$2:$D$71,MATCH($C443,Products!$A$2:$A$71,0))</f>
        <v>1534</v>
      </c>
      <c r="N443" s="84" t="n">
        <f aca="false">$D443*$M443</f>
        <v>4602</v>
      </c>
      <c r="O443" s="46" t="str">
        <f aca="false">INDEX(Customers!$C$2:$C$101,MATCH($B443,Customers!$A$2:$A$101,0))</f>
        <v>Bidhannagar</v>
      </c>
      <c r="P443" s="46" t="str">
        <f aca="false">INDEX(Customers!$F$2:$F$101,MATCH($B443,Customers!$A$2:$A$101,0))</f>
        <v>Male</v>
      </c>
      <c r="Q443" s="46" t="str">
        <f aca="false">INDEX(Customers!$B$2:$B$101,MATCH($B443,Customers!$A$2:$A$101,0))</f>
        <v>Abram Sandhu</v>
      </c>
      <c r="R443" s="46" t="n">
        <f aca="false">MONTH($E443)</f>
        <v>2</v>
      </c>
      <c r="S443" s="46" t="str">
        <f aca="false">INDEX(Lists!$B$2:$B$13,$R443)</f>
        <v>February</v>
      </c>
      <c r="T443" s="46" t="n">
        <f aca="false">HOUR($F443)</f>
        <v>18</v>
      </c>
      <c r="U443" s="46" t="n">
        <f aca="false">WEEKDAY($E443,2)</f>
        <v>3</v>
      </c>
      <c r="V443" s="46" t="str">
        <f aca="false">INDEX(Lists!$F$2:$F$8,$U443)</f>
        <v>Wednesday</v>
      </c>
      <c r="W443" s="85" t="n">
        <f aca="false">($G443+$H443)-($E443+$F443)</f>
        <v>6.58494212962963</v>
      </c>
      <c r="X443" s="46" t="str">
        <f aca="false">LOOKUP($M443,Lists!$G$2:$G$5,Lists!$H$2:$H$5)</f>
        <v>₹1,500 - 2,000</v>
      </c>
      <c r="Y443" s="46" t="str">
        <f aca="false">LOOKUP($W443,Lists!$I$2:$I$7,Lists!$J$2:$J$7)</f>
        <v>6 - 8 days</v>
      </c>
    </row>
    <row r="444" customFormat="false" ht="15" hidden="false" customHeight="false" outlineLevel="0" collapsed="false">
      <c r="A444" s="7" t="n">
        <v>443</v>
      </c>
      <c r="B444" s="7" t="s">
        <v>242</v>
      </c>
      <c r="C444" s="7" t="n">
        <v>49</v>
      </c>
      <c r="D444" s="7" t="n">
        <v>3</v>
      </c>
      <c r="E444" s="77" t="n">
        <v>44961</v>
      </c>
      <c r="F444" s="78" t="n">
        <v>0.932164351851852</v>
      </c>
      <c r="G444" s="77" t="n">
        <v>44970</v>
      </c>
      <c r="H444" s="78" t="n">
        <v>0.0944444444444444</v>
      </c>
      <c r="I444" s="7" t="s">
        <v>560</v>
      </c>
      <c r="J444" s="7" t="s">
        <v>179</v>
      </c>
      <c r="K444" s="79" t="str">
        <f aca="false">INDEX(Products!$B$2:$B$71,MATCH($C444,Products!$A$2:$A$71,0))</f>
        <v>Voluptate Pack</v>
      </c>
      <c r="L444" s="79" t="str">
        <f aca="false">INDEX(Products!$C$2:$C$71,MATCH($C444,Products!$A$2:$A$71,0))</f>
        <v>Colors</v>
      </c>
      <c r="M444" s="80" t="n">
        <f aca="false">INDEX(Products!$D$2:$D$71,MATCH($C444,Products!$A$2:$A$71,0))</f>
        <v>903</v>
      </c>
      <c r="N444" s="80" t="n">
        <f aca="false">$D444*$M444</f>
        <v>2709</v>
      </c>
      <c r="O444" s="79" t="str">
        <f aca="false">INDEX(Customers!$C$2:$C$101,MATCH($B444,Customers!$A$2:$A$101,0))</f>
        <v>Guna</v>
      </c>
      <c r="P444" s="79" t="str">
        <f aca="false">INDEX(Customers!$F$2:$F$101,MATCH($B444,Customers!$A$2:$A$101,0))</f>
        <v>Male</v>
      </c>
      <c r="Q444" s="79" t="str">
        <f aca="false">INDEX(Customers!$B$2:$B$101,MATCH($B444,Customers!$A$2:$A$101,0))</f>
        <v>Tara Kannan</v>
      </c>
      <c r="R444" s="79" t="n">
        <f aca="false">MONTH($E444)</f>
        <v>2</v>
      </c>
      <c r="S444" s="79" t="str">
        <f aca="false">INDEX(Lists!$B$2:$B$13,$R444)</f>
        <v>February</v>
      </c>
      <c r="T444" s="79" t="n">
        <f aca="false">HOUR($F444)</f>
        <v>22</v>
      </c>
      <c r="U444" s="79" t="n">
        <f aca="false">WEEKDAY($E444,2)</f>
        <v>6</v>
      </c>
      <c r="V444" s="79" t="str">
        <f aca="false">INDEX(Lists!$F$2:$F$8,$U444)</f>
        <v>Saturday</v>
      </c>
      <c r="W444" s="81" t="n">
        <f aca="false">($G444+$H444)-($E444+$F444)</f>
        <v>8.16228009259259</v>
      </c>
      <c r="X444" s="79" t="str">
        <f aca="false">LOOKUP($M444,Lists!$G$2:$G$5,Lists!$H$2:$H$5)</f>
        <v>₹500 - 999</v>
      </c>
      <c r="Y444" s="79" t="str">
        <f aca="false">LOOKUP($W444,Lists!$I$2:$I$7,Lists!$J$2:$J$7)</f>
        <v>8 - 10 days</v>
      </c>
    </row>
    <row r="445" customFormat="false" ht="15" hidden="false" customHeight="false" outlineLevel="0" collapsed="false">
      <c r="A445" s="2" t="n">
        <v>444</v>
      </c>
      <c r="B445" s="2" t="s">
        <v>178</v>
      </c>
      <c r="C445" s="2" t="n">
        <v>60</v>
      </c>
      <c r="D445" s="2" t="n">
        <v>3</v>
      </c>
      <c r="E445" s="82" t="n">
        <v>45232</v>
      </c>
      <c r="F445" s="83" t="n">
        <v>0.0425115740740741</v>
      </c>
      <c r="G445" s="82" t="n">
        <v>45239</v>
      </c>
      <c r="H445" s="83" t="n">
        <v>0.412731481481482</v>
      </c>
      <c r="I445" s="2" t="s">
        <v>434</v>
      </c>
      <c r="J445" s="2" t="s">
        <v>32</v>
      </c>
      <c r="K445" s="46" t="str">
        <f aca="false">INDEX(Products!$B$2:$B$71,MATCH($C445,Products!$A$2:$A$71,0))</f>
        <v>Ea Set</v>
      </c>
      <c r="L445" s="46" t="str">
        <f aca="false">INDEX(Products!$C$2:$C$71,MATCH($C445,Products!$A$2:$A$71,0))</f>
        <v>Sweets</v>
      </c>
      <c r="M445" s="84" t="n">
        <f aca="false">INDEX(Products!$D$2:$D$71,MATCH($C445,Products!$A$2:$A$71,0))</f>
        <v>827</v>
      </c>
      <c r="N445" s="84" t="n">
        <f aca="false">$D445*$M445</f>
        <v>2481</v>
      </c>
      <c r="O445" s="46" t="str">
        <f aca="false">INDEX(Customers!$C$2:$C$101,MATCH($B445,Customers!$A$2:$A$101,0))</f>
        <v>Mehsana</v>
      </c>
      <c r="P445" s="46" t="str">
        <f aca="false">INDEX(Customers!$F$2:$F$101,MATCH($B445,Customers!$A$2:$A$101,0))</f>
        <v>Male</v>
      </c>
      <c r="Q445" s="46" t="str">
        <f aca="false">INDEX(Customers!$B$2:$B$101,MATCH($B445,Customers!$A$2:$A$101,0))</f>
        <v>Siya Talwar</v>
      </c>
      <c r="R445" s="46" t="n">
        <f aca="false">MONTH($E445)</f>
        <v>11</v>
      </c>
      <c r="S445" s="46" t="str">
        <f aca="false">INDEX(Lists!$B$2:$B$13,$R445)</f>
        <v>November</v>
      </c>
      <c r="T445" s="46" t="n">
        <f aca="false">HOUR($F445)</f>
        <v>1</v>
      </c>
      <c r="U445" s="46" t="n">
        <f aca="false">WEEKDAY($E445,2)</f>
        <v>4</v>
      </c>
      <c r="V445" s="46" t="str">
        <f aca="false">INDEX(Lists!$F$2:$F$8,$U445)</f>
        <v>Thursday</v>
      </c>
      <c r="W445" s="85" t="n">
        <f aca="false">($G445+$H445)-($E445+$F445)</f>
        <v>7.37021990740741</v>
      </c>
      <c r="X445" s="46" t="str">
        <f aca="false">LOOKUP($M445,Lists!$G$2:$G$5,Lists!$H$2:$H$5)</f>
        <v>₹500 - 999</v>
      </c>
      <c r="Y445" s="46" t="str">
        <f aca="false">LOOKUP($W445,Lists!$I$2:$I$7,Lists!$J$2:$J$7)</f>
        <v>6 - 8 days</v>
      </c>
    </row>
    <row r="446" customFormat="false" ht="15" hidden="false" customHeight="false" outlineLevel="0" collapsed="false">
      <c r="A446" s="7" t="n">
        <v>445</v>
      </c>
      <c r="B446" s="7" t="s">
        <v>245</v>
      </c>
      <c r="C446" s="7" t="n">
        <v>30</v>
      </c>
      <c r="D446" s="7" t="n">
        <v>5</v>
      </c>
      <c r="E446" s="77" t="n">
        <v>45091</v>
      </c>
      <c r="F446" s="78" t="n">
        <v>0.839375</v>
      </c>
      <c r="G446" s="77" t="n">
        <v>45092</v>
      </c>
      <c r="H446" s="78" t="n">
        <v>0.598923611111111</v>
      </c>
      <c r="I446" s="7" t="s">
        <v>451</v>
      </c>
      <c r="J446" s="7" t="s">
        <v>168</v>
      </c>
      <c r="K446" s="79" t="str">
        <f aca="false">INDEX(Products!$B$2:$B$71,MATCH($C446,Products!$A$2:$A$71,0))</f>
        <v>Recusandae Pack</v>
      </c>
      <c r="L446" s="79" t="str">
        <f aca="false">INDEX(Products!$C$2:$C$71,MATCH($C446,Products!$A$2:$A$71,0))</f>
        <v>Colors</v>
      </c>
      <c r="M446" s="80" t="n">
        <f aca="false">INDEX(Products!$D$2:$D$71,MATCH($C446,Products!$A$2:$A$71,0))</f>
        <v>751</v>
      </c>
      <c r="N446" s="80" t="n">
        <f aca="false">$D446*$M446</f>
        <v>3755</v>
      </c>
      <c r="O446" s="79" t="str">
        <f aca="false">INDEX(Customers!$C$2:$C$101,MATCH($B446,Customers!$A$2:$A$101,0))</f>
        <v>Jorhat</v>
      </c>
      <c r="P446" s="79" t="str">
        <f aca="false">INDEX(Customers!$F$2:$F$101,MATCH($B446,Customers!$A$2:$A$101,0))</f>
        <v>Male</v>
      </c>
      <c r="Q446" s="79" t="str">
        <f aca="false">INDEX(Customers!$B$2:$B$101,MATCH($B446,Customers!$A$2:$A$101,0))</f>
        <v>Bhamini Ravi</v>
      </c>
      <c r="R446" s="79" t="n">
        <f aca="false">MONTH($E446)</f>
        <v>6</v>
      </c>
      <c r="S446" s="79" t="str">
        <f aca="false">INDEX(Lists!$B$2:$B$13,$R446)</f>
        <v>June</v>
      </c>
      <c r="T446" s="79" t="n">
        <f aca="false">HOUR($F446)</f>
        <v>20</v>
      </c>
      <c r="U446" s="79" t="n">
        <f aca="false">WEEKDAY($E446,2)</f>
        <v>3</v>
      </c>
      <c r="V446" s="79" t="str">
        <f aca="false">INDEX(Lists!$F$2:$F$8,$U446)</f>
        <v>Wednesday</v>
      </c>
      <c r="W446" s="81" t="n">
        <f aca="false">($G446+$H446)-($E446+$F446)</f>
        <v>0.759548611111111</v>
      </c>
      <c r="X446" s="79" t="str">
        <f aca="false">LOOKUP($M446,Lists!$G$2:$G$5,Lists!$H$2:$H$5)</f>
        <v>₹500 - 999</v>
      </c>
      <c r="Y446" s="79" t="str">
        <f aca="false">LOOKUP($W446,Lists!$I$2:$I$7,Lists!$J$2:$J$7)</f>
        <v>0 - 2 days</v>
      </c>
    </row>
    <row r="447" customFormat="false" ht="15" hidden="false" customHeight="false" outlineLevel="0" collapsed="false">
      <c r="A447" s="2" t="n">
        <v>446</v>
      </c>
      <c r="B447" s="2" t="s">
        <v>336</v>
      </c>
      <c r="C447" s="2" t="n">
        <v>33</v>
      </c>
      <c r="D447" s="2" t="n">
        <v>5</v>
      </c>
      <c r="E447" s="82" t="n">
        <v>44969</v>
      </c>
      <c r="F447" s="83" t="n">
        <v>0.12087962962963</v>
      </c>
      <c r="G447" s="82" t="n">
        <v>44972</v>
      </c>
      <c r="H447" s="83" t="n">
        <v>0.460740740740741</v>
      </c>
      <c r="I447" s="2" t="s">
        <v>284</v>
      </c>
      <c r="J447" s="2" t="s">
        <v>179</v>
      </c>
      <c r="K447" s="46" t="str">
        <f aca="false">INDEX(Products!$B$2:$B$71,MATCH($C447,Products!$A$2:$A$71,0))</f>
        <v>Earum Set</v>
      </c>
      <c r="L447" s="46" t="str">
        <f aca="false">INDEX(Products!$C$2:$C$71,MATCH($C447,Products!$A$2:$A$71,0))</f>
        <v>Colors</v>
      </c>
      <c r="M447" s="84" t="n">
        <f aca="false">INDEX(Products!$D$2:$D$71,MATCH($C447,Products!$A$2:$A$71,0))</f>
        <v>314</v>
      </c>
      <c r="N447" s="84" t="n">
        <f aca="false">$D447*$M447</f>
        <v>1570</v>
      </c>
      <c r="O447" s="46" t="str">
        <f aca="false">INDEX(Customers!$C$2:$C$101,MATCH($B447,Customers!$A$2:$A$101,0))</f>
        <v>Bhilai</v>
      </c>
      <c r="P447" s="46" t="str">
        <f aca="false">INDEX(Customers!$F$2:$F$101,MATCH($B447,Customers!$A$2:$A$101,0))</f>
        <v>Female</v>
      </c>
      <c r="Q447" s="46" t="str">
        <f aca="false">INDEX(Customers!$B$2:$B$101,MATCH($B447,Customers!$A$2:$A$101,0))</f>
        <v>Vedika Sankaran</v>
      </c>
      <c r="R447" s="46" t="n">
        <f aca="false">MONTH($E447)</f>
        <v>2</v>
      </c>
      <c r="S447" s="46" t="str">
        <f aca="false">INDEX(Lists!$B$2:$B$13,$R447)</f>
        <v>February</v>
      </c>
      <c r="T447" s="46" t="n">
        <f aca="false">HOUR($F447)</f>
        <v>2</v>
      </c>
      <c r="U447" s="46" t="n">
        <f aca="false">WEEKDAY($E447,2)</f>
        <v>7</v>
      </c>
      <c r="V447" s="46" t="str">
        <f aca="false">INDEX(Lists!$F$2:$F$8,$U447)</f>
        <v>Sunday</v>
      </c>
      <c r="W447" s="85" t="n">
        <f aca="false">($G447+$H447)-($E447+$F447)</f>
        <v>3.33986111111111</v>
      </c>
      <c r="X447" s="46" t="str">
        <f aca="false">LOOKUP($M447,Lists!$G$2:$G$5,Lists!$H$2:$H$5)</f>
        <v>₹0 - 499</v>
      </c>
      <c r="Y447" s="46" t="str">
        <f aca="false">LOOKUP($W447,Lists!$I$2:$I$7,Lists!$J$2:$J$7)</f>
        <v>2 - 4 days</v>
      </c>
    </row>
    <row r="448" customFormat="false" ht="15" hidden="false" customHeight="false" outlineLevel="0" collapsed="false">
      <c r="A448" s="7" t="n">
        <v>447</v>
      </c>
      <c r="B448" s="7" t="s">
        <v>202</v>
      </c>
      <c r="C448" s="7" t="n">
        <v>47</v>
      </c>
      <c r="D448" s="7" t="n">
        <v>4</v>
      </c>
      <c r="E448" s="77" t="n">
        <v>44984</v>
      </c>
      <c r="F448" s="78" t="n">
        <v>0.114976851851852</v>
      </c>
      <c r="G448" s="77" t="n">
        <v>44989</v>
      </c>
      <c r="H448" s="78" t="n">
        <v>0.628425925925926</v>
      </c>
      <c r="I448" s="7" t="s">
        <v>244</v>
      </c>
      <c r="J448" s="7" t="s">
        <v>33</v>
      </c>
      <c r="K448" s="79" t="str">
        <f aca="false">INDEX(Products!$B$2:$B$71,MATCH($C448,Products!$A$2:$A$71,0))</f>
        <v>Harum Pack</v>
      </c>
      <c r="L448" s="79" t="str">
        <f aca="false">INDEX(Products!$C$2:$C$71,MATCH($C448,Products!$A$2:$A$71,0))</f>
        <v>Colors</v>
      </c>
      <c r="M448" s="80" t="n">
        <f aca="false">INDEX(Products!$D$2:$D$71,MATCH($C448,Products!$A$2:$A$71,0))</f>
        <v>1638</v>
      </c>
      <c r="N448" s="80" t="n">
        <f aca="false">$D448*$M448</f>
        <v>6552</v>
      </c>
      <c r="O448" s="79" t="str">
        <f aca="false">INDEX(Customers!$C$2:$C$101,MATCH($B448,Customers!$A$2:$A$101,0))</f>
        <v>Surat</v>
      </c>
      <c r="P448" s="79" t="str">
        <f aca="false">INDEX(Customers!$F$2:$F$101,MATCH($B448,Customers!$A$2:$A$101,0))</f>
        <v>Male</v>
      </c>
      <c r="Q448" s="79" t="str">
        <f aca="false">INDEX(Customers!$B$2:$B$101,MATCH($B448,Customers!$A$2:$A$101,0))</f>
        <v>Mannat Anand</v>
      </c>
      <c r="R448" s="79" t="n">
        <f aca="false">MONTH($E448)</f>
        <v>2</v>
      </c>
      <c r="S448" s="79" t="str">
        <f aca="false">INDEX(Lists!$B$2:$B$13,$R448)</f>
        <v>February</v>
      </c>
      <c r="T448" s="79" t="n">
        <f aca="false">HOUR($F448)</f>
        <v>2</v>
      </c>
      <c r="U448" s="79" t="n">
        <f aca="false">WEEKDAY($E448,2)</f>
        <v>1</v>
      </c>
      <c r="V448" s="79" t="str">
        <f aca="false">INDEX(Lists!$F$2:$F$8,$U448)</f>
        <v>Monday</v>
      </c>
      <c r="W448" s="81" t="n">
        <f aca="false">($G448+$H448)-($E448+$F448)</f>
        <v>5.51344907407407</v>
      </c>
      <c r="X448" s="79" t="str">
        <f aca="false">LOOKUP($M448,Lists!$G$2:$G$5,Lists!$H$2:$H$5)</f>
        <v>₹1,500 - 2,000</v>
      </c>
      <c r="Y448" s="79" t="str">
        <f aca="false">LOOKUP($W448,Lists!$I$2:$I$7,Lists!$J$2:$J$7)</f>
        <v>4 - 6 days</v>
      </c>
    </row>
    <row r="449" customFormat="false" ht="15" hidden="false" customHeight="false" outlineLevel="0" collapsed="false">
      <c r="A449" s="2" t="n">
        <v>448</v>
      </c>
      <c r="B449" s="2" t="s">
        <v>355</v>
      </c>
      <c r="C449" s="2" t="n">
        <v>16</v>
      </c>
      <c r="D449" s="2" t="n">
        <v>1</v>
      </c>
      <c r="E449" s="82" t="n">
        <v>44987</v>
      </c>
      <c r="F449" s="83" t="n">
        <v>0.113125</v>
      </c>
      <c r="G449" s="82" t="n">
        <v>44988</v>
      </c>
      <c r="H449" s="83" t="n">
        <v>0.571111111111111</v>
      </c>
      <c r="I449" s="2" t="s">
        <v>290</v>
      </c>
      <c r="J449" s="2" t="s">
        <v>33</v>
      </c>
      <c r="K449" s="46" t="str">
        <f aca="false">INDEX(Products!$B$2:$B$71,MATCH($C449,Products!$A$2:$A$71,0))</f>
        <v>Ut Pack</v>
      </c>
      <c r="L449" s="46" t="str">
        <f aca="false">INDEX(Products!$C$2:$C$71,MATCH($C449,Products!$A$2:$A$71,0))</f>
        <v>Sweets</v>
      </c>
      <c r="M449" s="84" t="n">
        <f aca="false">INDEX(Products!$D$2:$D$71,MATCH($C449,Products!$A$2:$A$71,0))</f>
        <v>1721</v>
      </c>
      <c r="N449" s="84" t="n">
        <f aca="false">$D449*$M449</f>
        <v>1721</v>
      </c>
      <c r="O449" s="46" t="str">
        <f aca="false">INDEX(Customers!$C$2:$C$101,MATCH($B449,Customers!$A$2:$A$101,0))</f>
        <v>Purnia</v>
      </c>
      <c r="P449" s="46" t="str">
        <f aca="false">INDEX(Customers!$F$2:$F$101,MATCH($B449,Customers!$A$2:$A$101,0))</f>
        <v>Female</v>
      </c>
      <c r="Q449" s="46" t="str">
        <f aca="false">INDEX(Customers!$B$2:$B$101,MATCH($B449,Customers!$A$2:$A$101,0))</f>
        <v>Ivana Amble</v>
      </c>
      <c r="R449" s="46" t="n">
        <f aca="false">MONTH($E449)</f>
        <v>3</v>
      </c>
      <c r="S449" s="46" t="str">
        <f aca="false">INDEX(Lists!$B$2:$B$13,$R449)</f>
        <v>March</v>
      </c>
      <c r="T449" s="46" t="n">
        <f aca="false">HOUR($F449)</f>
        <v>2</v>
      </c>
      <c r="U449" s="46" t="n">
        <f aca="false">WEEKDAY($E449,2)</f>
        <v>4</v>
      </c>
      <c r="V449" s="46" t="str">
        <f aca="false">INDEX(Lists!$F$2:$F$8,$U449)</f>
        <v>Thursday</v>
      </c>
      <c r="W449" s="85" t="n">
        <f aca="false">($G449+$H449)-($E449+$F449)</f>
        <v>1.45798611111111</v>
      </c>
      <c r="X449" s="46" t="str">
        <f aca="false">LOOKUP($M449,Lists!$G$2:$G$5,Lists!$H$2:$H$5)</f>
        <v>₹1,500 - 2,000</v>
      </c>
      <c r="Y449" s="46" t="str">
        <f aca="false">LOOKUP($W449,Lists!$I$2:$I$7,Lists!$J$2:$J$7)</f>
        <v>0 - 2 days</v>
      </c>
    </row>
    <row r="450" customFormat="false" ht="15" hidden="false" customHeight="false" outlineLevel="0" collapsed="false">
      <c r="A450" s="7" t="n">
        <v>449</v>
      </c>
      <c r="B450" s="7" t="s">
        <v>239</v>
      </c>
      <c r="C450" s="7" t="n">
        <v>49</v>
      </c>
      <c r="D450" s="7" t="n">
        <v>4</v>
      </c>
      <c r="E450" s="77" t="n">
        <v>44970</v>
      </c>
      <c r="F450" s="78" t="n">
        <v>0.137800925925926</v>
      </c>
      <c r="G450" s="77" t="n">
        <v>44973</v>
      </c>
      <c r="H450" s="78" t="n">
        <v>0.423391203703704</v>
      </c>
      <c r="I450" s="7" t="s">
        <v>420</v>
      </c>
      <c r="J450" s="7" t="s">
        <v>179</v>
      </c>
      <c r="K450" s="79" t="str">
        <f aca="false">INDEX(Products!$B$2:$B$71,MATCH($C450,Products!$A$2:$A$71,0))</f>
        <v>Voluptate Pack</v>
      </c>
      <c r="L450" s="79" t="str">
        <f aca="false">INDEX(Products!$C$2:$C$71,MATCH($C450,Products!$A$2:$A$71,0))</f>
        <v>Colors</v>
      </c>
      <c r="M450" s="80" t="n">
        <f aca="false">INDEX(Products!$D$2:$D$71,MATCH($C450,Products!$A$2:$A$71,0))</f>
        <v>903</v>
      </c>
      <c r="N450" s="80" t="n">
        <f aca="false">$D450*$M450</f>
        <v>3612</v>
      </c>
      <c r="O450" s="79" t="str">
        <f aca="false">INDEX(Customers!$C$2:$C$101,MATCH($B450,Customers!$A$2:$A$101,0))</f>
        <v>Maheshtala</v>
      </c>
      <c r="P450" s="79" t="str">
        <f aca="false">INDEX(Customers!$F$2:$F$101,MATCH($B450,Customers!$A$2:$A$101,0))</f>
        <v>Female</v>
      </c>
      <c r="Q450" s="79" t="str">
        <f aca="false">INDEX(Customers!$B$2:$B$101,MATCH($B450,Customers!$A$2:$A$101,0))</f>
        <v>Divit Mahajan</v>
      </c>
      <c r="R450" s="79" t="n">
        <f aca="false">MONTH($E450)</f>
        <v>2</v>
      </c>
      <c r="S450" s="79" t="str">
        <f aca="false">INDEX(Lists!$B$2:$B$13,$R450)</f>
        <v>February</v>
      </c>
      <c r="T450" s="79" t="n">
        <f aca="false">HOUR($F450)</f>
        <v>3</v>
      </c>
      <c r="U450" s="79" t="n">
        <f aca="false">WEEKDAY($E450,2)</f>
        <v>1</v>
      </c>
      <c r="V450" s="79" t="str">
        <f aca="false">INDEX(Lists!$F$2:$F$8,$U450)</f>
        <v>Monday</v>
      </c>
      <c r="W450" s="81" t="n">
        <f aca="false">($G450+$H450)-($E450+$F450)</f>
        <v>3.28559027777778</v>
      </c>
      <c r="X450" s="79" t="str">
        <f aca="false">LOOKUP($M450,Lists!$G$2:$G$5,Lists!$H$2:$H$5)</f>
        <v>₹500 - 999</v>
      </c>
      <c r="Y450" s="79" t="str">
        <f aca="false">LOOKUP($W450,Lists!$I$2:$I$7,Lists!$J$2:$J$7)</f>
        <v>2 - 4 days</v>
      </c>
    </row>
    <row r="451" customFormat="false" ht="15" hidden="false" customHeight="false" outlineLevel="0" collapsed="false">
      <c r="A451" s="2" t="n">
        <v>450</v>
      </c>
      <c r="B451" s="2" t="s">
        <v>382</v>
      </c>
      <c r="C451" s="2" t="n">
        <v>39</v>
      </c>
      <c r="D451" s="2" t="n">
        <v>5</v>
      </c>
      <c r="E451" s="82" t="n">
        <v>45262</v>
      </c>
      <c r="F451" s="83" t="n">
        <v>0.332002314814815</v>
      </c>
      <c r="G451" s="82" t="n">
        <v>45272</v>
      </c>
      <c r="H451" s="83" t="n">
        <v>0.423587962962963</v>
      </c>
      <c r="I451" s="2" t="s">
        <v>575</v>
      </c>
      <c r="J451" s="2" t="s">
        <v>165</v>
      </c>
      <c r="K451" s="46" t="str">
        <f aca="false">INDEX(Products!$B$2:$B$71,MATCH($C451,Products!$A$2:$A$71,0))</f>
        <v>Voluptate Set</v>
      </c>
      <c r="L451" s="46" t="str">
        <f aca="false">INDEX(Products!$C$2:$C$71,MATCH($C451,Products!$A$2:$A$71,0))</f>
        <v>Mugs</v>
      </c>
      <c r="M451" s="84" t="n">
        <f aca="false">INDEX(Products!$D$2:$D$71,MATCH($C451,Products!$A$2:$A$71,0))</f>
        <v>387</v>
      </c>
      <c r="N451" s="84" t="n">
        <f aca="false">$D451*$M451</f>
        <v>1935</v>
      </c>
      <c r="O451" s="46" t="str">
        <f aca="false">INDEX(Customers!$C$2:$C$101,MATCH($B451,Customers!$A$2:$A$101,0))</f>
        <v>Medininagar</v>
      </c>
      <c r="P451" s="46" t="str">
        <f aca="false">INDEX(Customers!$F$2:$F$101,MATCH($B451,Customers!$A$2:$A$101,0))</f>
        <v>Male</v>
      </c>
      <c r="Q451" s="46" t="str">
        <f aca="false">INDEX(Customers!$B$2:$B$101,MATCH($B451,Customers!$A$2:$A$101,0))</f>
        <v>Kavya Reddy</v>
      </c>
      <c r="R451" s="46" t="n">
        <f aca="false">MONTH($E451)</f>
        <v>12</v>
      </c>
      <c r="S451" s="46" t="str">
        <f aca="false">INDEX(Lists!$B$2:$B$13,$R451)</f>
        <v>December</v>
      </c>
      <c r="T451" s="46" t="n">
        <f aca="false">HOUR($F451)</f>
        <v>7</v>
      </c>
      <c r="U451" s="46" t="n">
        <f aca="false">WEEKDAY($E451,2)</f>
        <v>6</v>
      </c>
      <c r="V451" s="46" t="str">
        <f aca="false">INDEX(Lists!$F$2:$F$8,$U451)</f>
        <v>Saturday</v>
      </c>
      <c r="W451" s="85" t="n">
        <f aca="false">($G451+$H451)-($E451+$F451)</f>
        <v>10.0915856481481</v>
      </c>
      <c r="X451" s="46" t="str">
        <f aca="false">LOOKUP($M451,Lists!$G$2:$G$5,Lists!$H$2:$H$5)</f>
        <v>₹0 - 499</v>
      </c>
      <c r="Y451" s="46" t="str">
        <f aca="false">LOOKUP($W451,Lists!$I$2:$I$7,Lists!$J$2:$J$7)</f>
        <v>Over 10 days</v>
      </c>
    </row>
    <row r="452" customFormat="false" ht="15" hidden="false" customHeight="false" outlineLevel="0" collapsed="false">
      <c r="A452" s="7" t="n">
        <v>451</v>
      </c>
      <c r="B452" s="7" t="s">
        <v>336</v>
      </c>
      <c r="C452" s="7" t="n">
        <v>33</v>
      </c>
      <c r="D452" s="7" t="n">
        <v>5</v>
      </c>
      <c r="E452" s="77" t="n">
        <v>44964</v>
      </c>
      <c r="F452" s="78" t="n">
        <v>0.011712962962963</v>
      </c>
      <c r="G452" s="77" t="n">
        <v>44970</v>
      </c>
      <c r="H452" s="78" t="n">
        <v>0.882604166666667</v>
      </c>
      <c r="I452" s="7" t="s">
        <v>599</v>
      </c>
      <c r="J452" s="7" t="s">
        <v>179</v>
      </c>
      <c r="K452" s="79" t="str">
        <f aca="false">INDEX(Products!$B$2:$B$71,MATCH($C452,Products!$A$2:$A$71,0))</f>
        <v>Earum Set</v>
      </c>
      <c r="L452" s="79" t="str">
        <f aca="false">INDEX(Products!$C$2:$C$71,MATCH($C452,Products!$A$2:$A$71,0))</f>
        <v>Colors</v>
      </c>
      <c r="M452" s="80" t="n">
        <f aca="false">INDEX(Products!$D$2:$D$71,MATCH($C452,Products!$A$2:$A$71,0))</f>
        <v>314</v>
      </c>
      <c r="N452" s="80" t="n">
        <f aca="false">$D452*$M452</f>
        <v>1570</v>
      </c>
      <c r="O452" s="79" t="str">
        <f aca="false">INDEX(Customers!$C$2:$C$101,MATCH($B452,Customers!$A$2:$A$101,0))</f>
        <v>Bhilai</v>
      </c>
      <c r="P452" s="79" t="str">
        <f aca="false">INDEX(Customers!$F$2:$F$101,MATCH($B452,Customers!$A$2:$A$101,0))</f>
        <v>Female</v>
      </c>
      <c r="Q452" s="79" t="str">
        <f aca="false">INDEX(Customers!$B$2:$B$101,MATCH($B452,Customers!$A$2:$A$101,0))</f>
        <v>Vedika Sankaran</v>
      </c>
      <c r="R452" s="79" t="n">
        <f aca="false">MONTH($E452)</f>
        <v>2</v>
      </c>
      <c r="S452" s="79" t="str">
        <f aca="false">INDEX(Lists!$B$2:$B$13,$R452)</f>
        <v>February</v>
      </c>
      <c r="T452" s="79" t="n">
        <f aca="false">HOUR($F452)</f>
        <v>0</v>
      </c>
      <c r="U452" s="79" t="n">
        <f aca="false">WEEKDAY($E452,2)</f>
        <v>2</v>
      </c>
      <c r="V452" s="79" t="str">
        <f aca="false">INDEX(Lists!$F$2:$F$8,$U452)</f>
        <v>Tuesday</v>
      </c>
      <c r="W452" s="81" t="n">
        <f aca="false">($G452+$H452)-($E452+$F452)</f>
        <v>6.8708912037037</v>
      </c>
      <c r="X452" s="79" t="str">
        <f aca="false">LOOKUP($M452,Lists!$G$2:$G$5,Lists!$H$2:$H$5)</f>
        <v>₹0 - 499</v>
      </c>
      <c r="Y452" s="79" t="str">
        <f aca="false">LOOKUP($W452,Lists!$I$2:$I$7,Lists!$J$2:$J$7)</f>
        <v>6 - 8 days</v>
      </c>
    </row>
    <row r="453" customFormat="false" ht="15" hidden="false" customHeight="false" outlineLevel="0" collapsed="false">
      <c r="A453" s="2" t="n">
        <v>452</v>
      </c>
      <c r="B453" s="2" t="s">
        <v>239</v>
      </c>
      <c r="C453" s="2" t="n">
        <v>70</v>
      </c>
      <c r="D453" s="2" t="n">
        <v>3</v>
      </c>
      <c r="E453" s="82" t="n">
        <v>45116</v>
      </c>
      <c r="F453" s="83" t="n">
        <v>0.831585648148148</v>
      </c>
      <c r="G453" s="82" t="n">
        <v>45124</v>
      </c>
      <c r="H453" s="83" t="n">
        <v>0.487708333333333</v>
      </c>
      <c r="I453" s="2" t="s">
        <v>478</v>
      </c>
      <c r="J453" s="2" t="s">
        <v>31</v>
      </c>
      <c r="K453" s="46" t="str">
        <f aca="false">INDEX(Products!$B$2:$B$71,MATCH($C453,Products!$A$2:$A$71,0))</f>
        <v>Error Gift</v>
      </c>
      <c r="L453" s="46" t="str">
        <f aca="false">INDEX(Products!$C$2:$C$71,MATCH($C453,Products!$A$2:$A$71,0))</f>
        <v>Sweets</v>
      </c>
      <c r="M453" s="84" t="n">
        <f aca="false">INDEX(Products!$D$2:$D$71,MATCH($C453,Products!$A$2:$A$71,0))</f>
        <v>866</v>
      </c>
      <c r="N453" s="84" t="n">
        <f aca="false">$D453*$M453</f>
        <v>2598</v>
      </c>
      <c r="O453" s="46" t="str">
        <f aca="false">INDEX(Customers!$C$2:$C$101,MATCH($B453,Customers!$A$2:$A$101,0))</f>
        <v>Maheshtala</v>
      </c>
      <c r="P453" s="46" t="str">
        <f aca="false">INDEX(Customers!$F$2:$F$101,MATCH($B453,Customers!$A$2:$A$101,0))</f>
        <v>Female</v>
      </c>
      <c r="Q453" s="46" t="str">
        <f aca="false">INDEX(Customers!$B$2:$B$101,MATCH($B453,Customers!$A$2:$A$101,0))</f>
        <v>Divit Mahajan</v>
      </c>
      <c r="R453" s="46" t="n">
        <f aca="false">MONTH($E453)</f>
        <v>7</v>
      </c>
      <c r="S453" s="46" t="str">
        <f aca="false">INDEX(Lists!$B$2:$B$13,$R453)</f>
        <v>July</v>
      </c>
      <c r="T453" s="46" t="n">
        <f aca="false">HOUR($F453)</f>
        <v>19</v>
      </c>
      <c r="U453" s="46" t="n">
        <f aca="false">WEEKDAY($E453,2)</f>
        <v>7</v>
      </c>
      <c r="V453" s="46" t="str">
        <f aca="false">INDEX(Lists!$F$2:$F$8,$U453)</f>
        <v>Sunday</v>
      </c>
      <c r="W453" s="85" t="n">
        <f aca="false">($G453+$H453)-($E453+$F453)</f>
        <v>7.65612268518519</v>
      </c>
      <c r="X453" s="46" t="str">
        <f aca="false">LOOKUP($M453,Lists!$G$2:$G$5,Lists!$H$2:$H$5)</f>
        <v>₹500 - 999</v>
      </c>
      <c r="Y453" s="46" t="str">
        <f aca="false">LOOKUP($W453,Lists!$I$2:$I$7,Lists!$J$2:$J$7)</f>
        <v>6 - 8 days</v>
      </c>
    </row>
    <row r="454" customFormat="false" ht="15" hidden="false" customHeight="false" outlineLevel="0" collapsed="false">
      <c r="A454" s="7" t="n">
        <v>453</v>
      </c>
      <c r="B454" s="7" t="s">
        <v>202</v>
      </c>
      <c r="C454" s="7" t="n">
        <v>27</v>
      </c>
      <c r="D454" s="7" t="n">
        <v>2</v>
      </c>
      <c r="E454" s="77" t="n">
        <v>45159</v>
      </c>
      <c r="F454" s="78" t="n">
        <v>0.424756944444445</v>
      </c>
      <c r="G454" s="77" t="n">
        <v>45169</v>
      </c>
      <c r="H454" s="78" t="n">
        <v>0.5196875</v>
      </c>
      <c r="I454" s="7" t="s">
        <v>603</v>
      </c>
      <c r="J454" s="7" t="s">
        <v>40</v>
      </c>
      <c r="K454" s="79" t="str">
        <f aca="false">INDEX(Products!$B$2:$B$71,MATCH($C454,Products!$A$2:$A$71,0))</f>
        <v>Architecto Gift</v>
      </c>
      <c r="L454" s="79" t="str">
        <f aca="false">INDEX(Products!$C$2:$C$71,MATCH($C454,Products!$A$2:$A$71,0))</f>
        <v>Cake</v>
      </c>
      <c r="M454" s="80" t="n">
        <f aca="false">INDEX(Products!$D$2:$D$71,MATCH($C454,Products!$A$2:$A$71,0))</f>
        <v>548</v>
      </c>
      <c r="N454" s="80" t="n">
        <f aca="false">$D454*$M454</f>
        <v>1096</v>
      </c>
      <c r="O454" s="79" t="str">
        <f aca="false">INDEX(Customers!$C$2:$C$101,MATCH($B454,Customers!$A$2:$A$101,0))</f>
        <v>Surat</v>
      </c>
      <c r="P454" s="79" t="str">
        <f aca="false">INDEX(Customers!$F$2:$F$101,MATCH($B454,Customers!$A$2:$A$101,0))</f>
        <v>Male</v>
      </c>
      <c r="Q454" s="79" t="str">
        <f aca="false">INDEX(Customers!$B$2:$B$101,MATCH($B454,Customers!$A$2:$A$101,0))</f>
        <v>Mannat Anand</v>
      </c>
      <c r="R454" s="79" t="n">
        <f aca="false">MONTH($E454)</f>
        <v>8</v>
      </c>
      <c r="S454" s="79" t="str">
        <f aca="false">INDEX(Lists!$B$2:$B$13,$R454)</f>
        <v>August</v>
      </c>
      <c r="T454" s="79" t="n">
        <f aca="false">HOUR($F454)</f>
        <v>10</v>
      </c>
      <c r="U454" s="79" t="n">
        <f aca="false">WEEKDAY($E454,2)</f>
        <v>1</v>
      </c>
      <c r="V454" s="79" t="str">
        <f aca="false">INDEX(Lists!$F$2:$F$8,$U454)</f>
        <v>Monday</v>
      </c>
      <c r="W454" s="81" t="n">
        <f aca="false">($G454+$H454)-($E454+$F454)</f>
        <v>10.0949305555556</v>
      </c>
      <c r="X454" s="79" t="str">
        <f aca="false">LOOKUP($M454,Lists!$G$2:$G$5,Lists!$H$2:$H$5)</f>
        <v>₹500 - 999</v>
      </c>
      <c r="Y454" s="79" t="str">
        <f aca="false">LOOKUP($W454,Lists!$I$2:$I$7,Lists!$J$2:$J$7)</f>
        <v>Over 10 days</v>
      </c>
    </row>
    <row r="455" customFormat="false" ht="15" hidden="false" customHeight="false" outlineLevel="0" collapsed="false">
      <c r="A455" s="2" t="n">
        <v>454</v>
      </c>
      <c r="B455" s="2" t="s">
        <v>360</v>
      </c>
      <c r="C455" s="2" t="n">
        <v>3</v>
      </c>
      <c r="D455" s="2" t="n">
        <v>2</v>
      </c>
      <c r="E455" s="82" t="n">
        <v>44964</v>
      </c>
      <c r="F455" s="83" t="n">
        <v>0.976956018518519</v>
      </c>
      <c r="G455" s="82" t="n">
        <v>44966</v>
      </c>
      <c r="H455" s="83" t="n">
        <v>0.0568981481481482</v>
      </c>
      <c r="I455" s="2" t="s">
        <v>581</v>
      </c>
      <c r="J455" s="2" t="s">
        <v>179</v>
      </c>
      <c r="K455" s="46" t="str">
        <f aca="false">INDEX(Products!$B$2:$B$71,MATCH($C455,Products!$A$2:$A$71,0))</f>
        <v>Eius Gift</v>
      </c>
      <c r="L455" s="46" t="str">
        <f aca="false">INDEX(Products!$C$2:$C$71,MATCH($C455,Products!$A$2:$A$71,0))</f>
        <v>Colors</v>
      </c>
      <c r="M455" s="84" t="n">
        <f aca="false">INDEX(Products!$D$2:$D$71,MATCH($C455,Products!$A$2:$A$71,0))</f>
        <v>1534</v>
      </c>
      <c r="N455" s="84" t="n">
        <f aca="false">$D455*$M455</f>
        <v>3068</v>
      </c>
      <c r="O455" s="46" t="str">
        <f aca="false">INDEX(Customers!$C$2:$C$101,MATCH($B455,Customers!$A$2:$A$101,0))</f>
        <v>Khora </v>
      </c>
      <c r="P455" s="46" t="str">
        <f aca="false">INDEX(Customers!$F$2:$F$101,MATCH($B455,Customers!$A$2:$A$101,0))</f>
        <v>Female</v>
      </c>
      <c r="Q455" s="46" t="str">
        <f aca="false">INDEX(Customers!$B$2:$B$101,MATCH($B455,Customers!$A$2:$A$101,0))</f>
        <v>Shalv Kulkarni</v>
      </c>
      <c r="R455" s="46" t="n">
        <f aca="false">MONTH($E455)</f>
        <v>2</v>
      </c>
      <c r="S455" s="46" t="str">
        <f aca="false">INDEX(Lists!$B$2:$B$13,$R455)</f>
        <v>February</v>
      </c>
      <c r="T455" s="46" t="n">
        <f aca="false">HOUR($F455)</f>
        <v>23</v>
      </c>
      <c r="U455" s="46" t="n">
        <f aca="false">WEEKDAY($E455,2)</f>
        <v>2</v>
      </c>
      <c r="V455" s="46" t="str">
        <f aca="false">INDEX(Lists!$F$2:$F$8,$U455)</f>
        <v>Tuesday</v>
      </c>
      <c r="W455" s="85" t="n">
        <f aca="false">($G455+$H455)-($E455+$F455)</f>
        <v>1.07994212962963</v>
      </c>
      <c r="X455" s="46" t="str">
        <f aca="false">LOOKUP($M455,Lists!$G$2:$G$5,Lists!$H$2:$H$5)</f>
        <v>₹1,500 - 2,000</v>
      </c>
      <c r="Y455" s="46" t="str">
        <f aca="false">LOOKUP($W455,Lists!$I$2:$I$7,Lists!$J$2:$J$7)</f>
        <v>0 - 2 days</v>
      </c>
    </row>
    <row r="456" customFormat="false" ht="15" hidden="false" customHeight="false" outlineLevel="0" collapsed="false">
      <c r="A456" s="7" t="n">
        <v>455</v>
      </c>
      <c r="B456" s="7" t="s">
        <v>316</v>
      </c>
      <c r="C456" s="7" t="n">
        <v>1</v>
      </c>
      <c r="D456" s="7" t="n">
        <v>2</v>
      </c>
      <c r="E456" s="77" t="n">
        <v>45219</v>
      </c>
      <c r="F456" s="78" t="n">
        <v>0.940162037037037</v>
      </c>
      <c r="G456" s="77" t="n">
        <v>45224</v>
      </c>
      <c r="H456" s="78" t="n">
        <v>0.753009259259259</v>
      </c>
      <c r="I456" s="7" t="s">
        <v>359</v>
      </c>
      <c r="J456" s="7" t="s">
        <v>165</v>
      </c>
      <c r="K456" s="79" t="str">
        <f aca="false">INDEX(Products!$B$2:$B$71,MATCH($C456,Products!$A$2:$A$71,0))</f>
        <v>Magnam Set</v>
      </c>
      <c r="L456" s="79" t="str">
        <f aca="false">INDEX(Products!$C$2:$C$71,MATCH($C456,Products!$A$2:$A$71,0))</f>
        <v>Soft Toys</v>
      </c>
      <c r="M456" s="80" t="n">
        <f aca="false">INDEX(Products!$D$2:$D$71,MATCH($C456,Products!$A$2:$A$71,0))</f>
        <v>1935</v>
      </c>
      <c r="N456" s="80" t="n">
        <f aca="false">$D456*$M456</f>
        <v>3870</v>
      </c>
      <c r="O456" s="79" t="str">
        <f aca="false">INDEX(Customers!$C$2:$C$101,MATCH($B456,Customers!$A$2:$A$101,0))</f>
        <v>Hyderabad</v>
      </c>
      <c r="P456" s="79" t="str">
        <f aca="false">INDEX(Customers!$F$2:$F$101,MATCH($B456,Customers!$A$2:$A$101,0))</f>
        <v>Male</v>
      </c>
      <c r="Q456" s="79" t="str">
        <f aca="false">INDEX(Customers!$B$2:$B$101,MATCH($B456,Customers!$A$2:$A$101,0))</f>
        <v>Charvi Karnik</v>
      </c>
      <c r="R456" s="79" t="n">
        <f aca="false">MONTH($E456)</f>
        <v>10</v>
      </c>
      <c r="S456" s="79" t="str">
        <f aca="false">INDEX(Lists!$B$2:$B$13,$R456)</f>
        <v>October</v>
      </c>
      <c r="T456" s="79" t="n">
        <f aca="false">HOUR($F456)</f>
        <v>22</v>
      </c>
      <c r="U456" s="79" t="n">
        <f aca="false">WEEKDAY($E456,2)</f>
        <v>5</v>
      </c>
      <c r="V456" s="79" t="str">
        <f aca="false">INDEX(Lists!$F$2:$F$8,$U456)</f>
        <v>Friday</v>
      </c>
      <c r="W456" s="81" t="n">
        <f aca="false">($G456+$H456)-($E456+$F456)</f>
        <v>4.81284722222222</v>
      </c>
      <c r="X456" s="79" t="str">
        <f aca="false">LOOKUP($M456,Lists!$G$2:$G$5,Lists!$H$2:$H$5)</f>
        <v>₹1,500 - 2,000</v>
      </c>
      <c r="Y456" s="79" t="str">
        <f aca="false">LOOKUP($W456,Lists!$I$2:$I$7,Lists!$J$2:$J$7)</f>
        <v>4 - 6 days</v>
      </c>
    </row>
    <row r="457" customFormat="false" ht="15" hidden="false" customHeight="false" outlineLevel="0" collapsed="false">
      <c r="A457" s="2" t="n">
        <v>456</v>
      </c>
      <c r="B457" s="2" t="s">
        <v>313</v>
      </c>
      <c r="C457" s="2" t="n">
        <v>33</v>
      </c>
      <c r="D457" s="2" t="n">
        <v>2</v>
      </c>
      <c r="E457" s="82" t="n">
        <v>44969</v>
      </c>
      <c r="F457" s="83" t="n">
        <v>0.952534722222222</v>
      </c>
      <c r="G457" s="82" t="n">
        <v>44972</v>
      </c>
      <c r="H457" s="83" t="n">
        <v>0.926458333333333</v>
      </c>
      <c r="I457" s="2" t="s">
        <v>505</v>
      </c>
      <c r="J457" s="2" t="s">
        <v>179</v>
      </c>
      <c r="K457" s="46" t="str">
        <f aca="false">INDEX(Products!$B$2:$B$71,MATCH($C457,Products!$A$2:$A$71,0))</f>
        <v>Earum Set</v>
      </c>
      <c r="L457" s="46" t="str">
        <f aca="false">INDEX(Products!$C$2:$C$71,MATCH($C457,Products!$A$2:$A$71,0))</f>
        <v>Colors</v>
      </c>
      <c r="M457" s="84" t="n">
        <f aca="false">INDEX(Products!$D$2:$D$71,MATCH($C457,Products!$A$2:$A$71,0))</f>
        <v>314</v>
      </c>
      <c r="N457" s="84" t="n">
        <f aca="false">$D457*$M457</f>
        <v>628</v>
      </c>
      <c r="O457" s="46" t="str">
        <f aca="false">INDEX(Customers!$C$2:$C$101,MATCH($B457,Customers!$A$2:$A$101,0))</f>
        <v>Tiruppur</v>
      </c>
      <c r="P457" s="46" t="str">
        <f aca="false">INDEX(Customers!$F$2:$F$101,MATCH($B457,Customers!$A$2:$A$101,0))</f>
        <v>Male</v>
      </c>
      <c r="Q457" s="46" t="str">
        <f aca="false">INDEX(Customers!$B$2:$B$101,MATCH($B457,Customers!$A$2:$A$101,0))</f>
        <v>Purab Sheth</v>
      </c>
      <c r="R457" s="46" t="n">
        <f aca="false">MONTH($E457)</f>
        <v>2</v>
      </c>
      <c r="S457" s="46" t="str">
        <f aca="false">INDEX(Lists!$B$2:$B$13,$R457)</f>
        <v>February</v>
      </c>
      <c r="T457" s="46" t="n">
        <f aca="false">HOUR($F457)</f>
        <v>22</v>
      </c>
      <c r="U457" s="46" t="n">
        <f aca="false">WEEKDAY($E457,2)</f>
        <v>7</v>
      </c>
      <c r="V457" s="46" t="str">
        <f aca="false">INDEX(Lists!$F$2:$F$8,$U457)</f>
        <v>Sunday</v>
      </c>
      <c r="W457" s="85" t="n">
        <f aca="false">($G457+$H457)-($E457+$F457)</f>
        <v>2.97392361111111</v>
      </c>
      <c r="X457" s="46" t="str">
        <f aca="false">LOOKUP($M457,Lists!$G$2:$G$5,Lists!$H$2:$H$5)</f>
        <v>₹0 - 499</v>
      </c>
      <c r="Y457" s="46" t="str">
        <f aca="false">LOOKUP($W457,Lists!$I$2:$I$7,Lists!$J$2:$J$7)</f>
        <v>2 - 4 days</v>
      </c>
    </row>
    <row r="458" customFormat="false" ht="15" hidden="false" customHeight="false" outlineLevel="0" collapsed="false">
      <c r="A458" s="7" t="n">
        <v>457</v>
      </c>
      <c r="B458" s="7" t="s">
        <v>212</v>
      </c>
      <c r="C458" s="7" t="n">
        <v>22</v>
      </c>
      <c r="D458" s="7" t="n">
        <v>5</v>
      </c>
      <c r="E458" s="77" t="n">
        <v>45073</v>
      </c>
      <c r="F458" s="78" t="n">
        <v>0.5803125</v>
      </c>
      <c r="G458" s="77" t="n">
        <v>45075</v>
      </c>
      <c r="H458" s="78" t="n">
        <v>0.693344907407407</v>
      </c>
      <c r="I458" s="7" t="s">
        <v>491</v>
      </c>
      <c r="J458" s="7" t="s">
        <v>165</v>
      </c>
      <c r="K458" s="79" t="str">
        <f aca="false">INDEX(Products!$B$2:$B$71,MATCH($C458,Products!$A$2:$A$71,0))</f>
        <v>Exercitationem Pack</v>
      </c>
      <c r="L458" s="79" t="str">
        <f aca="false">INDEX(Products!$C$2:$C$71,MATCH($C458,Products!$A$2:$A$71,0))</f>
        <v>Soft Toys</v>
      </c>
      <c r="M458" s="80" t="n">
        <f aca="false">INDEX(Products!$D$2:$D$71,MATCH($C458,Products!$A$2:$A$71,0))</f>
        <v>1639</v>
      </c>
      <c r="N458" s="80" t="n">
        <f aca="false">$D458*$M458</f>
        <v>8195</v>
      </c>
      <c r="O458" s="79" t="str">
        <f aca="false">INDEX(Customers!$C$2:$C$101,MATCH($B458,Customers!$A$2:$A$101,0))</f>
        <v>Dibrugarh</v>
      </c>
      <c r="P458" s="79" t="str">
        <f aca="false">INDEX(Customers!$F$2:$F$101,MATCH($B458,Customers!$A$2:$A$101,0))</f>
        <v>Female</v>
      </c>
      <c r="Q458" s="79" t="str">
        <f aca="false">INDEX(Customers!$B$2:$B$101,MATCH($B458,Customers!$A$2:$A$101,0))</f>
        <v>Biju Bajwa</v>
      </c>
      <c r="R458" s="79" t="n">
        <f aca="false">MONTH($E458)</f>
        <v>5</v>
      </c>
      <c r="S458" s="79" t="str">
        <f aca="false">INDEX(Lists!$B$2:$B$13,$R458)</f>
        <v>May</v>
      </c>
      <c r="T458" s="79" t="n">
        <f aca="false">HOUR($F458)</f>
        <v>13</v>
      </c>
      <c r="U458" s="79" t="n">
        <f aca="false">WEEKDAY($E458,2)</f>
        <v>6</v>
      </c>
      <c r="V458" s="79" t="str">
        <f aca="false">INDEX(Lists!$F$2:$F$8,$U458)</f>
        <v>Saturday</v>
      </c>
      <c r="W458" s="81" t="n">
        <f aca="false">($G458+$H458)-($E458+$F458)</f>
        <v>2.11303240740741</v>
      </c>
      <c r="X458" s="79" t="str">
        <f aca="false">LOOKUP($M458,Lists!$G$2:$G$5,Lists!$H$2:$H$5)</f>
        <v>₹1,500 - 2,000</v>
      </c>
      <c r="Y458" s="79" t="str">
        <f aca="false">LOOKUP($W458,Lists!$I$2:$I$7,Lists!$J$2:$J$7)</f>
        <v>2 - 4 days</v>
      </c>
    </row>
    <row r="459" customFormat="false" ht="15" hidden="false" customHeight="false" outlineLevel="0" collapsed="false">
      <c r="A459" s="2" t="n">
        <v>458</v>
      </c>
      <c r="B459" s="2" t="s">
        <v>266</v>
      </c>
      <c r="C459" s="2" t="n">
        <v>32</v>
      </c>
      <c r="D459" s="2" t="n">
        <v>2</v>
      </c>
      <c r="E459" s="82" t="n">
        <v>45126</v>
      </c>
      <c r="F459" s="83" t="n">
        <v>0.723263888888889</v>
      </c>
      <c r="G459" s="82" t="n">
        <v>45131</v>
      </c>
      <c r="H459" s="83" t="n">
        <v>0.856064814814815</v>
      </c>
      <c r="I459" s="2" t="s">
        <v>542</v>
      </c>
      <c r="J459" s="2" t="s">
        <v>31</v>
      </c>
      <c r="K459" s="46" t="str">
        <f aca="false">INDEX(Products!$B$2:$B$71,MATCH($C459,Products!$A$2:$A$71,0))</f>
        <v>Fuga Set</v>
      </c>
      <c r="L459" s="46" t="str">
        <f aca="false">INDEX(Products!$C$2:$C$71,MATCH($C459,Products!$A$2:$A$71,0))</f>
        <v>Soft Toys</v>
      </c>
      <c r="M459" s="84" t="n">
        <f aca="false">INDEX(Products!$D$2:$D$71,MATCH($C459,Products!$A$2:$A$71,0))</f>
        <v>1792</v>
      </c>
      <c r="N459" s="84" t="n">
        <f aca="false">$D459*$M459</f>
        <v>3584</v>
      </c>
      <c r="O459" s="46" t="str">
        <f aca="false">INDEX(Customers!$C$2:$C$101,MATCH($B459,Customers!$A$2:$A$101,0))</f>
        <v>Bidhannagar</v>
      </c>
      <c r="P459" s="46" t="str">
        <f aca="false">INDEX(Customers!$F$2:$F$101,MATCH($B459,Customers!$A$2:$A$101,0))</f>
        <v>Female</v>
      </c>
      <c r="Q459" s="46" t="str">
        <f aca="false">INDEX(Customers!$B$2:$B$101,MATCH($B459,Customers!$A$2:$A$101,0))</f>
        <v>Umang Ahuja</v>
      </c>
      <c r="R459" s="46" t="n">
        <f aca="false">MONTH($E459)</f>
        <v>7</v>
      </c>
      <c r="S459" s="46" t="str">
        <f aca="false">INDEX(Lists!$B$2:$B$13,$R459)</f>
        <v>July</v>
      </c>
      <c r="T459" s="46" t="n">
        <f aca="false">HOUR($F459)</f>
        <v>17</v>
      </c>
      <c r="U459" s="46" t="n">
        <f aca="false">WEEKDAY($E459,2)</f>
        <v>3</v>
      </c>
      <c r="V459" s="46" t="str">
        <f aca="false">INDEX(Lists!$F$2:$F$8,$U459)</f>
        <v>Wednesday</v>
      </c>
      <c r="W459" s="85" t="n">
        <f aca="false">($G459+$H459)-($E459+$F459)</f>
        <v>5.13280092592593</v>
      </c>
      <c r="X459" s="46" t="str">
        <f aca="false">LOOKUP($M459,Lists!$G$2:$G$5,Lists!$H$2:$H$5)</f>
        <v>₹1,500 - 2,000</v>
      </c>
      <c r="Y459" s="46" t="str">
        <f aca="false">LOOKUP($W459,Lists!$I$2:$I$7,Lists!$J$2:$J$7)</f>
        <v>4 - 6 days</v>
      </c>
    </row>
    <row r="460" customFormat="false" ht="15" hidden="false" customHeight="false" outlineLevel="0" collapsed="false">
      <c r="A460" s="7" t="n">
        <v>459</v>
      </c>
      <c r="B460" s="7" t="s">
        <v>375</v>
      </c>
      <c r="C460" s="7" t="n">
        <v>12</v>
      </c>
      <c r="D460" s="7" t="n">
        <v>2</v>
      </c>
      <c r="E460" s="77" t="n">
        <v>45014</v>
      </c>
      <c r="F460" s="78" t="n">
        <v>0.308969907407407</v>
      </c>
      <c r="G460" s="77" t="n">
        <v>45015</v>
      </c>
      <c r="H460" s="78" t="n">
        <v>0.315636574074074</v>
      </c>
      <c r="I460" s="7" t="s">
        <v>544</v>
      </c>
      <c r="J460" s="7" t="s">
        <v>168</v>
      </c>
      <c r="K460" s="79" t="str">
        <f aca="false">INDEX(Products!$B$2:$B$71,MATCH($C460,Products!$A$2:$A$71,0))</f>
        <v>Non Set</v>
      </c>
      <c r="L460" s="79" t="str">
        <f aca="false">INDEX(Products!$C$2:$C$71,MATCH($C460,Products!$A$2:$A$71,0))</f>
        <v>Plants</v>
      </c>
      <c r="M460" s="80" t="n">
        <f aca="false">INDEX(Products!$D$2:$D$71,MATCH($C460,Products!$A$2:$A$71,0))</f>
        <v>672</v>
      </c>
      <c r="N460" s="80" t="n">
        <f aca="false">$D460*$M460</f>
        <v>1344</v>
      </c>
      <c r="O460" s="79" t="str">
        <f aca="false">INDEX(Customers!$C$2:$C$101,MATCH($B460,Customers!$A$2:$A$101,0))</f>
        <v>Tumkur</v>
      </c>
      <c r="P460" s="79" t="str">
        <f aca="false">INDEX(Customers!$F$2:$F$101,MATCH($B460,Customers!$A$2:$A$101,0))</f>
        <v>Male</v>
      </c>
      <c r="Q460" s="79" t="str">
        <f aca="false">INDEX(Customers!$B$2:$B$101,MATCH($B460,Customers!$A$2:$A$101,0))</f>
        <v>Mamooty Bawa</v>
      </c>
      <c r="R460" s="79" t="n">
        <f aca="false">MONTH($E460)</f>
        <v>3</v>
      </c>
      <c r="S460" s="79" t="str">
        <f aca="false">INDEX(Lists!$B$2:$B$13,$R460)</f>
        <v>March</v>
      </c>
      <c r="T460" s="79" t="n">
        <f aca="false">HOUR($F460)</f>
        <v>7</v>
      </c>
      <c r="U460" s="79" t="n">
        <f aca="false">WEEKDAY($E460,2)</f>
        <v>3</v>
      </c>
      <c r="V460" s="79" t="str">
        <f aca="false">INDEX(Lists!$F$2:$F$8,$U460)</f>
        <v>Wednesday</v>
      </c>
      <c r="W460" s="81" t="n">
        <f aca="false">($G460+$H460)-($E460+$F460)</f>
        <v>1.00666666666667</v>
      </c>
      <c r="X460" s="79" t="str">
        <f aca="false">LOOKUP($M460,Lists!$G$2:$G$5,Lists!$H$2:$H$5)</f>
        <v>₹500 - 999</v>
      </c>
      <c r="Y460" s="79" t="str">
        <f aca="false">LOOKUP($W460,Lists!$I$2:$I$7,Lists!$J$2:$J$7)</f>
        <v>0 - 2 days</v>
      </c>
    </row>
    <row r="461" customFormat="false" ht="15" hidden="false" customHeight="false" outlineLevel="0" collapsed="false">
      <c r="A461" s="2" t="n">
        <v>460</v>
      </c>
      <c r="B461" s="2" t="s">
        <v>142</v>
      </c>
      <c r="C461" s="2" t="n">
        <v>29</v>
      </c>
      <c r="D461" s="2" t="n">
        <v>2</v>
      </c>
      <c r="E461" s="82" t="n">
        <v>44989</v>
      </c>
      <c r="F461" s="83" t="n">
        <v>0.332326388888889</v>
      </c>
      <c r="G461" s="82" t="n">
        <v>44991</v>
      </c>
      <c r="H461" s="83" t="n">
        <v>0.00516203703703704</v>
      </c>
      <c r="I461" s="2" t="s">
        <v>461</v>
      </c>
      <c r="J461" s="2" t="s">
        <v>33</v>
      </c>
      <c r="K461" s="46" t="str">
        <f aca="false">INDEX(Products!$B$2:$B$71,MATCH($C461,Products!$A$2:$A$71,0))</f>
        <v>In Set</v>
      </c>
      <c r="L461" s="46" t="str">
        <f aca="false">INDEX(Products!$C$2:$C$71,MATCH($C461,Products!$A$2:$A$71,0))</f>
        <v>Colors</v>
      </c>
      <c r="M461" s="84" t="n">
        <f aca="false">INDEX(Products!$D$2:$D$71,MATCH($C461,Products!$A$2:$A$71,0))</f>
        <v>1252</v>
      </c>
      <c r="N461" s="84" t="n">
        <f aca="false">$D461*$M461</f>
        <v>2504</v>
      </c>
      <c r="O461" s="46" t="str">
        <f aca="false">INDEX(Customers!$C$2:$C$101,MATCH($B461,Customers!$A$2:$A$101,0))</f>
        <v>Berhampore</v>
      </c>
      <c r="P461" s="46" t="str">
        <f aca="false">INDEX(Customers!$F$2:$F$101,MATCH($B461,Customers!$A$2:$A$101,0))</f>
        <v>Male</v>
      </c>
      <c r="Q461" s="46" t="str">
        <f aca="false">INDEX(Customers!$B$2:$B$101,MATCH($B461,Customers!$A$2:$A$101,0))</f>
        <v>Jayant Kamdar</v>
      </c>
      <c r="R461" s="46" t="n">
        <f aca="false">MONTH($E461)</f>
        <v>3</v>
      </c>
      <c r="S461" s="46" t="str">
        <f aca="false">INDEX(Lists!$B$2:$B$13,$R461)</f>
        <v>March</v>
      </c>
      <c r="T461" s="46" t="n">
        <f aca="false">HOUR($F461)</f>
        <v>7</v>
      </c>
      <c r="U461" s="46" t="n">
        <f aca="false">WEEKDAY($E461,2)</f>
        <v>6</v>
      </c>
      <c r="V461" s="46" t="str">
        <f aca="false">INDEX(Lists!$F$2:$F$8,$U461)</f>
        <v>Saturday</v>
      </c>
      <c r="W461" s="85" t="n">
        <f aca="false">($G461+$H461)-($E461+$F461)</f>
        <v>1.67283564814815</v>
      </c>
      <c r="X461" s="46" t="str">
        <f aca="false">LOOKUP($M461,Lists!$G$2:$G$5,Lists!$H$2:$H$5)</f>
        <v>₹1,000 - 1,499</v>
      </c>
      <c r="Y461" s="46" t="str">
        <f aca="false">LOOKUP($W461,Lists!$I$2:$I$7,Lists!$J$2:$J$7)</f>
        <v>0 - 2 days</v>
      </c>
    </row>
    <row r="462" customFormat="false" ht="15" hidden="false" customHeight="false" outlineLevel="0" collapsed="false">
      <c r="A462" s="7" t="n">
        <v>461</v>
      </c>
      <c r="B462" s="7" t="s">
        <v>347</v>
      </c>
      <c r="C462" s="7" t="n">
        <v>12</v>
      </c>
      <c r="D462" s="7" t="n">
        <v>4</v>
      </c>
      <c r="E462" s="77" t="n">
        <v>45099</v>
      </c>
      <c r="F462" s="78" t="n">
        <v>0.342094907407407</v>
      </c>
      <c r="G462" s="77" t="n">
        <v>45104</v>
      </c>
      <c r="H462" s="78" t="n">
        <v>0.620092592592593</v>
      </c>
      <c r="I462" s="7" t="s">
        <v>577</v>
      </c>
      <c r="J462" s="7" t="s">
        <v>168</v>
      </c>
      <c r="K462" s="79" t="str">
        <f aca="false">INDEX(Products!$B$2:$B$71,MATCH($C462,Products!$A$2:$A$71,0))</f>
        <v>Non Set</v>
      </c>
      <c r="L462" s="79" t="str">
        <f aca="false">INDEX(Products!$C$2:$C$71,MATCH($C462,Products!$A$2:$A$71,0))</f>
        <v>Plants</v>
      </c>
      <c r="M462" s="80" t="n">
        <f aca="false">INDEX(Products!$D$2:$D$71,MATCH($C462,Products!$A$2:$A$71,0))</f>
        <v>672</v>
      </c>
      <c r="N462" s="80" t="n">
        <f aca="false">$D462*$M462</f>
        <v>2688</v>
      </c>
      <c r="O462" s="79" t="str">
        <f aca="false">INDEX(Customers!$C$2:$C$101,MATCH($B462,Customers!$A$2:$A$101,0))</f>
        <v>Raurkela Industrial Township</v>
      </c>
      <c r="P462" s="79" t="str">
        <f aca="false">INDEX(Customers!$F$2:$F$101,MATCH($B462,Customers!$A$2:$A$101,0))</f>
        <v>Male</v>
      </c>
      <c r="Q462" s="79" t="str">
        <f aca="false">INDEX(Customers!$B$2:$B$101,MATCH($B462,Customers!$A$2:$A$101,0))</f>
        <v>Aaryahi Sodhi</v>
      </c>
      <c r="R462" s="79" t="n">
        <f aca="false">MONTH($E462)</f>
        <v>6</v>
      </c>
      <c r="S462" s="79" t="str">
        <f aca="false">INDEX(Lists!$B$2:$B$13,$R462)</f>
        <v>June</v>
      </c>
      <c r="T462" s="79" t="n">
        <f aca="false">HOUR($F462)</f>
        <v>8</v>
      </c>
      <c r="U462" s="79" t="n">
        <f aca="false">WEEKDAY($E462,2)</f>
        <v>4</v>
      </c>
      <c r="V462" s="79" t="str">
        <f aca="false">INDEX(Lists!$F$2:$F$8,$U462)</f>
        <v>Thursday</v>
      </c>
      <c r="W462" s="81" t="n">
        <f aca="false">($G462+$H462)-($E462+$F462)</f>
        <v>5.27799768518519</v>
      </c>
      <c r="X462" s="79" t="str">
        <f aca="false">LOOKUP($M462,Lists!$G$2:$G$5,Lists!$H$2:$H$5)</f>
        <v>₹500 - 999</v>
      </c>
      <c r="Y462" s="79" t="str">
        <f aca="false">LOOKUP($W462,Lists!$I$2:$I$7,Lists!$J$2:$J$7)</f>
        <v>4 - 6 days</v>
      </c>
    </row>
    <row r="463" customFormat="false" ht="15" hidden="false" customHeight="false" outlineLevel="0" collapsed="false">
      <c r="A463" s="2" t="n">
        <v>462</v>
      </c>
      <c r="B463" s="2" t="s">
        <v>309</v>
      </c>
      <c r="C463" s="2" t="n">
        <v>60</v>
      </c>
      <c r="D463" s="2" t="n">
        <v>5</v>
      </c>
      <c r="E463" s="82" t="n">
        <v>45234</v>
      </c>
      <c r="F463" s="83" t="n">
        <v>0.757013888888889</v>
      </c>
      <c r="G463" s="82" t="n">
        <v>45243</v>
      </c>
      <c r="H463" s="83" t="n">
        <v>0.597384259259259</v>
      </c>
      <c r="I463" s="2" t="s">
        <v>458</v>
      </c>
      <c r="J463" s="2" t="s">
        <v>32</v>
      </c>
      <c r="K463" s="46" t="str">
        <f aca="false">INDEX(Products!$B$2:$B$71,MATCH($C463,Products!$A$2:$A$71,0))</f>
        <v>Ea Set</v>
      </c>
      <c r="L463" s="46" t="str">
        <f aca="false">INDEX(Products!$C$2:$C$71,MATCH($C463,Products!$A$2:$A$71,0))</f>
        <v>Sweets</v>
      </c>
      <c r="M463" s="84" t="n">
        <f aca="false">INDEX(Products!$D$2:$D$71,MATCH($C463,Products!$A$2:$A$71,0))</f>
        <v>827</v>
      </c>
      <c r="N463" s="84" t="n">
        <f aca="false">$D463*$M463</f>
        <v>4135</v>
      </c>
      <c r="O463" s="46" t="str">
        <f aca="false">INDEX(Customers!$C$2:$C$101,MATCH($B463,Customers!$A$2:$A$101,0))</f>
        <v>Madhyamgram</v>
      </c>
      <c r="P463" s="46" t="str">
        <f aca="false">INDEX(Customers!$F$2:$F$101,MATCH($B463,Customers!$A$2:$A$101,0))</f>
        <v>Female</v>
      </c>
      <c r="Q463" s="46" t="str">
        <f aca="false">INDEX(Customers!$B$2:$B$101,MATCH($B463,Customers!$A$2:$A$101,0))</f>
        <v>Hunar Tripathi</v>
      </c>
      <c r="R463" s="46" t="n">
        <f aca="false">MONTH($E463)</f>
        <v>11</v>
      </c>
      <c r="S463" s="46" t="str">
        <f aca="false">INDEX(Lists!$B$2:$B$13,$R463)</f>
        <v>November</v>
      </c>
      <c r="T463" s="46" t="n">
        <f aca="false">HOUR($F463)</f>
        <v>18</v>
      </c>
      <c r="U463" s="46" t="n">
        <f aca="false">WEEKDAY($E463,2)</f>
        <v>6</v>
      </c>
      <c r="V463" s="46" t="str">
        <f aca="false">INDEX(Lists!$F$2:$F$8,$U463)</f>
        <v>Saturday</v>
      </c>
      <c r="W463" s="85" t="n">
        <f aca="false">($G463+$H463)-($E463+$F463)</f>
        <v>8.84037037037037</v>
      </c>
      <c r="X463" s="46" t="str">
        <f aca="false">LOOKUP($M463,Lists!$G$2:$G$5,Lists!$H$2:$H$5)</f>
        <v>₹500 - 999</v>
      </c>
      <c r="Y463" s="46" t="str">
        <f aca="false">LOOKUP($W463,Lists!$I$2:$I$7,Lists!$J$2:$J$7)</f>
        <v>8 - 10 days</v>
      </c>
    </row>
    <row r="464" customFormat="false" ht="15" hidden="false" customHeight="false" outlineLevel="0" collapsed="false">
      <c r="A464" s="7" t="n">
        <v>463</v>
      </c>
      <c r="B464" s="7" t="s">
        <v>334</v>
      </c>
      <c r="C464" s="7" t="n">
        <v>18</v>
      </c>
      <c r="D464" s="7" t="n">
        <v>3</v>
      </c>
      <c r="E464" s="77" t="n">
        <v>45193</v>
      </c>
      <c r="F464" s="78" t="n">
        <v>0.93318287037037</v>
      </c>
      <c r="G464" s="77" t="n">
        <v>45199</v>
      </c>
      <c r="H464" s="78" t="n">
        <v>0.0361458333333333</v>
      </c>
      <c r="I464" s="7" t="s">
        <v>408</v>
      </c>
      <c r="J464" s="7" t="s">
        <v>31</v>
      </c>
      <c r="K464" s="79" t="str">
        <f aca="false">INDEX(Products!$B$2:$B$71,MATCH($C464,Products!$A$2:$A$71,0))</f>
        <v>Nemo Set</v>
      </c>
      <c r="L464" s="79" t="str">
        <f aca="false">INDEX(Products!$C$2:$C$71,MATCH($C464,Products!$A$2:$A$71,0))</f>
        <v>Plants</v>
      </c>
      <c r="M464" s="80" t="n">
        <f aca="false">INDEX(Products!$D$2:$D$71,MATCH($C464,Products!$A$2:$A$71,0))</f>
        <v>781</v>
      </c>
      <c r="N464" s="80" t="n">
        <f aca="false">$D464*$M464</f>
        <v>2343</v>
      </c>
      <c r="O464" s="79" t="str">
        <f aca="false">INDEX(Customers!$C$2:$C$101,MATCH($B464,Customers!$A$2:$A$101,0))</f>
        <v>Bhubaneswar</v>
      </c>
      <c r="P464" s="79" t="str">
        <f aca="false">INDEX(Customers!$F$2:$F$101,MATCH($B464,Customers!$A$2:$A$101,0))</f>
        <v>Female</v>
      </c>
      <c r="Q464" s="79" t="str">
        <f aca="false">INDEX(Customers!$B$2:$B$101,MATCH($B464,Customers!$A$2:$A$101,0))</f>
        <v>Jivika Rajan</v>
      </c>
      <c r="R464" s="79" t="n">
        <f aca="false">MONTH($E464)</f>
        <v>9</v>
      </c>
      <c r="S464" s="79" t="str">
        <f aca="false">INDEX(Lists!$B$2:$B$13,$R464)</f>
        <v>September</v>
      </c>
      <c r="T464" s="79" t="n">
        <f aca="false">HOUR($F464)</f>
        <v>22</v>
      </c>
      <c r="U464" s="79" t="n">
        <f aca="false">WEEKDAY($E464,2)</f>
        <v>7</v>
      </c>
      <c r="V464" s="79" t="str">
        <f aca="false">INDEX(Lists!$F$2:$F$8,$U464)</f>
        <v>Sunday</v>
      </c>
      <c r="W464" s="81" t="n">
        <f aca="false">($G464+$H464)-($E464+$F464)</f>
        <v>5.10296296296296</v>
      </c>
      <c r="X464" s="79" t="str">
        <f aca="false">LOOKUP($M464,Lists!$G$2:$G$5,Lists!$H$2:$H$5)</f>
        <v>₹500 - 999</v>
      </c>
      <c r="Y464" s="79" t="str">
        <f aca="false">LOOKUP($W464,Lists!$I$2:$I$7,Lists!$J$2:$J$7)</f>
        <v>4 - 6 days</v>
      </c>
    </row>
    <row r="465" customFormat="false" ht="15" hidden="false" customHeight="false" outlineLevel="0" collapsed="false">
      <c r="A465" s="2" t="n">
        <v>464</v>
      </c>
      <c r="B465" s="2" t="s">
        <v>161</v>
      </c>
      <c r="C465" s="2" t="n">
        <v>18</v>
      </c>
      <c r="D465" s="2" t="n">
        <v>3</v>
      </c>
      <c r="E465" s="82" t="n">
        <v>45112</v>
      </c>
      <c r="F465" s="83" t="n">
        <v>0.12806712962963</v>
      </c>
      <c r="G465" s="82" t="n">
        <v>45115</v>
      </c>
      <c r="H465" s="83" t="n">
        <v>0.568576388888889</v>
      </c>
      <c r="I465" s="2" t="s">
        <v>296</v>
      </c>
      <c r="J465" s="2" t="s">
        <v>31</v>
      </c>
      <c r="K465" s="46" t="str">
        <f aca="false">INDEX(Products!$B$2:$B$71,MATCH($C465,Products!$A$2:$A$71,0))</f>
        <v>Nemo Set</v>
      </c>
      <c r="L465" s="46" t="str">
        <f aca="false">INDEX(Products!$C$2:$C$71,MATCH($C465,Products!$A$2:$A$71,0))</f>
        <v>Plants</v>
      </c>
      <c r="M465" s="84" t="n">
        <f aca="false">INDEX(Products!$D$2:$D$71,MATCH($C465,Products!$A$2:$A$71,0))</f>
        <v>781</v>
      </c>
      <c r="N465" s="84" t="n">
        <f aca="false">$D465*$M465</f>
        <v>2343</v>
      </c>
      <c r="O465" s="46" t="str">
        <f aca="false">INDEX(Customers!$C$2:$C$101,MATCH($B465,Customers!$A$2:$A$101,0))</f>
        <v>Panvel</v>
      </c>
      <c r="P465" s="46" t="str">
        <f aca="false">INDEX(Customers!$F$2:$F$101,MATCH($B465,Customers!$A$2:$A$101,0))</f>
        <v>Female</v>
      </c>
      <c r="Q465" s="46" t="str">
        <f aca="false">INDEX(Customers!$B$2:$B$101,MATCH($B465,Customers!$A$2:$A$101,0))</f>
        <v>Indrans Shukla</v>
      </c>
      <c r="R465" s="46" t="n">
        <f aca="false">MONTH($E465)</f>
        <v>7</v>
      </c>
      <c r="S465" s="46" t="str">
        <f aca="false">INDEX(Lists!$B$2:$B$13,$R465)</f>
        <v>July</v>
      </c>
      <c r="T465" s="46" t="n">
        <f aca="false">HOUR($F465)</f>
        <v>3</v>
      </c>
      <c r="U465" s="46" t="n">
        <f aca="false">WEEKDAY($E465,2)</f>
        <v>3</v>
      </c>
      <c r="V465" s="46" t="str">
        <f aca="false">INDEX(Lists!$F$2:$F$8,$U465)</f>
        <v>Wednesday</v>
      </c>
      <c r="W465" s="85" t="n">
        <f aca="false">($G465+$H465)-($E465+$F465)</f>
        <v>3.44050925925926</v>
      </c>
      <c r="X465" s="46" t="str">
        <f aca="false">LOOKUP($M465,Lists!$G$2:$G$5,Lists!$H$2:$H$5)</f>
        <v>₹500 - 999</v>
      </c>
      <c r="Y465" s="46" t="str">
        <f aca="false">LOOKUP($W465,Lists!$I$2:$I$7,Lists!$J$2:$J$7)</f>
        <v>2 - 4 days</v>
      </c>
    </row>
    <row r="466" customFormat="false" ht="15" hidden="false" customHeight="false" outlineLevel="0" collapsed="false">
      <c r="A466" s="7" t="n">
        <v>465</v>
      </c>
      <c r="B466" s="7" t="s">
        <v>196</v>
      </c>
      <c r="C466" s="7" t="n">
        <v>55</v>
      </c>
      <c r="D466" s="7" t="n">
        <v>5</v>
      </c>
      <c r="E466" s="77" t="n">
        <v>45161</v>
      </c>
      <c r="F466" s="78" t="n">
        <v>0.990416666666667</v>
      </c>
      <c r="G466" s="77" t="n">
        <v>45164</v>
      </c>
      <c r="H466" s="78" t="n">
        <v>0.56193287037037</v>
      </c>
      <c r="I466" s="7" t="s">
        <v>477</v>
      </c>
      <c r="J466" s="7" t="s">
        <v>40</v>
      </c>
      <c r="K466" s="79" t="str">
        <f aca="false">INDEX(Products!$B$2:$B$71,MATCH($C466,Products!$A$2:$A$71,0))</f>
        <v>Dolores Gift</v>
      </c>
      <c r="L466" s="79" t="str">
        <f aca="false">INDEX(Products!$C$2:$C$71,MATCH($C466,Products!$A$2:$A$71,0))</f>
        <v>Soft Toys</v>
      </c>
      <c r="M466" s="80" t="n">
        <f aca="false">INDEX(Products!$D$2:$D$71,MATCH($C466,Products!$A$2:$A$71,0))</f>
        <v>1904</v>
      </c>
      <c r="N466" s="80" t="n">
        <f aca="false">$D466*$M466</f>
        <v>9520</v>
      </c>
      <c r="O466" s="79" t="str">
        <f aca="false">INDEX(Customers!$C$2:$C$101,MATCH($B466,Customers!$A$2:$A$101,0))</f>
        <v>Haridwar</v>
      </c>
      <c r="P466" s="79" t="str">
        <f aca="false">INDEX(Customers!$F$2:$F$101,MATCH($B466,Customers!$A$2:$A$101,0))</f>
        <v>Female</v>
      </c>
      <c r="Q466" s="79" t="str">
        <f aca="false">INDEX(Customers!$B$2:$B$101,MATCH($B466,Customers!$A$2:$A$101,0))</f>
        <v>Badal Sathe</v>
      </c>
      <c r="R466" s="79" t="n">
        <f aca="false">MONTH($E466)</f>
        <v>8</v>
      </c>
      <c r="S466" s="79" t="str">
        <f aca="false">INDEX(Lists!$B$2:$B$13,$R466)</f>
        <v>August</v>
      </c>
      <c r="T466" s="79" t="n">
        <f aca="false">HOUR($F466)</f>
        <v>23</v>
      </c>
      <c r="U466" s="79" t="n">
        <f aca="false">WEEKDAY($E466,2)</f>
        <v>3</v>
      </c>
      <c r="V466" s="79" t="str">
        <f aca="false">INDEX(Lists!$F$2:$F$8,$U466)</f>
        <v>Wednesday</v>
      </c>
      <c r="W466" s="81" t="n">
        <f aca="false">($G466+$H466)-($E466+$F466)</f>
        <v>2.5715162037037</v>
      </c>
      <c r="X466" s="79" t="str">
        <f aca="false">LOOKUP($M466,Lists!$G$2:$G$5,Lists!$H$2:$H$5)</f>
        <v>₹1,500 - 2,000</v>
      </c>
      <c r="Y466" s="79" t="str">
        <f aca="false">LOOKUP($W466,Lists!$I$2:$I$7,Lists!$J$2:$J$7)</f>
        <v>2 - 4 days</v>
      </c>
    </row>
    <row r="467" customFormat="false" ht="15" hidden="false" customHeight="false" outlineLevel="0" collapsed="false">
      <c r="A467" s="2" t="n">
        <v>466</v>
      </c>
      <c r="B467" s="2" t="s">
        <v>263</v>
      </c>
      <c r="C467" s="2" t="n">
        <v>23</v>
      </c>
      <c r="D467" s="2" t="n">
        <v>1</v>
      </c>
      <c r="E467" s="82" t="n">
        <v>45202</v>
      </c>
      <c r="F467" s="83" t="n">
        <v>0.582199074074074</v>
      </c>
      <c r="G467" s="82" t="n">
        <v>45210</v>
      </c>
      <c r="H467" s="83" t="n">
        <v>0.416446759259259</v>
      </c>
      <c r="I467" s="2" t="s">
        <v>195</v>
      </c>
      <c r="J467" s="2" t="s">
        <v>168</v>
      </c>
      <c r="K467" s="46" t="str">
        <f aca="false">INDEX(Products!$B$2:$B$71,MATCH($C467,Products!$A$2:$A$71,0))</f>
        <v>Dignissimos Pack</v>
      </c>
      <c r="L467" s="46" t="str">
        <f aca="false">INDEX(Products!$C$2:$C$71,MATCH($C467,Products!$A$2:$A$71,0))</f>
        <v>Sweets</v>
      </c>
      <c r="M467" s="84" t="n">
        <f aca="false">INDEX(Products!$D$2:$D$71,MATCH($C467,Products!$A$2:$A$71,0))</f>
        <v>1098</v>
      </c>
      <c r="N467" s="84" t="n">
        <f aca="false">$D467*$M467</f>
        <v>1098</v>
      </c>
      <c r="O467" s="46" t="str">
        <f aca="false">INDEX(Customers!$C$2:$C$101,MATCH($B467,Customers!$A$2:$A$101,0))</f>
        <v>Bharatpur</v>
      </c>
      <c r="P467" s="46" t="str">
        <f aca="false">INDEX(Customers!$F$2:$F$101,MATCH($B467,Customers!$A$2:$A$101,0))</f>
        <v>Female</v>
      </c>
      <c r="Q467" s="46" t="str">
        <f aca="false">INDEX(Customers!$B$2:$B$101,MATCH($B467,Customers!$A$2:$A$101,0))</f>
        <v>Kismat Kapadia</v>
      </c>
      <c r="R467" s="46" t="n">
        <f aca="false">MONTH($E467)</f>
        <v>10</v>
      </c>
      <c r="S467" s="46" t="str">
        <f aca="false">INDEX(Lists!$B$2:$B$13,$R467)</f>
        <v>October</v>
      </c>
      <c r="T467" s="46" t="n">
        <f aca="false">HOUR($F467)</f>
        <v>13</v>
      </c>
      <c r="U467" s="46" t="n">
        <f aca="false">WEEKDAY($E467,2)</f>
        <v>2</v>
      </c>
      <c r="V467" s="46" t="str">
        <f aca="false">INDEX(Lists!$F$2:$F$8,$U467)</f>
        <v>Tuesday</v>
      </c>
      <c r="W467" s="85" t="n">
        <f aca="false">($G467+$H467)-($E467+$F467)</f>
        <v>7.83424768518519</v>
      </c>
      <c r="X467" s="46" t="str">
        <f aca="false">LOOKUP($M467,Lists!$G$2:$G$5,Lists!$H$2:$H$5)</f>
        <v>₹1,000 - 1,499</v>
      </c>
      <c r="Y467" s="46" t="str">
        <f aca="false">LOOKUP($W467,Lists!$I$2:$I$7,Lists!$J$2:$J$7)</f>
        <v>6 - 8 days</v>
      </c>
    </row>
    <row r="468" customFormat="false" ht="15" hidden="false" customHeight="false" outlineLevel="0" collapsed="false">
      <c r="A468" s="7" t="n">
        <v>467</v>
      </c>
      <c r="B468" s="7" t="s">
        <v>272</v>
      </c>
      <c r="C468" s="7" t="n">
        <v>53</v>
      </c>
      <c r="D468" s="7" t="n">
        <v>1</v>
      </c>
      <c r="E468" s="77" t="n">
        <v>45166</v>
      </c>
      <c r="F468" s="78" t="n">
        <v>0.596342592592593</v>
      </c>
      <c r="G468" s="77" t="n">
        <v>45171</v>
      </c>
      <c r="H468" s="78" t="n">
        <v>0.639016203703704</v>
      </c>
      <c r="I468" s="7" t="s">
        <v>376</v>
      </c>
      <c r="J468" s="7" t="s">
        <v>40</v>
      </c>
      <c r="K468" s="79" t="str">
        <f aca="false">INDEX(Products!$B$2:$B$71,MATCH($C468,Products!$A$2:$A$71,0))</f>
        <v>Ipsam Set</v>
      </c>
      <c r="L468" s="79" t="str">
        <f aca="false">INDEX(Products!$C$2:$C$71,MATCH($C468,Products!$A$2:$A$71,0))</f>
        <v>Sweets</v>
      </c>
      <c r="M468" s="80" t="n">
        <f aca="false">INDEX(Products!$D$2:$D$71,MATCH($C468,Products!$A$2:$A$71,0))</f>
        <v>1672</v>
      </c>
      <c r="N468" s="80" t="n">
        <f aca="false">$D468*$M468</f>
        <v>1672</v>
      </c>
      <c r="O468" s="79" t="str">
        <f aca="false">INDEX(Customers!$C$2:$C$101,MATCH($B468,Customers!$A$2:$A$101,0))</f>
        <v>Haridwar</v>
      </c>
      <c r="P468" s="79" t="str">
        <f aca="false">INDEX(Customers!$F$2:$F$101,MATCH($B468,Customers!$A$2:$A$101,0))</f>
        <v>Male</v>
      </c>
      <c r="Q468" s="79" t="str">
        <f aca="false">INDEX(Customers!$B$2:$B$101,MATCH($B468,Customers!$A$2:$A$101,0))</f>
        <v>Pihu Choudhury</v>
      </c>
      <c r="R468" s="79" t="n">
        <f aca="false">MONTH($E468)</f>
        <v>8</v>
      </c>
      <c r="S468" s="79" t="str">
        <f aca="false">INDEX(Lists!$B$2:$B$13,$R468)</f>
        <v>August</v>
      </c>
      <c r="T468" s="79" t="n">
        <f aca="false">HOUR($F468)</f>
        <v>14</v>
      </c>
      <c r="U468" s="79" t="n">
        <f aca="false">WEEKDAY($E468,2)</f>
        <v>1</v>
      </c>
      <c r="V468" s="79" t="str">
        <f aca="false">INDEX(Lists!$F$2:$F$8,$U468)</f>
        <v>Monday</v>
      </c>
      <c r="W468" s="81" t="n">
        <f aca="false">($G468+$H468)-($E468+$F468)</f>
        <v>5.04267361111111</v>
      </c>
      <c r="X468" s="79" t="str">
        <f aca="false">LOOKUP($M468,Lists!$G$2:$G$5,Lists!$H$2:$H$5)</f>
        <v>₹1,500 - 2,000</v>
      </c>
      <c r="Y468" s="79" t="str">
        <f aca="false">LOOKUP($W468,Lists!$I$2:$I$7,Lists!$J$2:$J$7)</f>
        <v>4 - 6 days</v>
      </c>
    </row>
    <row r="469" customFormat="false" ht="15" hidden="false" customHeight="false" outlineLevel="0" collapsed="false">
      <c r="A469" s="2" t="n">
        <v>468</v>
      </c>
      <c r="B469" s="2" t="s">
        <v>142</v>
      </c>
      <c r="C469" s="2" t="n">
        <v>5</v>
      </c>
      <c r="D469" s="2" t="n">
        <v>2</v>
      </c>
      <c r="E469" s="82" t="n">
        <v>45132</v>
      </c>
      <c r="F469" s="83" t="n">
        <v>0.331550925925926</v>
      </c>
      <c r="G469" s="82" t="n">
        <v>45142</v>
      </c>
      <c r="H469" s="83" t="n">
        <v>0.0588773148148148</v>
      </c>
      <c r="I469" s="2" t="s">
        <v>538</v>
      </c>
      <c r="J469" s="2" t="s">
        <v>165</v>
      </c>
      <c r="K469" s="46" t="str">
        <f aca="false">INDEX(Products!$B$2:$B$71,MATCH($C469,Products!$A$2:$A$71,0))</f>
        <v>Natus Gift</v>
      </c>
      <c r="L469" s="46" t="str">
        <f aca="false">INDEX(Products!$C$2:$C$71,MATCH($C469,Products!$A$2:$A$71,0))</f>
        <v>Colors</v>
      </c>
      <c r="M469" s="84" t="n">
        <f aca="false">INDEX(Products!$D$2:$D$71,MATCH($C469,Products!$A$2:$A$71,0))</f>
        <v>1444</v>
      </c>
      <c r="N469" s="84" t="n">
        <f aca="false">$D469*$M469</f>
        <v>2888</v>
      </c>
      <c r="O469" s="46" t="str">
        <f aca="false">INDEX(Customers!$C$2:$C$101,MATCH($B469,Customers!$A$2:$A$101,0))</f>
        <v>Berhampore</v>
      </c>
      <c r="P469" s="46" t="str">
        <f aca="false">INDEX(Customers!$F$2:$F$101,MATCH($B469,Customers!$A$2:$A$101,0))</f>
        <v>Male</v>
      </c>
      <c r="Q469" s="46" t="str">
        <f aca="false">INDEX(Customers!$B$2:$B$101,MATCH($B469,Customers!$A$2:$A$101,0))</f>
        <v>Jayant Kamdar</v>
      </c>
      <c r="R469" s="46" t="n">
        <f aca="false">MONTH($E469)</f>
        <v>7</v>
      </c>
      <c r="S469" s="46" t="str">
        <f aca="false">INDEX(Lists!$B$2:$B$13,$R469)</f>
        <v>July</v>
      </c>
      <c r="T469" s="46" t="n">
        <f aca="false">HOUR($F469)</f>
        <v>7</v>
      </c>
      <c r="U469" s="46" t="n">
        <f aca="false">WEEKDAY($E469,2)</f>
        <v>2</v>
      </c>
      <c r="V469" s="46" t="str">
        <f aca="false">INDEX(Lists!$F$2:$F$8,$U469)</f>
        <v>Tuesday</v>
      </c>
      <c r="W469" s="85" t="n">
        <f aca="false">($G469+$H469)-($E469+$F469)</f>
        <v>9.72732638888889</v>
      </c>
      <c r="X469" s="46" t="str">
        <f aca="false">LOOKUP($M469,Lists!$G$2:$G$5,Lists!$H$2:$H$5)</f>
        <v>₹1,000 - 1,499</v>
      </c>
      <c r="Y469" s="46" t="str">
        <f aca="false">LOOKUP($W469,Lists!$I$2:$I$7,Lists!$J$2:$J$7)</f>
        <v>8 - 10 days</v>
      </c>
    </row>
    <row r="470" customFormat="false" ht="15" hidden="false" customHeight="false" outlineLevel="0" collapsed="false">
      <c r="A470" s="7" t="n">
        <v>469</v>
      </c>
      <c r="B470" s="7" t="s">
        <v>257</v>
      </c>
      <c r="C470" s="7" t="n">
        <v>42</v>
      </c>
      <c r="D470" s="7" t="n">
        <v>4</v>
      </c>
      <c r="E470" s="77" t="n">
        <v>45275</v>
      </c>
      <c r="F470" s="78" t="n">
        <v>0.295833333333333</v>
      </c>
      <c r="G470" s="77" t="n">
        <v>45279</v>
      </c>
      <c r="H470" s="78" t="n">
        <v>0.539456018518519</v>
      </c>
      <c r="I470" s="7" t="s">
        <v>447</v>
      </c>
      <c r="J470" s="7" t="s">
        <v>165</v>
      </c>
      <c r="K470" s="79" t="str">
        <f aca="false">INDEX(Products!$B$2:$B$71,MATCH($C470,Products!$A$2:$A$71,0))</f>
        <v>Expedita Gift</v>
      </c>
      <c r="L470" s="79" t="str">
        <f aca="false">INDEX(Products!$C$2:$C$71,MATCH($C470,Products!$A$2:$A$71,0))</f>
        <v>Sweets</v>
      </c>
      <c r="M470" s="80" t="n">
        <f aca="false">INDEX(Products!$D$2:$D$71,MATCH($C470,Products!$A$2:$A$71,0))</f>
        <v>1744</v>
      </c>
      <c r="N470" s="80" t="n">
        <f aca="false">$D470*$M470</f>
        <v>6976</v>
      </c>
      <c r="O470" s="79" t="str">
        <f aca="false">INDEX(Customers!$C$2:$C$101,MATCH($B470,Customers!$A$2:$A$101,0))</f>
        <v>Kota</v>
      </c>
      <c r="P470" s="79" t="str">
        <f aca="false">INDEX(Customers!$F$2:$F$101,MATCH($B470,Customers!$A$2:$A$101,0))</f>
        <v>Female</v>
      </c>
      <c r="Q470" s="79" t="str">
        <f aca="false">INDEX(Customers!$B$2:$B$101,MATCH($B470,Customers!$A$2:$A$101,0))</f>
        <v>Aradhya Batta</v>
      </c>
      <c r="R470" s="79" t="n">
        <f aca="false">MONTH($E470)</f>
        <v>12</v>
      </c>
      <c r="S470" s="79" t="str">
        <f aca="false">INDEX(Lists!$B$2:$B$13,$R470)</f>
        <v>December</v>
      </c>
      <c r="T470" s="79" t="n">
        <f aca="false">HOUR($F470)</f>
        <v>7</v>
      </c>
      <c r="U470" s="79" t="n">
        <f aca="false">WEEKDAY($E470,2)</f>
        <v>5</v>
      </c>
      <c r="V470" s="79" t="str">
        <f aca="false">INDEX(Lists!$F$2:$F$8,$U470)</f>
        <v>Friday</v>
      </c>
      <c r="W470" s="81" t="n">
        <f aca="false">($G470+$H470)-($E470+$F470)</f>
        <v>4.24362268518519</v>
      </c>
      <c r="X470" s="79" t="str">
        <f aca="false">LOOKUP($M470,Lists!$G$2:$G$5,Lists!$H$2:$H$5)</f>
        <v>₹1,500 - 2,000</v>
      </c>
      <c r="Y470" s="79" t="str">
        <f aca="false">LOOKUP($W470,Lists!$I$2:$I$7,Lists!$J$2:$J$7)</f>
        <v>4 - 6 days</v>
      </c>
    </row>
    <row r="471" customFormat="false" ht="15" hidden="false" customHeight="false" outlineLevel="0" collapsed="false">
      <c r="A471" s="2" t="n">
        <v>470</v>
      </c>
      <c r="B471" s="2" t="s">
        <v>200</v>
      </c>
      <c r="C471" s="2" t="n">
        <v>47</v>
      </c>
      <c r="D471" s="2" t="n">
        <v>5</v>
      </c>
      <c r="E471" s="82" t="n">
        <v>44985</v>
      </c>
      <c r="F471" s="83" t="n">
        <v>0.731990740740741</v>
      </c>
      <c r="G471" s="82" t="n">
        <v>44991</v>
      </c>
      <c r="H471" s="83" t="n">
        <v>0.645474537037037</v>
      </c>
      <c r="I471" s="2" t="s">
        <v>238</v>
      </c>
      <c r="J471" s="2" t="s">
        <v>33</v>
      </c>
      <c r="K471" s="46" t="str">
        <f aca="false">INDEX(Products!$B$2:$B$71,MATCH($C471,Products!$A$2:$A$71,0))</f>
        <v>Harum Pack</v>
      </c>
      <c r="L471" s="46" t="str">
        <f aca="false">INDEX(Products!$C$2:$C$71,MATCH($C471,Products!$A$2:$A$71,0))</f>
        <v>Colors</v>
      </c>
      <c r="M471" s="84" t="n">
        <f aca="false">INDEX(Products!$D$2:$D$71,MATCH($C471,Products!$A$2:$A$71,0))</f>
        <v>1638</v>
      </c>
      <c r="N471" s="84" t="n">
        <f aca="false">$D471*$M471</f>
        <v>8190</v>
      </c>
      <c r="O471" s="46" t="str">
        <f aca="false">INDEX(Customers!$C$2:$C$101,MATCH($B471,Customers!$A$2:$A$101,0))</f>
        <v>Sasaram</v>
      </c>
      <c r="P471" s="46" t="str">
        <f aca="false">INDEX(Customers!$F$2:$F$101,MATCH($B471,Customers!$A$2:$A$101,0))</f>
        <v>Female</v>
      </c>
      <c r="Q471" s="46" t="str">
        <f aca="false">INDEX(Customers!$B$2:$B$101,MATCH($B471,Customers!$A$2:$A$101,0))</f>
        <v>Madhup Wable</v>
      </c>
      <c r="R471" s="46" t="n">
        <f aca="false">MONTH($E471)</f>
        <v>2</v>
      </c>
      <c r="S471" s="46" t="str">
        <f aca="false">INDEX(Lists!$B$2:$B$13,$R471)</f>
        <v>February</v>
      </c>
      <c r="T471" s="46" t="n">
        <f aca="false">HOUR($F471)</f>
        <v>17</v>
      </c>
      <c r="U471" s="46" t="n">
        <f aca="false">WEEKDAY($E471,2)</f>
        <v>2</v>
      </c>
      <c r="V471" s="46" t="str">
        <f aca="false">INDEX(Lists!$F$2:$F$8,$U471)</f>
        <v>Tuesday</v>
      </c>
      <c r="W471" s="85" t="n">
        <f aca="false">($G471+$H471)-($E471+$F471)</f>
        <v>5.9134837962963</v>
      </c>
      <c r="X471" s="46" t="str">
        <f aca="false">LOOKUP($M471,Lists!$G$2:$G$5,Lists!$H$2:$H$5)</f>
        <v>₹1,500 - 2,000</v>
      </c>
      <c r="Y471" s="46" t="str">
        <f aca="false">LOOKUP($W471,Lists!$I$2:$I$7,Lists!$J$2:$J$7)</f>
        <v>4 - 6 days</v>
      </c>
    </row>
    <row r="472" customFormat="false" ht="15" hidden="false" customHeight="false" outlineLevel="0" collapsed="false">
      <c r="A472" s="7" t="n">
        <v>471</v>
      </c>
      <c r="B472" s="7" t="s">
        <v>372</v>
      </c>
      <c r="C472" s="7" t="n">
        <v>23</v>
      </c>
      <c r="D472" s="7" t="n">
        <v>2</v>
      </c>
      <c r="E472" s="77" t="n">
        <v>44957</v>
      </c>
      <c r="F472" s="78" t="n">
        <v>0.506261574074074</v>
      </c>
      <c r="G472" s="77" t="n">
        <v>44967</v>
      </c>
      <c r="H472" s="78" t="n">
        <v>0.243125</v>
      </c>
      <c r="I472" s="7" t="s">
        <v>592</v>
      </c>
      <c r="J472" s="7" t="s">
        <v>168</v>
      </c>
      <c r="K472" s="79" t="str">
        <f aca="false">INDEX(Products!$B$2:$B$71,MATCH($C472,Products!$A$2:$A$71,0))</f>
        <v>Dignissimos Pack</v>
      </c>
      <c r="L472" s="79" t="str">
        <f aca="false">INDEX(Products!$C$2:$C$71,MATCH($C472,Products!$A$2:$A$71,0))</f>
        <v>Sweets</v>
      </c>
      <c r="M472" s="80" t="n">
        <f aca="false">INDEX(Products!$D$2:$D$71,MATCH($C472,Products!$A$2:$A$71,0))</f>
        <v>1098</v>
      </c>
      <c r="N472" s="80" t="n">
        <f aca="false">$D472*$M472</f>
        <v>2196</v>
      </c>
      <c r="O472" s="79" t="str">
        <f aca="false">INDEX(Customers!$C$2:$C$101,MATCH($B472,Customers!$A$2:$A$101,0))</f>
        <v>Dibrugarh</v>
      </c>
      <c r="P472" s="79" t="str">
        <f aca="false">INDEX(Customers!$F$2:$F$101,MATCH($B472,Customers!$A$2:$A$101,0))</f>
        <v>Male</v>
      </c>
      <c r="Q472" s="79" t="str">
        <f aca="false">INDEX(Customers!$B$2:$B$101,MATCH($B472,Customers!$A$2:$A$101,0))</f>
        <v>Zoya Mani</v>
      </c>
      <c r="R472" s="79" t="n">
        <f aca="false">MONTH($E472)</f>
        <v>1</v>
      </c>
      <c r="S472" s="79" t="str">
        <f aca="false">INDEX(Lists!$B$2:$B$13,$R472)</f>
        <v>January</v>
      </c>
      <c r="T472" s="79" t="n">
        <f aca="false">HOUR($F472)</f>
        <v>12</v>
      </c>
      <c r="U472" s="79" t="n">
        <f aca="false">WEEKDAY($E472,2)</f>
        <v>2</v>
      </c>
      <c r="V472" s="79" t="str">
        <f aca="false">INDEX(Lists!$F$2:$F$8,$U472)</f>
        <v>Tuesday</v>
      </c>
      <c r="W472" s="81" t="n">
        <f aca="false">($G472+$H472)-($E472+$F472)</f>
        <v>9.73686342592593</v>
      </c>
      <c r="X472" s="79" t="str">
        <f aca="false">LOOKUP($M472,Lists!$G$2:$G$5,Lists!$H$2:$H$5)</f>
        <v>₹1,000 - 1,499</v>
      </c>
      <c r="Y472" s="79" t="str">
        <f aca="false">LOOKUP($W472,Lists!$I$2:$I$7,Lists!$J$2:$J$7)</f>
        <v>8 - 10 days</v>
      </c>
    </row>
    <row r="473" customFormat="false" ht="15" hidden="false" customHeight="false" outlineLevel="0" collapsed="false">
      <c r="A473" s="2" t="n">
        <v>472</v>
      </c>
      <c r="B473" s="2" t="s">
        <v>164</v>
      </c>
      <c r="C473" s="2" t="n">
        <v>56</v>
      </c>
      <c r="D473" s="2" t="n">
        <v>1</v>
      </c>
      <c r="E473" s="82" t="n">
        <v>45284</v>
      </c>
      <c r="F473" s="83" t="n">
        <v>0.314328703703704</v>
      </c>
      <c r="G473" s="82" t="n">
        <v>45290</v>
      </c>
      <c r="H473" s="83" t="n">
        <v>0.948819444444444</v>
      </c>
      <c r="I473" s="2" t="s">
        <v>454</v>
      </c>
      <c r="J473" s="2" t="s">
        <v>168</v>
      </c>
      <c r="K473" s="46" t="str">
        <f aca="false">INDEX(Products!$B$2:$B$71,MATCH($C473,Products!$A$2:$A$71,0))</f>
        <v>Quia Gift</v>
      </c>
      <c r="L473" s="46" t="str">
        <f aca="false">INDEX(Products!$C$2:$C$71,MATCH($C473,Products!$A$2:$A$71,0))</f>
        <v>Raksha Bandhan</v>
      </c>
      <c r="M473" s="84" t="n">
        <f aca="false">INDEX(Products!$D$2:$D$71,MATCH($C473,Products!$A$2:$A$71,0))</f>
        <v>1272</v>
      </c>
      <c r="N473" s="84" t="n">
        <f aca="false">$D473*$M473</f>
        <v>1272</v>
      </c>
      <c r="O473" s="46" t="str">
        <f aca="false">INDEX(Customers!$C$2:$C$101,MATCH($B473,Customers!$A$2:$A$101,0))</f>
        <v>Kolkata</v>
      </c>
      <c r="P473" s="46" t="str">
        <f aca="false">INDEX(Customers!$F$2:$F$101,MATCH($B473,Customers!$A$2:$A$101,0))</f>
        <v>Female</v>
      </c>
      <c r="Q473" s="46" t="str">
        <f aca="false">INDEX(Customers!$B$2:$B$101,MATCH($B473,Customers!$A$2:$A$101,0))</f>
        <v>Romil Bajwa</v>
      </c>
      <c r="R473" s="46" t="n">
        <f aca="false">MONTH($E473)</f>
        <v>12</v>
      </c>
      <c r="S473" s="46" t="str">
        <f aca="false">INDEX(Lists!$B$2:$B$13,$R473)</f>
        <v>December</v>
      </c>
      <c r="T473" s="46" t="n">
        <f aca="false">HOUR($F473)</f>
        <v>7</v>
      </c>
      <c r="U473" s="46" t="n">
        <f aca="false">WEEKDAY($E473,2)</f>
        <v>7</v>
      </c>
      <c r="V473" s="46" t="str">
        <f aca="false">INDEX(Lists!$F$2:$F$8,$U473)</f>
        <v>Sunday</v>
      </c>
      <c r="W473" s="85" t="n">
        <f aca="false">($G473+$H473)-($E473+$F473)</f>
        <v>6.63449074074074</v>
      </c>
      <c r="X473" s="46" t="str">
        <f aca="false">LOOKUP($M473,Lists!$G$2:$G$5,Lists!$H$2:$H$5)</f>
        <v>₹1,000 - 1,499</v>
      </c>
      <c r="Y473" s="46" t="str">
        <f aca="false">LOOKUP($W473,Lists!$I$2:$I$7,Lists!$J$2:$J$7)</f>
        <v>6 - 8 days</v>
      </c>
    </row>
    <row r="474" customFormat="false" ht="15" hidden="false" customHeight="false" outlineLevel="0" collapsed="false">
      <c r="A474" s="7" t="n">
        <v>473</v>
      </c>
      <c r="B474" s="7" t="s">
        <v>285</v>
      </c>
      <c r="C474" s="7" t="n">
        <v>22</v>
      </c>
      <c r="D474" s="7" t="n">
        <v>3</v>
      </c>
      <c r="E474" s="77" t="n">
        <v>45013</v>
      </c>
      <c r="F474" s="78" t="n">
        <v>0.343020833333333</v>
      </c>
      <c r="G474" s="77" t="n">
        <v>45020</v>
      </c>
      <c r="H474" s="78" t="n">
        <v>0.655763888888889</v>
      </c>
      <c r="I474" s="7" t="s">
        <v>389</v>
      </c>
      <c r="J474" s="7" t="s">
        <v>165</v>
      </c>
      <c r="K474" s="79" t="str">
        <f aca="false">INDEX(Products!$B$2:$B$71,MATCH($C474,Products!$A$2:$A$71,0))</f>
        <v>Exercitationem Pack</v>
      </c>
      <c r="L474" s="79" t="str">
        <f aca="false">INDEX(Products!$C$2:$C$71,MATCH($C474,Products!$A$2:$A$71,0))</f>
        <v>Soft Toys</v>
      </c>
      <c r="M474" s="80" t="n">
        <f aca="false">INDEX(Products!$D$2:$D$71,MATCH($C474,Products!$A$2:$A$71,0))</f>
        <v>1639</v>
      </c>
      <c r="N474" s="80" t="n">
        <f aca="false">$D474*$M474</f>
        <v>4917</v>
      </c>
      <c r="O474" s="79" t="str">
        <f aca="false">INDEX(Customers!$C$2:$C$101,MATCH($B474,Customers!$A$2:$A$101,0))</f>
        <v>Kavali</v>
      </c>
      <c r="P474" s="79" t="str">
        <f aca="false">INDEX(Customers!$F$2:$F$101,MATCH($B474,Customers!$A$2:$A$101,0))</f>
        <v>Female</v>
      </c>
      <c r="Q474" s="79" t="str">
        <f aca="false">INDEX(Customers!$B$2:$B$101,MATCH($B474,Customers!$A$2:$A$101,0))</f>
        <v>Akarsh Ramesh</v>
      </c>
      <c r="R474" s="79" t="n">
        <f aca="false">MONTH($E474)</f>
        <v>3</v>
      </c>
      <c r="S474" s="79" t="str">
        <f aca="false">INDEX(Lists!$B$2:$B$13,$R474)</f>
        <v>March</v>
      </c>
      <c r="T474" s="79" t="n">
        <f aca="false">HOUR($F474)</f>
        <v>8</v>
      </c>
      <c r="U474" s="79" t="n">
        <f aca="false">WEEKDAY($E474,2)</f>
        <v>2</v>
      </c>
      <c r="V474" s="79" t="str">
        <f aca="false">INDEX(Lists!$F$2:$F$8,$U474)</f>
        <v>Tuesday</v>
      </c>
      <c r="W474" s="81" t="n">
        <f aca="false">($G474+$H474)-($E474+$F474)</f>
        <v>7.31274305555556</v>
      </c>
      <c r="X474" s="79" t="str">
        <f aca="false">LOOKUP($M474,Lists!$G$2:$G$5,Lists!$H$2:$H$5)</f>
        <v>₹1,500 - 2,000</v>
      </c>
      <c r="Y474" s="79" t="str">
        <f aca="false">LOOKUP($W474,Lists!$I$2:$I$7,Lists!$J$2:$J$7)</f>
        <v>6 - 8 days</v>
      </c>
    </row>
    <row r="475" customFormat="false" ht="15" hidden="false" customHeight="false" outlineLevel="0" collapsed="false">
      <c r="A475" s="2" t="n">
        <v>474</v>
      </c>
      <c r="B475" s="2" t="s">
        <v>257</v>
      </c>
      <c r="C475" s="2" t="n">
        <v>1</v>
      </c>
      <c r="D475" s="2" t="n">
        <v>4</v>
      </c>
      <c r="E475" s="82" t="n">
        <v>44964</v>
      </c>
      <c r="F475" s="83" t="n">
        <v>0.272210648148148</v>
      </c>
      <c r="G475" s="82" t="n">
        <v>44971</v>
      </c>
      <c r="H475" s="83" t="n">
        <v>0.0834143518518519</v>
      </c>
      <c r="I475" s="2" t="s">
        <v>349</v>
      </c>
      <c r="J475" s="2" t="s">
        <v>165</v>
      </c>
      <c r="K475" s="46" t="str">
        <f aca="false">INDEX(Products!$B$2:$B$71,MATCH($C475,Products!$A$2:$A$71,0))</f>
        <v>Magnam Set</v>
      </c>
      <c r="L475" s="46" t="str">
        <f aca="false">INDEX(Products!$C$2:$C$71,MATCH($C475,Products!$A$2:$A$71,0))</f>
        <v>Soft Toys</v>
      </c>
      <c r="M475" s="84" t="n">
        <f aca="false">INDEX(Products!$D$2:$D$71,MATCH($C475,Products!$A$2:$A$71,0))</f>
        <v>1935</v>
      </c>
      <c r="N475" s="84" t="n">
        <f aca="false">$D475*$M475</f>
        <v>7740</v>
      </c>
      <c r="O475" s="46" t="str">
        <f aca="false">INDEX(Customers!$C$2:$C$101,MATCH($B475,Customers!$A$2:$A$101,0))</f>
        <v>Kota</v>
      </c>
      <c r="P475" s="46" t="str">
        <f aca="false">INDEX(Customers!$F$2:$F$101,MATCH($B475,Customers!$A$2:$A$101,0))</f>
        <v>Female</v>
      </c>
      <c r="Q475" s="46" t="str">
        <f aca="false">INDEX(Customers!$B$2:$B$101,MATCH($B475,Customers!$A$2:$A$101,0))</f>
        <v>Aradhya Batta</v>
      </c>
      <c r="R475" s="46" t="n">
        <f aca="false">MONTH($E475)</f>
        <v>2</v>
      </c>
      <c r="S475" s="46" t="str">
        <f aca="false">INDEX(Lists!$B$2:$B$13,$R475)</f>
        <v>February</v>
      </c>
      <c r="T475" s="46" t="n">
        <f aca="false">HOUR($F475)</f>
        <v>6</v>
      </c>
      <c r="U475" s="46" t="n">
        <f aca="false">WEEKDAY($E475,2)</f>
        <v>2</v>
      </c>
      <c r="V475" s="46" t="str">
        <f aca="false">INDEX(Lists!$F$2:$F$8,$U475)</f>
        <v>Tuesday</v>
      </c>
      <c r="W475" s="85" t="n">
        <f aca="false">($G475+$H475)-($E475+$F475)</f>
        <v>6.8112037037037</v>
      </c>
      <c r="X475" s="46" t="str">
        <f aca="false">LOOKUP($M475,Lists!$G$2:$G$5,Lists!$H$2:$H$5)</f>
        <v>₹1,500 - 2,000</v>
      </c>
      <c r="Y475" s="46" t="str">
        <f aca="false">LOOKUP($W475,Lists!$I$2:$I$7,Lists!$J$2:$J$7)</f>
        <v>6 - 8 days</v>
      </c>
    </row>
    <row r="476" customFormat="false" ht="15" hidden="false" customHeight="false" outlineLevel="0" collapsed="false">
      <c r="A476" s="7" t="n">
        <v>475</v>
      </c>
      <c r="B476" s="7" t="s">
        <v>390</v>
      </c>
      <c r="C476" s="7" t="n">
        <v>46</v>
      </c>
      <c r="D476" s="7" t="n">
        <v>2</v>
      </c>
      <c r="E476" s="77" t="n">
        <v>45264</v>
      </c>
      <c r="F476" s="78" t="n">
        <v>0.306516203703704</v>
      </c>
      <c r="G476" s="77" t="n">
        <v>45268</v>
      </c>
      <c r="H476" s="78" t="n">
        <v>0.564143518518519</v>
      </c>
      <c r="I476" s="7" t="s">
        <v>432</v>
      </c>
      <c r="J476" s="7" t="s">
        <v>168</v>
      </c>
      <c r="K476" s="79" t="str">
        <f aca="false">INDEX(Products!$B$2:$B$71,MATCH($C476,Products!$A$2:$A$71,0))</f>
        <v>Pariatur Set</v>
      </c>
      <c r="L476" s="79" t="str">
        <f aca="false">INDEX(Products!$C$2:$C$71,MATCH($C476,Products!$A$2:$A$71,0))</f>
        <v>Cake</v>
      </c>
      <c r="M476" s="80" t="n">
        <f aca="false">INDEX(Products!$D$2:$D$71,MATCH($C476,Products!$A$2:$A$71,0))</f>
        <v>758</v>
      </c>
      <c r="N476" s="80" t="n">
        <f aca="false">$D476*$M476</f>
        <v>1516</v>
      </c>
      <c r="O476" s="79" t="str">
        <f aca="false">INDEX(Customers!$C$2:$C$101,MATCH($B476,Customers!$A$2:$A$101,0))</f>
        <v>Dhanbad</v>
      </c>
      <c r="P476" s="79" t="str">
        <f aca="false">INDEX(Customers!$F$2:$F$101,MATCH($B476,Customers!$A$2:$A$101,0))</f>
        <v>Female</v>
      </c>
      <c r="Q476" s="79" t="str">
        <f aca="false">INDEX(Customers!$B$2:$B$101,MATCH($B476,Customers!$A$2:$A$101,0))</f>
        <v>Ranbir Loyal</v>
      </c>
      <c r="R476" s="79" t="n">
        <f aca="false">MONTH($E476)</f>
        <v>12</v>
      </c>
      <c r="S476" s="79" t="str">
        <f aca="false">INDEX(Lists!$B$2:$B$13,$R476)</f>
        <v>December</v>
      </c>
      <c r="T476" s="79" t="n">
        <f aca="false">HOUR($F476)</f>
        <v>7</v>
      </c>
      <c r="U476" s="79" t="n">
        <f aca="false">WEEKDAY($E476,2)</f>
        <v>1</v>
      </c>
      <c r="V476" s="79" t="str">
        <f aca="false">INDEX(Lists!$F$2:$F$8,$U476)</f>
        <v>Monday</v>
      </c>
      <c r="W476" s="81" t="n">
        <f aca="false">($G476+$H476)-($E476+$F476)</f>
        <v>4.25762731481481</v>
      </c>
      <c r="X476" s="79" t="str">
        <f aca="false">LOOKUP($M476,Lists!$G$2:$G$5,Lists!$H$2:$H$5)</f>
        <v>₹500 - 999</v>
      </c>
      <c r="Y476" s="79" t="str">
        <f aca="false">LOOKUP($W476,Lists!$I$2:$I$7,Lists!$J$2:$J$7)</f>
        <v>4 - 6 days</v>
      </c>
    </row>
    <row r="477" customFormat="false" ht="15" hidden="false" customHeight="false" outlineLevel="0" collapsed="false">
      <c r="A477" s="2" t="n">
        <v>476</v>
      </c>
      <c r="B477" s="2" t="s">
        <v>303</v>
      </c>
      <c r="C477" s="2" t="n">
        <v>40</v>
      </c>
      <c r="D477" s="2" t="n">
        <v>2</v>
      </c>
      <c r="E477" s="82" t="n">
        <v>45187</v>
      </c>
      <c r="F477" s="83" t="n">
        <v>0.0536805555555556</v>
      </c>
      <c r="G477" s="82" t="n">
        <v>45189</v>
      </c>
      <c r="H477" s="83" t="n">
        <v>0.745300925925926</v>
      </c>
      <c r="I477" s="2" t="s">
        <v>492</v>
      </c>
      <c r="J477" s="2" t="s">
        <v>168</v>
      </c>
      <c r="K477" s="46" t="str">
        <f aca="false">INDEX(Products!$B$2:$B$71,MATCH($C477,Products!$A$2:$A$71,0))</f>
        <v>Provident Pack</v>
      </c>
      <c r="L477" s="46" t="str">
        <f aca="false">INDEX(Products!$C$2:$C$71,MATCH($C477,Products!$A$2:$A$71,0))</f>
        <v>Sweets</v>
      </c>
      <c r="M477" s="84" t="n">
        <f aca="false">INDEX(Products!$D$2:$D$71,MATCH($C477,Products!$A$2:$A$71,0))</f>
        <v>1923</v>
      </c>
      <c r="N477" s="84" t="n">
        <f aca="false">$D477*$M477</f>
        <v>3846</v>
      </c>
      <c r="O477" s="46" t="str">
        <f aca="false">INDEX(Customers!$C$2:$C$101,MATCH($B477,Customers!$A$2:$A$101,0))</f>
        <v>Anand</v>
      </c>
      <c r="P477" s="46" t="str">
        <f aca="false">INDEX(Customers!$F$2:$F$101,MATCH($B477,Customers!$A$2:$A$101,0))</f>
        <v>Male</v>
      </c>
      <c r="Q477" s="46" t="str">
        <f aca="false">INDEX(Customers!$B$2:$B$101,MATCH($B477,Customers!$A$2:$A$101,0))</f>
        <v>Eva Sankaran</v>
      </c>
      <c r="R477" s="46" t="n">
        <f aca="false">MONTH($E477)</f>
        <v>9</v>
      </c>
      <c r="S477" s="46" t="str">
        <f aca="false">INDEX(Lists!$B$2:$B$13,$R477)</f>
        <v>September</v>
      </c>
      <c r="T477" s="46" t="n">
        <f aca="false">HOUR($F477)</f>
        <v>1</v>
      </c>
      <c r="U477" s="46" t="n">
        <f aca="false">WEEKDAY($E477,2)</f>
        <v>1</v>
      </c>
      <c r="V477" s="46" t="str">
        <f aca="false">INDEX(Lists!$F$2:$F$8,$U477)</f>
        <v>Monday</v>
      </c>
      <c r="W477" s="85" t="n">
        <f aca="false">($G477+$H477)-($E477+$F477)</f>
        <v>2.69162037037037</v>
      </c>
      <c r="X477" s="46" t="str">
        <f aca="false">LOOKUP($M477,Lists!$G$2:$G$5,Lists!$H$2:$H$5)</f>
        <v>₹1,500 - 2,000</v>
      </c>
      <c r="Y477" s="46" t="str">
        <f aca="false">LOOKUP($W477,Lists!$I$2:$I$7,Lists!$J$2:$J$7)</f>
        <v>2 - 4 days</v>
      </c>
    </row>
    <row r="478" customFormat="false" ht="15" hidden="false" customHeight="false" outlineLevel="0" collapsed="false">
      <c r="A478" s="7" t="n">
        <v>477</v>
      </c>
      <c r="B478" s="7" t="s">
        <v>390</v>
      </c>
      <c r="C478" s="7" t="n">
        <v>33</v>
      </c>
      <c r="D478" s="7" t="n">
        <v>4</v>
      </c>
      <c r="E478" s="77" t="n">
        <v>44969</v>
      </c>
      <c r="F478" s="78" t="n">
        <v>0.7209375</v>
      </c>
      <c r="G478" s="77" t="n">
        <v>44971</v>
      </c>
      <c r="H478" s="78" t="n">
        <v>0.133240740740741</v>
      </c>
      <c r="I478" s="7" t="s">
        <v>381</v>
      </c>
      <c r="J478" s="7" t="s">
        <v>179</v>
      </c>
      <c r="K478" s="79" t="str">
        <f aca="false">INDEX(Products!$B$2:$B$71,MATCH($C478,Products!$A$2:$A$71,0))</f>
        <v>Earum Set</v>
      </c>
      <c r="L478" s="79" t="str">
        <f aca="false">INDEX(Products!$C$2:$C$71,MATCH($C478,Products!$A$2:$A$71,0))</f>
        <v>Colors</v>
      </c>
      <c r="M478" s="80" t="n">
        <f aca="false">INDEX(Products!$D$2:$D$71,MATCH($C478,Products!$A$2:$A$71,0))</f>
        <v>314</v>
      </c>
      <c r="N478" s="80" t="n">
        <f aca="false">$D478*$M478</f>
        <v>1256</v>
      </c>
      <c r="O478" s="79" t="str">
        <f aca="false">INDEX(Customers!$C$2:$C$101,MATCH($B478,Customers!$A$2:$A$101,0))</f>
        <v>Dhanbad</v>
      </c>
      <c r="P478" s="79" t="str">
        <f aca="false">INDEX(Customers!$F$2:$F$101,MATCH($B478,Customers!$A$2:$A$101,0))</f>
        <v>Female</v>
      </c>
      <c r="Q478" s="79" t="str">
        <f aca="false">INDEX(Customers!$B$2:$B$101,MATCH($B478,Customers!$A$2:$A$101,0))</f>
        <v>Ranbir Loyal</v>
      </c>
      <c r="R478" s="79" t="n">
        <f aca="false">MONTH($E478)</f>
        <v>2</v>
      </c>
      <c r="S478" s="79" t="str">
        <f aca="false">INDEX(Lists!$B$2:$B$13,$R478)</f>
        <v>February</v>
      </c>
      <c r="T478" s="79" t="n">
        <f aca="false">HOUR($F478)</f>
        <v>17</v>
      </c>
      <c r="U478" s="79" t="n">
        <f aca="false">WEEKDAY($E478,2)</f>
        <v>7</v>
      </c>
      <c r="V478" s="79" t="str">
        <f aca="false">INDEX(Lists!$F$2:$F$8,$U478)</f>
        <v>Sunday</v>
      </c>
      <c r="W478" s="81" t="n">
        <f aca="false">($G478+$H478)-($E478+$F478)</f>
        <v>1.41230324074074</v>
      </c>
      <c r="X478" s="79" t="str">
        <f aca="false">LOOKUP($M478,Lists!$G$2:$G$5,Lists!$H$2:$H$5)</f>
        <v>₹0 - 499</v>
      </c>
      <c r="Y478" s="79" t="str">
        <f aca="false">LOOKUP($W478,Lists!$I$2:$I$7,Lists!$J$2:$J$7)</f>
        <v>0 - 2 days</v>
      </c>
    </row>
    <row r="479" customFormat="false" ht="15" hidden="false" customHeight="false" outlineLevel="0" collapsed="false">
      <c r="A479" s="2" t="n">
        <v>478</v>
      </c>
      <c r="B479" s="2" t="s">
        <v>130</v>
      </c>
      <c r="C479" s="2" t="n">
        <v>11</v>
      </c>
      <c r="D479" s="2" t="n">
        <v>5</v>
      </c>
      <c r="E479" s="82" t="n">
        <v>44965</v>
      </c>
      <c r="F479" s="83" t="n">
        <v>0.0495486111111111</v>
      </c>
      <c r="G479" s="82" t="n">
        <v>44966</v>
      </c>
      <c r="H479" s="83" t="n">
        <v>0.40994212962963</v>
      </c>
      <c r="I479" s="2" t="s">
        <v>163</v>
      </c>
      <c r="J479" s="2" t="s">
        <v>179</v>
      </c>
      <c r="K479" s="46" t="str">
        <f aca="false">INDEX(Products!$B$2:$B$71,MATCH($C479,Products!$A$2:$A$71,0))</f>
        <v>Maxime Set</v>
      </c>
      <c r="L479" s="46" t="str">
        <f aca="false">INDEX(Products!$C$2:$C$71,MATCH($C479,Products!$A$2:$A$71,0))</f>
        <v>Mugs</v>
      </c>
      <c r="M479" s="84" t="n">
        <f aca="false">INDEX(Products!$D$2:$D$71,MATCH($C479,Products!$A$2:$A$71,0))</f>
        <v>1096</v>
      </c>
      <c r="N479" s="84" t="n">
        <f aca="false">$D479*$M479</f>
        <v>5480</v>
      </c>
      <c r="O479" s="46" t="str">
        <f aca="false">INDEX(Customers!$C$2:$C$101,MATCH($B479,Customers!$A$2:$A$101,0))</f>
        <v>Bilaspur</v>
      </c>
      <c r="P479" s="46" t="str">
        <f aca="false">INDEX(Customers!$F$2:$F$101,MATCH($B479,Customers!$A$2:$A$101,0))</f>
        <v>Male</v>
      </c>
      <c r="Q479" s="46" t="str">
        <f aca="false">INDEX(Customers!$B$2:$B$101,MATCH($B479,Customers!$A$2:$A$101,0))</f>
        <v>Jayesh Lanka</v>
      </c>
      <c r="R479" s="46" t="n">
        <f aca="false">MONTH($E479)</f>
        <v>2</v>
      </c>
      <c r="S479" s="46" t="str">
        <f aca="false">INDEX(Lists!$B$2:$B$13,$R479)</f>
        <v>February</v>
      </c>
      <c r="T479" s="46" t="n">
        <f aca="false">HOUR($F479)</f>
        <v>1</v>
      </c>
      <c r="U479" s="46" t="n">
        <f aca="false">WEEKDAY($E479,2)</f>
        <v>3</v>
      </c>
      <c r="V479" s="46" t="str">
        <f aca="false">INDEX(Lists!$F$2:$F$8,$U479)</f>
        <v>Wednesday</v>
      </c>
      <c r="W479" s="85" t="n">
        <f aca="false">($G479+$H479)-($E479+$F479)</f>
        <v>1.36039351851852</v>
      </c>
      <c r="X479" s="46" t="str">
        <f aca="false">LOOKUP($M479,Lists!$G$2:$G$5,Lists!$H$2:$H$5)</f>
        <v>₹1,000 - 1,499</v>
      </c>
      <c r="Y479" s="46" t="str">
        <f aca="false">LOOKUP($W479,Lists!$I$2:$I$7,Lists!$J$2:$J$7)</f>
        <v>0 - 2 days</v>
      </c>
    </row>
    <row r="480" customFormat="false" ht="15" hidden="false" customHeight="false" outlineLevel="0" collapsed="false">
      <c r="A480" s="7" t="n">
        <v>479</v>
      </c>
      <c r="B480" s="7" t="s">
        <v>313</v>
      </c>
      <c r="C480" s="7" t="n">
        <v>11</v>
      </c>
      <c r="D480" s="7" t="n">
        <v>1</v>
      </c>
      <c r="E480" s="77" t="n">
        <v>44964</v>
      </c>
      <c r="F480" s="78" t="n">
        <v>0.741909722222222</v>
      </c>
      <c r="G480" s="77" t="n">
        <v>44968</v>
      </c>
      <c r="H480" s="78" t="n">
        <v>0.450150462962963</v>
      </c>
      <c r="I480" s="7" t="s">
        <v>387</v>
      </c>
      <c r="J480" s="7" t="s">
        <v>179</v>
      </c>
      <c r="K480" s="79" t="str">
        <f aca="false">INDEX(Products!$B$2:$B$71,MATCH($C480,Products!$A$2:$A$71,0))</f>
        <v>Maxime Set</v>
      </c>
      <c r="L480" s="79" t="str">
        <f aca="false">INDEX(Products!$C$2:$C$71,MATCH($C480,Products!$A$2:$A$71,0))</f>
        <v>Mugs</v>
      </c>
      <c r="M480" s="80" t="n">
        <f aca="false">INDEX(Products!$D$2:$D$71,MATCH($C480,Products!$A$2:$A$71,0))</f>
        <v>1096</v>
      </c>
      <c r="N480" s="80" t="n">
        <f aca="false">$D480*$M480</f>
        <v>1096</v>
      </c>
      <c r="O480" s="79" t="str">
        <f aca="false">INDEX(Customers!$C$2:$C$101,MATCH($B480,Customers!$A$2:$A$101,0))</f>
        <v>Tiruppur</v>
      </c>
      <c r="P480" s="79" t="str">
        <f aca="false">INDEX(Customers!$F$2:$F$101,MATCH($B480,Customers!$A$2:$A$101,0))</f>
        <v>Male</v>
      </c>
      <c r="Q480" s="79" t="str">
        <f aca="false">INDEX(Customers!$B$2:$B$101,MATCH($B480,Customers!$A$2:$A$101,0))</f>
        <v>Purab Sheth</v>
      </c>
      <c r="R480" s="79" t="n">
        <f aca="false">MONTH($E480)</f>
        <v>2</v>
      </c>
      <c r="S480" s="79" t="str">
        <f aca="false">INDEX(Lists!$B$2:$B$13,$R480)</f>
        <v>February</v>
      </c>
      <c r="T480" s="79" t="n">
        <f aca="false">HOUR($F480)</f>
        <v>17</v>
      </c>
      <c r="U480" s="79" t="n">
        <f aca="false">WEEKDAY($E480,2)</f>
        <v>2</v>
      </c>
      <c r="V480" s="79" t="str">
        <f aca="false">INDEX(Lists!$F$2:$F$8,$U480)</f>
        <v>Tuesday</v>
      </c>
      <c r="W480" s="81" t="n">
        <f aca="false">($G480+$H480)-($E480+$F480)</f>
        <v>3.70824074074074</v>
      </c>
      <c r="X480" s="79" t="str">
        <f aca="false">LOOKUP($M480,Lists!$G$2:$G$5,Lists!$H$2:$H$5)</f>
        <v>₹1,000 - 1,499</v>
      </c>
      <c r="Y480" s="79" t="str">
        <f aca="false">LOOKUP($W480,Lists!$I$2:$I$7,Lists!$J$2:$J$7)</f>
        <v>2 - 4 days</v>
      </c>
    </row>
    <row r="481" customFormat="false" ht="15" hidden="false" customHeight="false" outlineLevel="0" collapsed="false">
      <c r="A481" s="2" t="n">
        <v>480</v>
      </c>
      <c r="B481" s="2" t="s">
        <v>281</v>
      </c>
      <c r="C481" s="2" t="n">
        <v>62</v>
      </c>
      <c r="D481" s="2" t="n">
        <v>4</v>
      </c>
      <c r="E481" s="82" t="n">
        <v>44991</v>
      </c>
      <c r="F481" s="83" t="n">
        <v>0.187164351851852</v>
      </c>
      <c r="G481" s="82" t="n">
        <v>45001</v>
      </c>
      <c r="H481" s="83" t="n">
        <v>0.930243055555556</v>
      </c>
      <c r="I481" s="2" t="s">
        <v>550</v>
      </c>
      <c r="J481" s="2" t="s">
        <v>33</v>
      </c>
      <c r="K481" s="46" t="str">
        <f aca="false">INDEX(Products!$B$2:$B$71,MATCH($C481,Products!$A$2:$A$71,0))</f>
        <v>Sed Set</v>
      </c>
      <c r="L481" s="46" t="str">
        <f aca="false">INDEX(Products!$C$2:$C$71,MATCH($C481,Products!$A$2:$A$71,0))</f>
        <v>Colors</v>
      </c>
      <c r="M481" s="84" t="n">
        <f aca="false">INDEX(Products!$D$2:$D$71,MATCH($C481,Products!$A$2:$A$71,0))</f>
        <v>1356</v>
      </c>
      <c r="N481" s="84" t="n">
        <f aca="false">$D481*$M481</f>
        <v>5424</v>
      </c>
      <c r="O481" s="46" t="str">
        <f aca="false">INDEX(Customers!$C$2:$C$101,MATCH($B481,Customers!$A$2:$A$101,0))</f>
        <v>Kalyan-Dombivli</v>
      </c>
      <c r="P481" s="46" t="str">
        <f aca="false">INDEX(Customers!$F$2:$F$101,MATCH($B481,Customers!$A$2:$A$101,0))</f>
        <v>Male</v>
      </c>
      <c r="Q481" s="46" t="str">
        <f aca="false">INDEX(Customers!$B$2:$B$101,MATCH($B481,Customers!$A$2:$A$101,0))</f>
        <v>Nirvi Wagle</v>
      </c>
      <c r="R481" s="46" t="n">
        <f aca="false">MONTH($E481)</f>
        <v>3</v>
      </c>
      <c r="S481" s="46" t="str">
        <f aca="false">INDEX(Lists!$B$2:$B$13,$R481)</f>
        <v>March</v>
      </c>
      <c r="T481" s="46" t="n">
        <f aca="false">HOUR($F481)</f>
        <v>4</v>
      </c>
      <c r="U481" s="46" t="n">
        <f aca="false">WEEKDAY($E481,2)</f>
        <v>1</v>
      </c>
      <c r="V481" s="46" t="str">
        <f aca="false">INDEX(Lists!$F$2:$F$8,$U481)</f>
        <v>Monday</v>
      </c>
      <c r="W481" s="85" t="n">
        <f aca="false">($G481+$H481)-($E481+$F481)</f>
        <v>10.7430787037037</v>
      </c>
      <c r="X481" s="46" t="str">
        <f aca="false">LOOKUP($M481,Lists!$G$2:$G$5,Lists!$H$2:$H$5)</f>
        <v>₹1,000 - 1,499</v>
      </c>
      <c r="Y481" s="46" t="str">
        <f aca="false">LOOKUP($W481,Lists!$I$2:$I$7,Lists!$J$2:$J$7)</f>
        <v>Over 10 days</v>
      </c>
    </row>
    <row r="482" customFormat="false" ht="15" hidden="false" customHeight="false" outlineLevel="0" collapsed="false">
      <c r="A482" s="7" t="n">
        <v>481</v>
      </c>
      <c r="B482" s="7" t="s">
        <v>236</v>
      </c>
      <c r="C482" s="7" t="n">
        <v>12</v>
      </c>
      <c r="D482" s="7" t="n">
        <v>5</v>
      </c>
      <c r="E482" s="77" t="n">
        <v>45159</v>
      </c>
      <c r="F482" s="78" t="n">
        <v>0.000613425925925926</v>
      </c>
      <c r="G482" s="77" t="n">
        <v>45163</v>
      </c>
      <c r="H482" s="78" t="n">
        <v>0.775289351851852</v>
      </c>
      <c r="I482" s="7" t="s">
        <v>253</v>
      </c>
      <c r="J482" s="7" t="s">
        <v>168</v>
      </c>
      <c r="K482" s="79" t="str">
        <f aca="false">INDEX(Products!$B$2:$B$71,MATCH($C482,Products!$A$2:$A$71,0))</f>
        <v>Non Set</v>
      </c>
      <c r="L482" s="79" t="str">
        <f aca="false">INDEX(Products!$C$2:$C$71,MATCH($C482,Products!$A$2:$A$71,0))</f>
        <v>Plants</v>
      </c>
      <c r="M482" s="80" t="n">
        <f aca="false">INDEX(Products!$D$2:$D$71,MATCH($C482,Products!$A$2:$A$71,0))</f>
        <v>672</v>
      </c>
      <c r="N482" s="80" t="n">
        <f aca="false">$D482*$M482</f>
        <v>3360</v>
      </c>
      <c r="O482" s="79" t="str">
        <f aca="false">INDEX(Customers!$C$2:$C$101,MATCH($B482,Customers!$A$2:$A$101,0))</f>
        <v>Agra</v>
      </c>
      <c r="P482" s="79" t="str">
        <f aca="false">INDEX(Customers!$F$2:$F$101,MATCH($B482,Customers!$A$2:$A$101,0))</f>
        <v>Male</v>
      </c>
      <c r="Q482" s="79" t="str">
        <f aca="false">INDEX(Customers!$B$2:$B$101,MATCH($B482,Customers!$A$2:$A$101,0))</f>
        <v>Seher Mann</v>
      </c>
      <c r="R482" s="79" t="n">
        <f aca="false">MONTH($E482)</f>
        <v>8</v>
      </c>
      <c r="S482" s="79" t="str">
        <f aca="false">INDEX(Lists!$B$2:$B$13,$R482)</f>
        <v>August</v>
      </c>
      <c r="T482" s="79" t="n">
        <f aca="false">HOUR($F482)</f>
        <v>0</v>
      </c>
      <c r="U482" s="79" t="n">
        <f aca="false">WEEKDAY($E482,2)</f>
        <v>1</v>
      </c>
      <c r="V482" s="79" t="str">
        <f aca="false">INDEX(Lists!$F$2:$F$8,$U482)</f>
        <v>Monday</v>
      </c>
      <c r="W482" s="81" t="n">
        <f aca="false">($G482+$H482)-($E482+$F482)</f>
        <v>4.77467592592593</v>
      </c>
      <c r="X482" s="79" t="str">
        <f aca="false">LOOKUP($M482,Lists!$G$2:$G$5,Lists!$H$2:$H$5)</f>
        <v>₹500 - 999</v>
      </c>
      <c r="Y482" s="79" t="str">
        <f aca="false">LOOKUP($W482,Lists!$I$2:$I$7,Lists!$J$2:$J$7)</f>
        <v>4 - 6 days</v>
      </c>
    </row>
    <row r="483" customFormat="false" ht="15" hidden="false" customHeight="false" outlineLevel="0" collapsed="false">
      <c r="A483" s="2" t="n">
        <v>482</v>
      </c>
      <c r="B483" s="2" t="s">
        <v>254</v>
      </c>
      <c r="C483" s="2" t="n">
        <v>23</v>
      </c>
      <c r="D483" s="2" t="n">
        <v>3</v>
      </c>
      <c r="E483" s="82" t="n">
        <v>45082</v>
      </c>
      <c r="F483" s="83" t="n">
        <v>0.856689814814815</v>
      </c>
      <c r="G483" s="82" t="n">
        <v>45091</v>
      </c>
      <c r="H483" s="83" t="n">
        <v>0.872627314814815</v>
      </c>
      <c r="I483" s="2" t="s">
        <v>474</v>
      </c>
      <c r="J483" s="2" t="s">
        <v>168</v>
      </c>
      <c r="K483" s="46" t="str">
        <f aca="false">INDEX(Products!$B$2:$B$71,MATCH($C483,Products!$A$2:$A$71,0))</f>
        <v>Dignissimos Pack</v>
      </c>
      <c r="L483" s="46" t="str">
        <f aca="false">INDEX(Products!$C$2:$C$71,MATCH($C483,Products!$A$2:$A$71,0))</f>
        <v>Sweets</v>
      </c>
      <c r="M483" s="84" t="n">
        <f aca="false">INDEX(Products!$D$2:$D$71,MATCH($C483,Products!$A$2:$A$71,0))</f>
        <v>1098</v>
      </c>
      <c r="N483" s="84" t="n">
        <f aca="false">$D483*$M483</f>
        <v>3294</v>
      </c>
      <c r="O483" s="46" t="str">
        <f aca="false">INDEX(Customers!$C$2:$C$101,MATCH($B483,Customers!$A$2:$A$101,0))</f>
        <v>Imphal</v>
      </c>
      <c r="P483" s="46" t="str">
        <f aca="false">INDEX(Customers!$F$2:$F$101,MATCH($B483,Customers!$A$2:$A$101,0))</f>
        <v>Female</v>
      </c>
      <c r="Q483" s="46" t="str">
        <f aca="false">INDEX(Customers!$B$2:$B$101,MATCH($B483,Customers!$A$2:$A$101,0))</f>
        <v>Chirag Srinivas</v>
      </c>
      <c r="R483" s="46" t="n">
        <f aca="false">MONTH($E483)</f>
        <v>6</v>
      </c>
      <c r="S483" s="46" t="str">
        <f aca="false">INDEX(Lists!$B$2:$B$13,$R483)</f>
        <v>June</v>
      </c>
      <c r="T483" s="46" t="n">
        <f aca="false">HOUR($F483)</f>
        <v>20</v>
      </c>
      <c r="U483" s="46" t="n">
        <f aca="false">WEEKDAY($E483,2)</f>
        <v>1</v>
      </c>
      <c r="V483" s="46" t="str">
        <f aca="false">INDEX(Lists!$F$2:$F$8,$U483)</f>
        <v>Monday</v>
      </c>
      <c r="W483" s="85" t="n">
        <f aca="false">($G483+$H483)-($E483+$F483)</f>
        <v>9.0159375</v>
      </c>
      <c r="X483" s="46" t="str">
        <f aca="false">LOOKUP($M483,Lists!$G$2:$G$5,Lists!$H$2:$H$5)</f>
        <v>₹1,000 - 1,499</v>
      </c>
      <c r="Y483" s="46" t="str">
        <f aca="false">LOOKUP($W483,Lists!$I$2:$I$7,Lists!$J$2:$J$7)</f>
        <v>8 - 10 days</v>
      </c>
    </row>
    <row r="484" customFormat="false" ht="15" hidden="false" customHeight="false" outlineLevel="0" collapsed="false">
      <c r="A484" s="7" t="n">
        <v>483</v>
      </c>
      <c r="B484" s="7" t="s">
        <v>142</v>
      </c>
      <c r="C484" s="7" t="n">
        <v>59</v>
      </c>
      <c r="D484" s="7" t="n">
        <v>2</v>
      </c>
      <c r="E484" s="77" t="n">
        <v>45166</v>
      </c>
      <c r="F484" s="78" t="n">
        <v>0.267395833333333</v>
      </c>
      <c r="G484" s="77" t="n">
        <v>45169</v>
      </c>
      <c r="H484" s="78" t="n">
        <v>0.212523148148148</v>
      </c>
      <c r="I484" s="7" t="s">
        <v>518</v>
      </c>
      <c r="J484" s="7" t="s">
        <v>40</v>
      </c>
      <c r="K484" s="79" t="str">
        <f aca="false">INDEX(Products!$B$2:$B$71,MATCH($C484,Products!$A$2:$A$71,0))</f>
        <v>Pariatur Box</v>
      </c>
      <c r="L484" s="79" t="str">
        <f aca="false">INDEX(Products!$C$2:$C$71,MATCH($C484,Products!$A$2:$A$71,0))</f>
        <v>Cake</v>
      </c>
      <c r="M484" s="80" t="n">
        <f aca="false">INDEX(Products!$D$2:$D$71,MATCH($C484,Products!$A$2:$A$71,0))</f>
        <v>811</v>
      </c>
      <c r="N484" s="80" t="n">
        <f aca="false">$D484*$M484</f>
        <v>1622</v>
      </c>
      <c r="O484" s="79" t="str">
        <f aca="false">INDEX(Customers!$C$2:$C$101,MATCH($B484,Customers!$A$2:$A$101,0))</f>
        <v>Berhampore</v>
      </c>
      <c r="P484" s="79" t="str">
        <f aca="false">INDEX(Customers!$F$2:$F$101,MATCH($B484,Customers!$A$2:$A$101,0))</f>
        <v>Male</v>
      </c>
      <c r="Q484" s="79" t="str">
        <f aca="false">INDEX(Customers!$B$2:$B$101,MATCH($B484,Customers!$A$2:$A$101,0))</f>
        <v>Jayant Kamdar</v>
      </c>
      <c r="R484" s="79" t="n">
        <f aca="false">MONTH($E484)</f>
        <v>8</v>
      </c>
      <c r="S484" s="79" t="str">
        <f aca="false">INDEX(Lists!$B$2:$B$13,$R484)</f>
        <v>August</v>
      </c>
      <c r="T484" s="79" t="n">
        <f aca="false">HOUR($F484)</f>
        <v>6</v>
      </c>
      <c r="U484" s="79" t="n">
        <f aca="false">WEEKDAY($E484,2)</f>
        <v>1</v>
      </c>
      <c r="V484" s="79" t="str">
        <f aca="false">INDEX(Lists!$F$2:$F$8,$U484)</f>
        <v>Monday</v>
      </c>
      <c r="W484" s="81" t="n">
        <f aca="false">($G484+$H484)-($E484+$F484)</f>
        <v>2.94512731481482</v>
      </c>
      <c r="X484" s="79" t="str">
        <f aca="false">LOOKUP($M484,Lists!$G$2:$G$5,Lists!$H$2:$H$5)</f>
        <v>₹500 - 999</v>
      </c>
      <c r="Y484" s="79" t="str">
        <f aca="false">LOOKUP($W484,Lists!$I$2:$I$7,Lists!$J$2:$J$7)</f>
        <v>2 - 4 days</v>
      </c>
    </row>
    <row r="485" customFormat="false" ht="15" hidden="false" customHeight="false" outlineLevel="0" collapsed="false">
      <c r="A485" s="2" t="n">
        <v>484</v>
      </c>
      <c r="B485" s="2" t="s">
        <v>206</v>
      </c>
      <c r="C485" s="2" t="n">
        <v>1</v>
      </c>
      <c r="D485" s="2" t="n">
        <v>5</v>
      </c>
      <c r="E485" s="82" t="n">
        <v>45072</v>
      </c>
      <c r="F485" s="83" t="n">
        <v>0.794386574074074</v>
      </c>
      <c r="G485" s="82" t="n">
        <v>45080</v>
      </c>
      <c r="H485" s="83" t="n">
        <v>0.814085648148148</v>
      </c>
      <c r="I485" s="2" t="s">
        <v>494</v>
      </c>
      <c r="J485" s="2" t="s">
        <v>165</v>
      </c>
      <c r="K485" s="46" t="str">
        <f aca="false">INDEX(Products!$B$2:$B$71,MATCH($C485,Products!$A$2:$A$71,0))</f>
        <v>Magnam Set</v>
      </c>
      <c r="L485" s="46" t="str">
        <f aca="false">INDEX(Products!$C$2:$C$71,MATCH($C485,Products!$A$2:$A$71,0))</f>
        <v>Soft Toys</v>
      </c>
      <c r="M485" s="84" t="n">
        <f aca="false">INDEX(Products!$D$2:$D$71,MATCH($C485,Products!$A$2:$A$71,0))</f>
        <v>1935</v>
      </c>
      <c r="N485" s="84" t="n">
        <f aca="false">$D485*$M485</f>
        <v>9675</v>
      </c>
      <c r="O485" s="46" t="str">
        <f aca="false">INDEX(Customers!$C$2:$C$101,MATCH($B485,Customers!$A$2:$A$101,0))</f>
        <v>Bhatpara</v>
      </c>
      <c r="P485" s="46" t="str">
        <f aca="false">INDEX(Customers!$F$2:$F$101,MATCH($B485,Customers!$A$2:$A$101,0))</f>
        <v>Male</v>
      </c>
      <c r="Q485" s="46" t="str">
        <f aca="false">INDEX(Customers!$B$2:$B$101,MATCH($B485,Customers!$A$2:$A$101,0))</f>
        <v>Hridaan Sood</v>
      </c>
      <c r="R485" s="46" t="n">
        <f aca="false">MONTH($E485)</f>
        <v>5</v>
      </c>
      <c r="S485" s="46" t="str">
        <f aca="false">INDEX(Lists!$B$2:$B$13,$R485)</f>
        <v>May</v>
      </c>
      <c r="T485" s="46" t="n">
        <f aca="false">HOUR($F485)</f>
        <v>19</v>
      </c>
      <c r="U485" s="46" t="n">
        <f aca="false">WEEKDAY($E485,2)</f>
        <v>5</v>
      </c>
      <c r="V485" s="46" t="str">
        <f aca="false">INDEX(Lists!$F$2:$F$8,$U485)</f>
        <v>Friday</v>
      </c>
      <c r="W485" s="85" t="n">
        <f aca="false">($G485+$H485)-($E485+$F485)</f>
        <v>8.01969907407407</v>
      </c>
      <c r="X485" s="46" t="str">
        <f aca="false">LOOKUP($M485,Lists!$G$2:$G$5,Lists!$H$2:$H$5)</f>
        <v>₹1,500 - 2,000</v>
      </c>
      <c r="Y485" s="46" t="str">
        <f aca="false">LOOKUP($W485,Lists!$I$2:$I$7,Lists!$J$2:$J$7)</f>
        <v>8 - 10 days</v>
      </c>
    </row>
    <row r="486" customFormat="false" ht="15" hidden="false" customHeight="false" outlineLevel="0" collapsed="false">
      <c r="A486" s="7" t="n">
        <v>485</v>
      </c>
      <c r="B486" s="7" t="s">
        <v>196</v>
      </c>
      <c r="C486" s="7" t="n">
        <v>43</v>
      </c>
      <c r="D486" s="7" t="n">
        <v>4</v>
      </c>
      <c r="E486" s="77" t="n">
        <v>45236</v>
      </c>
      <c r="F486" s="78" t="n">
        <v>0.805833333333333</v>
      </c>
      <c r="G486" s="77" t="n">
        <v>45244</v>
      </c>
      <c r="H486" s="78" t="n">
        <v>0.810578703703704</v>
      </c>
      <c r="I486" s="7" t="s">
        <v>262</v>
      </c>
      <c r="J486" s="7" t="s">
        <v>32</v>
      </c>
      <c r="K486" s="79" t="str">
        <f aca="false">INDEX(Products!$B$2:$B$71,MATCH($C486,Products!$A$2:$A$71,0))</f>
        <v>Quisquam Pack</v>
      </c>
      <c r="L486" s="79" t="str">
        <f aca="false">INDEX(Products!$C$2:$C$71,MATCH($C486,Products!$A$2:$A$71,0))</f>
        <v>Raksha Bandhan</v>
      </c>
      <c r="M486" s="80" t="n">
        <f aca="false">INDEX(Products!$D$2:$D$71,MATCH($C486,Products!$A$2:$A$71,0))</f>
        <v>750</v>
      </c>
      <c r="N486" s="80" t="n">
        <f aca="false">$D486*$M486</f>
        <v>3000</v>
      </c>
      <c r="O486" s="79" t="str">
        <f aca="false">INDEX(Customers!$C$2:$C$101,MATCH($B486,Customers!$A$2:$A$101,0))</f>
        <v>Haridwar</v>
      </c>
      <c r="P486" s="79" t="str">
        <f aca="false">INDEX(Customers!$F$2:$F$101,MATCH($B486,Customers!$A$2:$A$101,0))</f>
        <v>Female</v>
      </c>
      <c r="Q486" s="79" t="str">
        <f aca="false">INDEX(Customers!$B$2:$B$101,MATCH($B486,Customers!$A$2:$A$101,0))</f>
        <v>Badal Sathe</v>
      </c>
      <c r="R486" s="79" t="n">
        <f aca="false">MONTH($E486)</f>
        <v>11</v>
      </c>
      <c r="S486" s="79" t="str">
        <f aca="false">INDEX(Lists!$B$2:$B$13,$R486)</f>
        <v>November</v>
      </c>
      <c r="T486" s="79" t="n">
        <f aca="false">HOUR($F486)</f>
        <v>19</v>
      </c>
      <c r="U486" s="79" t="n">
        <f aca="false">WEEKDAY($E486,2)</f>
        <v>1</v>
      </c>
      <c r="V486" s="79" t="str">
        <f aca="false">INDEX(Lists!$F$2:$F$8,$U486)</f>
        <v>Monday</v>
      </c>
      <c r="W486" s="81" t="n">
        <f aca="false">($G486+$H486)-($E486+$F486)</f>
        <v>8.00474537037037</v>
      </c>
      <c r="X486" s="79" t="str">
        <f aca="false">LOOKUP($M486,Lists!$G$2:$G$5,Lists!$H$2:$H$5)</f>
        <v>₹500 - 999</v>
      </c>
      <c r="Y486" s="79" t="str">
        <f aca="false">LOOKUP($W486,Lists!$I$2:$I$7,Lists!$J$2:$J$7)</f>
        <v>8 - 10 days</v>
      </c>
    </row>
    <row r="487" customFormat="false" ht="15" hidden="false" customHeight="false" outlineLevel="0" collapsed="false">
      <c r="A487" s="2" t="n">
        <v>486</v>
      </c>
      <c r="B487" s="2" t="s">
        <v>198</v>
      </c>
      <c r="C487" s="2" t="n">
        <v>24</v>
      </c>
      <c r="D487" s="2" t="n">
        <v>1</v>
      </c>
      <c r="E487" s="82" t="n">
        <v>45132</v>
      </c>
      <c r="F487" s="83" t="n">
        <v>0.607291666666667</v>
      </c>
      <c r="G487" s="82" t="n">
        <v>45137</v>
      </c>
      <c r="H487" s="83" t="n">
        <v>0.707349537037037</v>
      </c>
      <c r="I487" s="2" t="s">
        <v>166</v>
      </c>
      <c r="J487" s="2" t="s">
        <v>31</v>
      </c>
      <c r="K487" s="46" t="str">
        <f aca="false">INDEX(Products!$B$2:$B$71,MATCH($C487,Products!$A$2:$A$71,0))</f>
        <v>Ad Box</v>
      </c>
      <c r="L487" s="46" t="str">
        <f aca="false">INDEX(Products!$C$2:$C$71,MATCH($C487,Products!$A$2:$A$71,0))</f>
        <v>Mugs</v>
      </c>
      <c r="M487" s="84" t="n">
        <f aca="false">INDEX(Products!$D$2:$D$71,MATCH($C487,Products!$A$2:$A$71,0))</f>
        <v>535</v>
      </c>
      <c r="N487" s="84" t="n">
        <f aca="false">$D487*$M487</f>
        <v>535</v>
      </c>
      <c r="O487" s="46" t="str">
        <f aca="false">INDEX(Customers!$C$2:$C$101,MATCH($B487,Customers!$A$2:$A$101,0))</f>
        <v>Sambhal</v>
      </c>
      <c r="P487" s="46" t="str">
        <f aca="false">INDEX(Customers!$F$2:$F$101,MATCH($B487,Customers!$A$2:$A$101,0))</f>
        <v>Male</v>
      </c>
      <c r="Q487" s="46" t="str">
        <f aca="false">INDEX(Customers!$B$2:$B$101,MATCH($B487,Customers!$A$2:$A$101,0))</f>
        <v>Vardaniya Contractor</v>
      </c>
      <c r="R487" s="46" t="n">
        <f aca="false">MONTH($E487)</f>
        <v>7</v>
      </c>
      <c r="S487" s="46" t="str">
        <f aca="false">INDEX(Lists!$B$2:$B$13,$R487)</f>
        <v>July</v>
      </c>
      <c r="T487" s="46" t="n">
        <f aca="false">HOUR($F487)</f>
        <v>14</v>
      </c>
      <c r="U487" s="46" t="n">
        <f aca="false">WEEKDAY($E487,2)</f>
        <v>2</v>
      </c>
      <c r="V487" s="46" t="str">
        <f aca="false">INDEX(Lists!$F$2:$F$8,$U487)</f>
        <v>Tuesday</v>
      </c>
      <c r="W487" s="85" t="n">
        <f aca="false">($G487+$H487)-($E487+$F487)</f>
        <v>5.10005787037037</v>
      </c>
      <c r="X487" s="46" t="str">
        <f aca="false">LOOKUP($M487,Lists!$G$2:$G$5,Lists!$H$2:$H$5)</f>
        <v>₹500 - 999</v>
      </c>
      <c r="Y487" s="46" t="str">
        <f aca="false">LOOKUP($W487,Lists!$I$2:$I$7,Lists!$J$2:$J$7)</f>
        <v>4 - 6 days</v>
      </c>
    </row>
    <row r="488" customFormat="false" ht="15" hidden="false" customHeight="false" outlineLevel="0" collapsed="false">
      <c r="A488" s="7" t="n">
        <v>487</v>
      </c>
      <c r="B488" s="7" t="s">
        <v>263</v>
      </c>
      <c r="C488" s="7" t="n">
        <v>51</v>
      </c>
      <c r="D488" s="7" t="n">
        <v>1</v>
      </c>
      <c r="E488" s="77" t="n">
        <v>44931</v>
      </c>
      <c r="F488" s="78" t="n">
        <v>0.699270833333333</v>
      </c>
      <c r="G488" s="77" t="n">
        <v>44935</v>
      </c>
      <c r="H488" s="78" t="n">
        <v>0.186319444444445</v>
      </c>
      <c r="I488" s="7" t="s">
        <v>557</v>
      </c>
      <c r="J488" s="7" t="s">
        <v>165</v>
      </c>
      <c r="K488" s="79" t="str">
        <f aca="false">INDEX(Products!$B$2:$B$71,MATCH($C488,Products!$A$2:$A$71,0))</f>
        <v>Fugit Set</v>
      </c>
      <c r="L488" s="79" t="str">
        <f aca="false">INDEX(Products!$C$2:$C$71,MATCH($C488,Products!$A$2:$A$71,0))</f>
        <v>Soft Toys</v>
      </c>
      <c r="M488" s="80" t="n">
        <f aca="false">INDEX(Products!$D$2:$D$71,MATCH($C488,Products!$A$2:$A$71,0))</f>
        <v>1084</v>
      </c>
      <c r="N488" s="80" t="n">
        <f aca="false">$D488*$M488</f>
        <v>1084</v>
      </c>
      <c r="O488" s="79" t="str">
        <f aca="false">INDEX(Customers!$C$2:$C$101,MATCH($B488,Customers!$A$2:$A$101,0))</f>
        <v>Bharatpur</v>
      </c>
      <c r="P488" s="79" t="str">
        <f aca="false">INDEX(Customers!$F$2:$F$101,MATCH($B488,Customers!$A$2:$A$101,0))</f>
        <v>Female</v>
      </c>
      <c r="Q488" s="79" t="str">
        <f aca="false">INDEX(Customers!$B$2:$B$101,MATCH($B488,Customers!$A$2:$A$101,0))</f>
        <v>Kismat Kapadia</v>
      </c>
      <c r="R488" s="79" t="n">
        <f aca="false">MONTH($E488)</f>
        <v>1</v>
      </c>
      <c r="S488" s="79" t="str">
        <f aca="false">INDEX(Lists!$B$2:$B$13,$R488)</f>
        <v>January</v>
      </c>
      <c r="T488" s="79" t="n">
        <f aca="false">HOUR($F488)</f>
        <v>16</v>
      </c>
      <c r="U488" s="79" t="n">
        <f aca="false">WEEKDAY($E488,2)</f>
        <v>4</v>
      </c>
      <c r="V488" s="79" t="str">
        <f aca="false">INDEX(Lists!$F$2:$F$8,$U488)</f>
        <v>Thursday</v>
      </c>
      <c r="W488" s="81" t="n">
        <f aca="false">($G488+$H488)-($E488+$F488)</f>
        <v>3.48704861111111</v>
      </c>
      <c r="X488" s="79" t="str">
        <f aca="false">LOOKUP($M488,Lists!$G$2:$G$5,Lists!$H$2:$H$5)</f>
        <v>₹1,000 - 1,499</v>
      </c>
      <c r="Y488" s="79" t="str">
        <f aca="false">LOOKUP($W488,Lists!$I$2:$I$7,Lists!$J$2:$J$7)</f>
        <v>2 - 4 days</v>
      </c>
    </row>
    <row r="489" customFormat="false" ht="15" hidden="false" customHeight="false" outlineLevel="0" collapsed="false">
      <c r="A489" s="2" t="n">
        <v>488</v>
      </c>
      <c r="B489" s="2" t="s">
        <v>188</v>
      </c>
      <c r="C489" s="2" t="n">
        <v>21</v>
      </c>
      <c r="D489" s="2" t="n">
        <v>4</v>
      </c>
      <c r="E489" s="82" t="n">
        <v>45166</v>
      </c>
      <c r="F489" s="83" t="n">
        <v>0.926041666666667</v>
      </c>
      <c r="G489" s="82" t="n">
        <v>45167</v>
      </c>
      <c r="H489" s="83" t="n">
        <v>0.226956018518519</v>
      </c>
      <c r="I489" s="2" t="s">
        <v>511</v>
      </c>
      <c r="J489" s="2" t="s">
        <v>40</v>
      </c>
      <c r="K489" s="46" t="str">
        <f aca="false">INDEX(Products!$B$2:$B$71,MATCH($C489,Products!$A$2:$A$71,0))</f>
        <v>Quia Gift</v>
      </c>
      <c r="L489" s="46" t="str">
        <f aca="false">INDEX(Products!$C$2:$C$71,MATCH($C489,Products!$A$2:$A$71,0))</f>
        <v>Colors</v>
      </c>
      <c r="M489" s="84" t="n">
        <f aca="false">INDEX(Products!$D$2:$D$71,MATCH($C489,Products!$A$2:$A$71,0))</f>
        <v>1561</v>
      </c>
      <c r="N489" s="84" t="n">
        <f aca="false">$D489*$M489</f>
        <v>6244</v>
      </c>
      <c r="O489" s="46" t="str">
        <f aca="false">INDEX(Customers!$C$2:$C$101,MATCH($B489,Customers!$A$2:$A$101,0))</f>
        <v>Singrauli</v>
      </c>
      <c r="P489" s="46" t="str">
        <f aca="false">INDEX(Customers!$F$2:$F$101,MATCH($B489,Customers!$A$2:$A$101,0))</f>
        <v>Female</v>
      </c>
      <c r="Q489" s="46" t="str">
        <f aca="false">INDEX(Customers!$B$2:$B$101,MATCH($B489,Customers!$A$2:$A$101,0))</f>
        <v>Ira Bava</v>
      </c>
      <c r="R489" s="46" t="n">
        <f aca="false">MONTH($E489)</f>
        <v>8</v>
      </c>
      <c r="S489" s="46" t="str">
        <f aca="false">INDEX(Lists!$B$2:$B$13,$R489)</f>
        <v>August</v>
      </c>
      <c r="T489" s="46" t="n">
        <f aca="false">HOUR($F489)</f>
        <v>22</v>
      </c>
      <c r="U489" s="46" t="n">
        <f aca="false">WEEKDAY($E489,2)</f>
        <v>1</v>
      </c>
      <c r="V489" s="46" t="str">
        <f aca="false">INDEX(Lists!$F$2:$F$8,$U489)</f>
        <v>Monday</v>
      </c>
      <c r="W489" s="85" t="n">
        <f aca="false">($G489+$H489)-($E489+$F489)</f>
        <v>0.300914351851852</v>
      </c>
      <c r="X489" s="46" t="str">
        <f aca="false">LOOKUP($M489,Lists!$G$2:$G$5,Lists!$H$2:$H$5)</f>
        <v>₹1,500 - 2,000</v>
      </c>
      <c r="Y489" s="46" t="str">
        <f aca="false">LOOKUP($W489,Lists!$I$2:$I$7,Lists!$J$2:$J$7)</f>
        <v>0 - 2 days</v>
      </c>
    </row>
    <row r="490" customFormat="false" ht="15" hidden="false" customHeight="false" outlineLevel="0" collapsed="false">
      <c r="A490" s="7" t="n">
        <v>489</v>
      </c>
      <c r="B490" s="7" t="s">
        <v>316</v>
      </c>
      <c r="C490" s="7" t="n">
        <v>10</v>
      </c>
      <c r="D490" s="7" t="n">
        <v>1</v>
      </c>
      <c r="E490" s="77" t="n">
        <v>45166</v>
      </c>
      <c r="F490" s="78" t="n">
        <v>0.93537037037037</v>
      </c>
      <c r="G490" s="77" t="n">
        <v>45171</v>
      </c>
      <c r="H490" s="78" t="n">
        <v>0.188032407407407</v>
      </c>
      <c r="I490" s="7" t="s">
        <v>458</v>
      </c>
      <c r="J490" s="7" t="s">
        <v>31</v>
      </c>
      <c r="K490" s="79" t="str">
        <f aca="false">INDEX(Products!$B$2:$B$71,MATCH($C490,Products!$A$2:$A$71,0))</f>
        <v>Accusantium Gift</v>
      </c>
      <c r="L490" s="79" t="str">
        <f aca="false">INDEX(Products!$C$2:$C$71,MATCH($C490,Products!$A$2:$A$71,0))</f>
        <v>Cake</v>
      </c>
      <c r="M490" s="80" t="n">
        <f aca="false">INDEX(Products!$D$2:$D$71,MATCH($C490,Products!$A$2:$A$71,0))</f>
        <v>259</v>
      </c>
      <c r="N490" s="80" t="n">
        <f aca="false">$D490*$M490</f>
        <v>259</v>
      </c>
      <c r="O490" s="79" t="str">
        <f aca="false">INDEX(Customers!$C$2:$C$101,MATCH($B490,Customers!$A$2:$A$101,0))</f>
        <v>Hyderabad</v>
      </c>
      <c r="P490" s="79" t="str">
        <f aca="false">INDEX(Customers!$F$2:$F$101,MATCH($B490,Customers!$A$2:$A$101,0))</f>
        <v>Male</v>
      </c>
      <c r="Q490" s="79" t="str">
        <f aca="false">INDEX(Customers!$B$2:$B$101,MATCH($B490,Customers!$A$2:$A$101,0))</f>
        <v>Charvi Karnik</v>
      </c>
      <c r="R490" s="79" t="n">
        <f aca="false">MONTH($E490)</f>
        <v>8</v>
      </c>
      <c r="S490" s="79" t="str">
        <f aca="false">INDEX(Lists!$B$2:$B$13,$R490)</f>
        <v>August</v>
      </c>
      <c r="T490" s="79" t="n">
        <f aca="false">HOUR($F490)</f>
        <v>22</v>
      </c>
      <c r="U490" s="79" t="n">
        <f aca="false">WEEKDAY($E490,2)</f>
        <v>1</v>
      </c>
      <c r="V490" s="79" t="str">
        <f aca="false">INDEX(Lists!$F$2:$F$8,$U490)</f>
        <v>Monday</v>
      </c>
      <c r="W490" s="81" t="n">
        <f aca="false">($G490+$H490)-($E490+$F490)</f>
        <v>4.25266203703704</v>
      </c>
      <c r="X490" s="79" t="str">
        <f aca="false">LOOKUP($M490,Lists!$G$2:$G$5,Lists!$H$2:$H$5)</f>
        <v>₹0 - 499</v>
      </c>
      <c r="Y490" s="79" t="str">
        <f aca="false">LOOKUP($W490,Lists!$I$2:$I$7,Lists!$J$2:$J$7)</f>
        <v>4 - 6 days</v>
      </c>
    </row>
    <row r="491" customFormat="false" ht="15" hidden="false" customHeight="false" outlineLevel="0" collapsed="false">
      <c r="A491" s="2" t="n">
        <v>490</v>
      </c>
      <c r="B491" s="2" t="s">
        <v>325</v>
      </c>
      <c r="C491" s="2" t="n">
        <v>2</v>
      </c>
      <c r="D491" s="2" t="n">
        <v>1</v>
      </c>
      <c r="E491" s="82" t="n">
        <v>44969</v>
      </c>
      <c r="F491" s="83" t="n">
        <v>0.519479166666667</v>
      </c>
      <c r="G491" s="82" t="n">
        <v>44971</v>
      </c>
      <c r="H491" s="83" t="n">
        <v>0.518969907407407</v>
      </c>
      <c r="I491" s="2" t="s">
        <v>359</v>
      </c>
      <c r="J491" s="2" t="s">
        <v>179</v>
      </c>
      <c r="K491" s="46" t="str">
        <f aca="false">INDEX(Products!$B$2:$B$71,MATCH($C491,Products!$A$2:$A$71,0))</f>
        <v>Voluptas Box</v>
      </c>
      <c r="L491" s="46" t="str">
        <f aca="false">INDEX(Products!$C$2:$C$71,MATCH($C491,Products!$A$2:$A$71,0))</f>
        <v>Plants</v>
      </c>
      <c r="M491" s="84" t="n">
        <f aca="false">INDEX(Products!$D$2:$D$71,MATCH($C491,Products!$A$2:$A$71,0))</f>
        <v>441</v>
      </c>
      <c r="N491" s="84" t="n">
        <f aca="false">$D491*$M491</f>
        <v>441</v>
      </c>
      <c r="O491" s="46" t="str">
        <f aca="false">INDEX(Customers!$C$2:$C$101,MATCH($B491,Customers!$A$2:$A$101,0))</f>
        <v>Aligarh</v>
      </c>
      <c r="P491" s="46" t="str">
        <f aca="false">INDEX(Customers!$F$2:$F$101,MATCH($B491,Customers!$A$2:$A$101,0))</f>
        <v>Female</v>
      </c>
      <c r="Q491" s="46" t="str">
        <f aca="false">INDEX(Customers!$B$2:$B$101,MATCH($B491,Customers!$A$2:$A$101,0))</f>
        <v>Yashvi Bansal</v>
      </c>
      <c r="R491" s="46" t="n">
        <f aca="false">MONTH($E491)</f>
        <v>2</v>
      </c>
      <c r="S491" s="46" t="str">
        <f aca="false">INDEX(Lists!$B$2:$B$13,$R491)</f>
        <v>February</v>
      </c>
      <c r="T491" s="46" t="n">
        <f aca="false">HOUR($F491)</f>
        <v>12</v>
      </c>
      <c r="U491" s="46" t="n">
        <f aca="false">WEEKDAY($E491,2)</f>
        <v>7</v>
      </c>
      <c r="V491" s="46" t="str">
        <f aca="false">INDEX(Lists!$F$2:$F$8,$U491)</f>
        <v>Sunday</v>
      </c>
      <c r="W491" s="85" t="n">
        <f aca="false">($G491+$H491)-($E491+$F491)</f>
        <v>1.99949074074074</v>
      </c>
      <c r="X491" s="46" t="str">
        <f aca="false">LOOKUP($M491,Lists!$G$2:$G$5,Lists!$H$2:$H$5)</f>
        <v>₹0 - 499</v>
      </c>
      <c r="Y491" s="46" t="str">
        <f aca="false">LOOKUP($W491,Lists!$I$2:$I$7,Lists!$J$2:$J$7)</f>
        <v>0 - 2 days</v>
      </c>
    </row>
    <row r="492" customFormat="false" ht="15" hidden="false" customHeight="false" outlineLevel="0" collapsed="false">
      <c r="A492" s="7" t="n">
        <v>491</v>
      </c>
      <c r="B492" s="7" t="s">
        <v>379</v>
      </c>
      <c r="C492" s="7" t="n">
        <v>30</v>
      </c>
      <c r="D492" s="7" t="n">
        <v>1</v>
      </c>
      <c r="E492" s="77" t="n">
        <v>45223</v>
      </c>
      <c r="F492" s="78" t="n">
        <v>0.260115740740741</v>
      </c>
      <c r="G492" s="77" t="n">
        <v>45232</v>
      </c>
      <c r="H492" s="78" t="n">
        <v>0.95787037037037</v>
      </c>
      <c r="I492" s="7" t="s">
        <v>497</v>
      </c>
      <c r="J492" s="7" t="s">
        <v>168</v>
      </c>
      <c r="K492" s="79" t="str">
        <f aca="false">INDEX(Products!$B$2:$B$71,MATCH($C492,Products!$A$2:$A$71,0))</f>
        <v>Recusandae Pack</v>
      </c>
      <c r="L492" s="79" t="str">
        <f aca="false">INDEX(Products!$C$2:$C$71,MATCH($C492,Products!$A$2:$A$71,0))</f>
        <v>Colors</v>
      </c>
      <c r="M492" s="80" t="n">
        <f aca="false">INDEX(Products!$D$2:$D$71,MATCH($C492,Products!$A$2:$A$71,0))</f>
        <v>751</v>
      </c>
      <c r="N492" s="80" t="n">
        <f aca="false">$D492*$M492</f>
        <v>751</v>
      </c>
      <c r="O492" s="79" t="str">
        <f aca="false">INDEX(Customers!$C$2:$C$101,MATCH($B492,Customers!$A$2:$A$101,0))</f>
        <v>Warangal</v>
      </c>
      <c r="P492" s="79" t="str">
        <f aca="false">INDEX(Customers!$F$2:$F$101,MATCH($B492,Customers!$A$2:$A$101,0))</f>
        <v>Female</v>
      </c>
      <c r="Q492" s="79" t="str">
        <f aca="false">INDEX(Customers!$B$2:$B$101,MATCH($B492,Customers!$A$2:$A$101,0))</f>
        <v>Mahika Cherian</v>
      </c>
      <c r="R492" s="79" t="n">
        <f aca="false">MONTH($E492)</f>
        <v>10</v>
      </c>
      <c r="S492" s="79" t="str">
        <f aca="false">INDEX(Lists!$B$2:$B$13,$R492)</f>
        <v>October</v>
      </c>
      <c r="T492" s="79" t="n">
        <f aca="false">HOUR($F492)</f>
        <v>6</v>
      </c>
      <c r="U492" s="79" t="n">
        <f aca="false">WEEKDAY($E492,2)</f>
        <v>2</v>
      </c>
      <c r="V492" s="79" t="str">
        <f aca="false">INDEX(Lists!$F$2:$F$8,$U492)</f>
        <v>Tuesday</v>
      </c>
      <c r="W492" s="81" t="n">
        <f aca="false">($G492+$H492)-($E492+$F492)</f>
        <v>9.69775462962963</v>
      </c>
      <c r="X492" s="79" t="str">
        <f aca="false">LOOKUP($M492,Lists!$G$2:$G$5,Lists!$H$2:$H$5)</f>
        <v>₹500 - 999</v>
      </c>
      <c r="Y492" s="79" t="str">
        <f aca="false">LOOKUP($W492,Lists!$I$2:$I$7,Lists!$J$2:$J$7)</f>
        <v>8 - 10 days</v>
      </c>
    </row>
    <row r="493" customFormat="false" ht="15" hidden="false" customHeight="false" outlineLevel="0" collapsed="false">
      <c r="A493" s="2" t="n">
        <v>492</v>
      </c>
      <c r="B493" s="2" t="s">
        <v>245</v>
      </c>
      <c r="C493" s="2" t="n">
        <v>33</v>
      </c>
      <c r="D493" s="2" t="n">
        <v>2</v>
      </c>
      <c r="E493" s="82" t="n">
        <v>44961</v>
      </c>
      <c r="F493" s="83" t="n">
        <v>0.579456018518519</v>
      </c>
      <c r="G493" s="82" t="n">
        <v>44970</v>
      </c>
      <c r="H493" s="83" t="n">
        <v>0.503159722222222</v>
      </c>
      <c r="I493" s="2" t="s">
        <v>553</v>
      </c>
      <c r="J493" s="2" t="s">
        <v>179</v>
      </c>
      <c r="K493" s="46" t="str">
        <f aca="false">INDEX(Products!$B$2:$B$71,MATCH($C493,Products!$A$2:$A$71,0))</f>
        <v>Earum Set</v>
      </c>
      <c r="L493" s="46" t="str">
        <f aca="false">INDEX(Products!$C$2:$C$71,MATCH($C493,Products!$A$2:$A$71,0))</f>
        <v>Colors</v>
      </c>
      <c r="M493" s="84" t="n">
        <f aca="false">INDEX(Products!$D$2:$D$71,MATCH($C493,Products!$A$2:$A$71,0))</f>
        <v>314</v>
      </c>
      <c r="N493" s="84" t="n">
        <f aca="false">$D493*$M493</f>
        <v>628</v>
      </c>
      <c r="O493" s="46" t="str">
        <f aca="false">INDEX(Customers!$C$2:$C$101,MATCH($B493,Customers!$A$2:$A$101,0))</f>
        <v>Jorhat</v>
      </c>
      <c r="P493" s="46" t="str">
        <f aca="false">INDEX(Customers!$F$2:$F$101,MATCH($B493,Customers!$A$2:$A$101,0))</f>
        <v>Male</v>
      </c>
      <c r="Q493" s="46" t="str">
        <f aca="false">INDEX(Customers!$B$2:$B$101,MATCH($B493,Customers!$A$2:$A$101,0))</f>
        <v>Bhamini Ravi</v>
      </c>
      <c r="R493" s="46" t="n">
        <f aca="false">MONTH($E493)</f>
        <v>2</v>
      </c>
      <c r="S493" s="46" t="str">
        <f aca="false">INDEX(Lists!$B$2:$B$13,$R493)</f>
        <v>February</v>
      </c>
      <c r="T493" s="46" t="n">
        <f aca="false">HOUR($F493)</f>
        <v>13</v>
      </c>
      <c r="U493" s="46" t="n">
        <f aca="false">WEEKDAY($E493,2)</f>
        <v>6</v>
      </c>
      <c r="V493" s="46" t="str">
        <f aca="false">INDEX(Lists!$F$2:$F$8,$U493)</f>
        <v>Saturday</v>
      </c>
      <c r="W493" s="85" t="n">
        <f aca="false">($G493+$H493)-($E493+$F493)</f>
        <v>8.9237037037037</v>
      </c>
      <c r="X493" s="46" t="str">
        <f aca="false">LOOKUP($M493,Lists!$G$2:$G$5,Lists!$H$2:$H$5)</f>
        <v>₹0 - 499</v>
      </c>
      <c r="Y493" s="46" t="str">
        <f aca="false">LOOKUP($W493,Lists!$I$2:$I$7,Lists!$J$2:$J$7)</f>
        <v>8 - 10 days</v>
      </c>
    </row>
    <row r="494" customFormat="false" ht="15" hidden="false" customHeight="false" outlineLevel="0" collapsed="false">
      <c r="A494" s="7" t="n">
        <v>493</v>
      </c>
      <c r="B494" s="7" t="s">
        <v>209</v>
      </c>
      <c r="C494" s="7" t="n">
        <v>11</v>
      </c>
      <c r="D494" s="7" t="n">
        <v>1</v>
      </c>
      <c r="E494" s="77" t="n">
        <v>44962</v>
      </c>
      <c r="F494" s="78" t="n">
        <v>0.924583333333333</v>
      </c>
      <c r="G494" s="77" t="n">
        <v>44963</v>
      </c>
      <c r="H494" s="78" t="n">
        <v>0.654988425925926</v>
      </c>
      <c r="I494" s="7" t="s">
        <v>391</v>
      </c>
      <c r="J494" s="7" t="s">
        <v>179</v>
      </c>
      <c r="K494" s="79" t="str">
        <f aca="false">INDEX(Products!$B$2:$B$71,MATCH($C494,Products!$A$2:$A$71,0))</f>
        <v>Maxime Set</v>
      </c>
      <c r="L494" s="79" t="str">
        <f aca="false">INDEX(Products!$C$2:$C$71,MATCH($C494,Products!$A$2:$A$71,0))</f>
        <v>Mugs</v>
      </c>
      <c r="M494" s="80" t="n">
        <f aca="false">INDEX(Products!$D$2:$D$71,MATCH($C494,Products!$A$2:$A$71,0))</f>
        <v>1096</v>
      </c>
      <c r="N494" s="80" t="n">
        <f aca="false">$D494*$M494</f>
        <v>1096</v>
      </c>
      <c r="O494" s="79" t="str">
        <f aca="false">INDEX(Customers!$C$2:$C$101,MATCH($B494,Customers!$A$2:$A$101,0))</f>
        <v>Vellore</v>
      </c>
      <c r="P494" s="79" t="str">
        <f aca="false">INDEX(Customers!$F$2:$F$101,MATCH($B494,Customers!$A$2:$A$101,0))</f>
        <v>Male</v>
      </c>
      <c r="Q494" s="79" t="str">
        <f aca="false">INDEX(Customers!$B$2:$B$101,MATCH($B494,Customers!$A$2:$A$101,0))</f>
        <v>Ira Sarna</v>
      </c>
      <c r="R494" s="79" t="n">
        <f aca="false">MONTH($E494)</f>
        <v>2</v>
      </c>
      <c r="S494" s="79" t="str">
        <f aca="false">INDEX(Lists!$B$2:$B$13,$R494)</f>
        <v>February</v>
      </c>
      <c r="T494" s="79" t="n">
        <f aca="false">HOUR($F494)</f>
        <v>22</v>
      </c>
      <c r="U494" s="79" t="n">
        <f aca="false">WEEKDAY($E494,2)</f>
        <v>7</v>
      </c>
      <c r="V494" s="79" t="str">
        <f aca="false">INDEX(Lists!$F$2:$F$8,$U494)</f>
        <v>Sunday</v>
      </c>
      <c r="W494" s="81" t="n">
        <f aca="false">($G494+$H494)-($E494+$F494)</f>
        <v>0.730405092592593</v>
      </c>
      <c r="X494" s="79" t="str">
        <f aca="false">LOOKUP($M494,Lists!$G$2:$G$5,Lists!$H$2:$H$5)</f>
        <v>₹1,000 - 1,499</v>
      </c>
      <c r="Y494" s="79" t="str">
        <f aca="false">LOOKUP($W494,Lists!$I$2:$I$7,Lists!$J$2:$J$7)</f>
        <v>0 - 2 days</v>
      </c>
    </row>
    <row r="495" customFormat="false" ht="15" hidden="false" customHeight="false" outlineLevel="0" collapsed="false">
      <c r="A495" s="2" t="n">
        <v>494</v>
      </c>
      <c r="B495" s="2" t="s">
        <v>344</v>
      </c>
      <c r="C495" s="2" t="n">
        <v>7</v>
      </c>
      <c r="D495" s="2" t="n">
        <v>4</v>
      </c>
      <c r="E495" s="82" t="n">
        <v>44985</v>
      </c>
      <c r="F495" s="83" t="n">
        <v>0.132893518518519</v>
      </c>
      <c r="G495" s="82" t="n">
        <v>44993</v>
      </c>
      <c r="H495" s="83" t="n">
        <v>0.796388888888889</v>
      </c>
      <c r="I495" s="2" t="s">
        <v>547</v>
      </c>
      <c r="J495" s="2" t="s">
        <v>33</v>
      </c>
      <c r="K495" s="46" t="str">
        <f aca="false">INDEX(Products!$B$2:$B$71,MATCH($C495,Products!$A$2:$A$71,0))</f>
        <v>Quos Set</v>
      </c>
      <c r="L495" s="46" t="str">
        <f aca="false">INDEX(Products!$C$2:$C$71,MATCH($C495,Products!$A$2:$A$71,0))</f>
        <v>Soft Toys</v>
      </c>
      <c r="M495" s="84" t="n">
        <f aca="false">INDEX(Products!$D$2:$D$71,MATCH($C495,Products!$A$2:$A$71,0))</f>
        <v>409</v>
      </c>
      <c r="N495" s="84" t="n">
        <f aca="false">$D495*$M495</f>
        <v>1636</v>
      </c>
      <c r="O495" s="46" t="str">
        <f aca="false">INDEX(Customers!$C$2:$C$101,MATCH($B495,Customers!$A$2:$A$101,0))</f>
        <v>Ahmednagar</v>
      </c>
      <c r="P495" s="46" t="str">
        <f aca="false">INDEX(Customers!$F$2:$F$101,MATCH($B495,Customers!$A$2:$A$101,0))</f>
        <v>Female</v>
      </c>
      <c r="Q495" s="46" t="str">
        <f aca="false">INDEX(Customers!$B$2:$B$101,MATCH($B495,Customers!$A$2:$A$101,0))</f>
        <v>Anya Chaudhari</v>
      </c>
      <c r="R495" s="46" t="n">
        <f aca="false">MONTH($E495)</f>
        <v>2</v>
      </c>
      <c r="S495" s="46" t="str">
        <f aca="false">INDEX(Lists!$B$2:$B$13,$R495)</f>
        <v>February</v>
      </c>
      <c r="T495" s="46" t="n">
        <f aca="false">HOUR($F495)</f>
        <v>3</v>
      </c>
      <c r="U495" s="46" t="n">
        <f aca="false">WEEKDAY($E495,2)</f>
        <v>2</v>
      </c>
      <c r="V495" s="46" t="str">
        <f aca="false">INDEX(Lists!$F$2:$F$8,$U495)</f>
        <v>Tuesday</v>
      </c>
      <c r="W495" s="85" t="n">
        <f aca="false">($G495+$H495)-($E495+$F495)</f>
        <v>8.66349537037037</v>
      </c>
      <c r="X495" s="46" t="str">
        <f aca="false">LOOKUP($M495,Lists!$G$2:$G$5,Lists!$H$2:$H$5)</f>
        <v>₹0 - 499</v>
      </c>
      <c r="Y495" s="46" t="str">
        <f aca="false">LOOKUP($W495,Lists!$I$2:$I$7,Lists!$J$2:$J$7)</f>
        <v>8 - 10 days</v>
      </c>
    </row>
    <row r="496" customFormat="false" ht="15" hidden="false" customHeight="false" outlineLevel="0" collapsed="false">
      <c r="A496" s="7" t="n">
        <v>495</v>
      </c>
      <c r="B496" s="7" t="s">
        <v>142</v>
      </c>
      <c r="C496" s="7" t="n">
        <v>20</v>
      </c>
      <c r="D496" s="7" t="n">
        <v>1</v>
      </c>
      <c r="E496" s="77" t="n">
        <v>45166</v>
      </c>
      <c r="F496" s="78" t="n">
        <v>0.737835648148148</v>
      </c>
      <c r="G496" s="77" t="n">
        <v>45167</v>
      </c>
      <c r="H496" s="78" t="n">
        <v>0.95244212962963</v>
      </c>
      <c r="I496" s="7" t="s">
        <v>528</v>
      </c>
      <c r="J496" s="7" t="s">
        <v>168</v>
      </c>
      <c r="K496" s="79" t="str">
        <f aca="false">INDEX(Products!$B$2:$B$71,MATCH($C496,Products!$A$2:$A$71,0))</f>
        <v>Reiciendis Box</v>
      </c>
      <c r="L496" s="79" t="str">
        <f aca="false">INDEX(Products!$C$2:$C$71,MATCH($C496,Products!$A$2:$A$71,0))</f>
        <v>Colors</v>
      </c>
      <c r="M496" s="80" t="n">
        <f aca="false">INDEX(Products!$D$2:$D$71,MATCH($C496,Products!$A$2:$A$71,0))</f>
        <v>697</v>
      </c>
      <c r="N496" s="80" t="n">
        <f aca="false">$D496*$M496</f>
        <v>697</v>
      </c>
      <c r="O496" s="79" t="str">
        <f aca="false">INDEX(Customers!$C$2:$C$101,MATCH($B496,Customers!$A$2:$A$101,0))</f>
        <v>Berhampore</v>
      </c>
      <c r="P496" s="79" t="str">
        <f aca="false">INDEX(Customers!$F$2:$F$101,MATCH($B496,Customers!$A$2:$A$101,0))</f>
        <v>Male</v>
      </c>
      <c r="Q496" s="79" t="str">
        <f aca="false">INDEX(Customers!$B$2:$B$101,MATCH($B496,Customers!$A$2:$A$101,0))</f>
        <v>Jayant Kamdar</v>
      </c>
      <c r="R496" s="79" t="n">
        <f aca="false">MONTH($E496)</f>
        <v>8</v>
      </c>
      <c r="S496" s="79" t="str">
        <f aca="false">INDEX(Lists!$B$2:$B$13,$R496)</f>
        <v>August</v>
      </c>
      <c r="T496" s="79" t="n">
        <f aca="false">HOUR($F496)</f>
        <v>17</v>
      </c>
      <c r="U496" s="79" t="n">
        <f aca="false">WEEKDAY($E496,2)</f>
        <v>1</v>
      </c>
      <c r="V496" s="79" t="str">
        <f aca="false">INDEX(Lists!$F$2:$F$8,$U496)</f>
        <v>Monday</v>
      </c>
      <c r="W496" s="81" t="n">
        <f aca="false">($G496+$H496)-($E496+$F496)</f>
        <v>1.21460648148148</v>
      </c>
      <c r="X496" s="79" t="str">
        <f aca="false">LOOKUP($M496,Lists!$G$2:$G$5,Lists!$H$2:$H$5)</f>
        <v>₹500 - 999</v>
      </c>
      <c r="Y496" s="79" t="str">
        <f aca="false">LOOKUP($W496,Lists!$I$2:$I$7,Lists!$J$2:$J$7)</f>
        <v>0 - 2 days</v>
      </c>
    </row>
    <row r="497" customFormat="false" ht="15" hidden="false" customHeight="false" outlineLevel="0" collapsed="false">
      <c r="A497" s="2" t="n">
        <v>496</v>
      </c>
      <c r="B497" s="2" t="s">
        <v>178</v>
      </c>
      <c r="C497" s="2" t="n">
        <v>11</v>
      </c>
      <c r="D497" s="2" t="n">
        <v>4</v>
      </c>
      <c r="E497" s="82" t="n">
        <v>44966</v>
      </c>
      <c r="F497" s="83" t="n">
        <v>0.605520833333333</v>
      </c>
      <c r="G497" s="82" t="n">
        <v>44973</v>
      </c>
      <c r="H497" s="83" t="n">
        <v>0.545613425925926</v>
      </c>
      <c r="I497" s="2" t="s">
        <v>555</v>
      </c>
      <c r="J497" s="2" t="s">
        <v>179</v>
      </c>
      <c r="K497" s="46" t="str">
        <f aca="false">INDEX(Products!$B$2:$B$71,MATCH($C497,Products!$A$2:$A$71,0))</f>
        <v>Maxime Set</v>
      </c>
      <c r="L497" s="46" t="str">
        <f aca="false">INDEX(Products!$C$2:$C$71,MATCH($C497,Products!$A$2:$A$71,0))</f>
        <v>Mugs</v>
      </c>
      <c r="M497" s="84" t="n">
        <f aca="false">INDEX(Products!$D$2:$D$71,MATCH($C497,Products!$A$2:$A$71,0))</f>
        <v>1096</v>
      </c>
      <c r="N497" s="84" t="n">
        <f aca="false">$D497*$M497</f>
        <v>4384</v>
      </c>
      <c r="O497" s="46" t="str">
        <f aca="false">INDEX(Customers!$C$2:$C$101,MATCH($B497,Customers!$A$2:$A$101,0))</f>
        <v>Mehsana</v>
      </c>
      <c r="P497" s="46" t="str">
        <f aca="false">INDEX(Customers!$F$2:$F$101,MATCH($B497,Customers!$A$2:$A$101,0))</f>
        <v>Male</v>
      </c>
      <c r="Q497" s="46" t="str">
        <f aca="false">INDEX(Customers!$B$2:$B$101,MATCH($B497,Customers!$A$2:$A$101,0))</f>
        <v>Siya Talwar</v>
      </c>
      <c r="R497" s="46" t="n">
        <f aca="false">MONTH($E497)</f>
        <v>2</v>
      </c>
      <c r="S497" s="46" t="str">
        <f aca="false">INDEX(Lists!$B$2:$B$13,$R497)</f>
        <v>February</v>
      </c>
      <c r="T497" s="46" t="n">
        <f aca="false">HOUR($F497)</f>
        <v>14</v>
      </c>
      <c r="U497" s="46" t="n">
        <f aca="false">WEEKDAY($E497,2)</f>
        <v>4</v>
      </c>
      <c r="V497" s="46" t="str">
        <f aca="false">INDEX(Lists!$F$2:$F$8,$U497)</f>
        <v>Thursday</v>
      </c>
      <c r="W497" s="85" t="n">
        <f aca="false">($G497+$H497)-($E497+$F497)</f>
        <v>6.94009259259259</v>
      </c>
      <c r="X497" s="46" t="str">
        <f aca="false">LOOKUP($M497,Lists!$G$2:$G$5,Lists!$H$2:$H$5)</f>
        <v>₹1,000 - 1,499</v>
      </c>
      <c r="Y497" s="46" t="str">
        <f aca="false">LOOKUP($W497,Lists!$I$2:$I$7,Lists!$J$2:$J$7)</f>
        <v>6 - 8 days</v>
      </c>
    </row>
    <row r="498" customFormat="false" ht="15" hidden="false" customHeight="false" outlineLevel="0" collapsed="false">
      <c r="A498" s="7" t="n">
        <v>497</v>
      </c>
      <c r="B498" s="7" t="s">
        <v>341</v>
      </c>
      <c r="C498" s="7" t="n">
        <v>64</v>
      </c>
      <c r="D498" s="7" t="n">
        <v>2</v>
      </c>
      <c r="E498" s="77" t="n">
        <v>45167</v>
      </c>
      <c r="F498" s="78" t="n">
        <v>0.84306712962963</v>
      </c>
      <c r="G498" s="77" t="n">
        <v>45170</v>
      </c>
      <c r="H498" s="78" t="n">
        <v>0.196481481481482</v>
      </c>
      <c r="I498" s="7" t="s">
        <v>156</v>
      </c>
      <c r="J498" s="7" t="s">
        <v>40</v>
      </c>
      <c r="K498" s="79" t="str">
        <f aca="false">INDEX(Products!$B$2:$B$71,MATCH($C498,Products!$A$2:$A$71,0))</f>
        <v>Nostrum Box</v>
      </c>
      <c r="L498" s="79" t="str">
        <f aca="false">INDEX(Products!$C$2:$C$71,MATCH($C498,Products!$A$2:$A$71,0))</f>
        <v>Soft Toys</v>
      </c>
      <c r="M498" s="80" t="n">
        <f aca="false">INDEX(Products!$D$2:$D$71,MATCH($C498,Products!$A$2:$A$71,0))</f>
        <v>1878</v>
      </c>
      <c r="N498" s="80" t="n">
        <f aca="false">$D498*$M498</f>
        <v>3756</v>
      </c>
      <c r="O498" s="79" t="str">
        <f aca="false">INDEX(Customers!$C$2:$C$101,MATCH($B498,Customers!$A$2:$A$101,0))</f>
        <v>Ratlam</v>
      </c>
      <c r="P498" s="79" t="str">
        <f aca="false">INDEX(Customers!$F$2:$F$101,MATCH($B498,Customers!$A$2:$A$101,0))</f>
        <v>Male</v>
      </c>
      <c r="Q498" s="79" t="str">
        <f aca="false">INDEX(Customers!$B$2:$B$101,MATCH($B498,Customers!$A$2:$A$101,0))</f>
        <v>Kaira Ramachandran</v>
      </c>
      <c r="R498" s="79" t="n">
        <f aca="false">MONTH($E498)</f>
        <v>8</v>
      </c>
      <c r="S498" s="79" t="str">
        <f aca="false">INDEX(Lists!$B$2:$B$13,$R498)</f>
        <v>August</v>
      </c>
      <c r="T498" s="79" t="n">
        <f aca="false">HOUR($F498)</f>
        <v>20</v>
      </c>
      <c r="U498" s="79" t="n">
        <f aca="false">WEEKDAY($E498,2)</f>
        <v>2</v>
      </c>
      <c r="V498" s="79" t="str">
        <f aca="false">INDEX(Lists!$F$2:$F$8,$U498)</f>
        <v>Tuesday</v>
      </c>
      <c r="W498" s="81" t="n">
        <f aca="false">($G498+$H498)-($E498+$F498)</f>
        <v>2.35341435185185</v>
      </c>
      <c r="X498" s="79" t="str">
        <f aca="false">LOOKUP($M498,Lists!$G$2:$G$5,Lists!$H$2:$H$5)</f>
        <v>₹1,500 - 2,000</v>
      </c>
      <c r="Y498" s="79" t="str">
        <f aca="false">LOOKUP($W498,Lists!$I$2:$I$7,Lists!$J$2:$J$7)</f>
        <v>2 - 4 days</v>
      </c>
    </row>
    <row r="499" customFormat="false" ht="15" hidden="false" customHeight="false" outlineLevel="0" collapsed="false">
      <c r="A499" s="2" t="n">
        <v>498</v>
      </c>
      <c r="B499" s="2" t="s">
        <v>392</v>
      </c>
      <c r="C499" s="2" t="n">
        <v>19</v>
      </c>
      <c r="D499" s="2" t="n">
        <v>4</v>
      </c>
      <c r="E499" s="82" t="n">
        <v>44970</v>
      </c>
      <c r="F499" s="83" t="n">
        <v>0.89912037037037</v>
      </c>
      <c r="G499" s="82" t="n">
        <v>44977</v>
      </c>
      <c r="H499" s="83" t="n">
        <v>0.885</v>
      </c>
      <c r="I499" s="2" t="s">
        <v>265</v>
      </c>
      <c r="J499" s="2" t="s">
        <v>179</v>
      </c>
      <c r="K499" s="46" t="str">
        <f aca="false">INDEX(Products!$B$2:$B$71,MATCH($C499,Products!$A$2:$A$71,0))</f>
        <v>Iure Gift</v>
      </c>
      <c r="L499" s="46" t="str">
        <f aca="false">INDEX(Products!$C$2:$C$71,MATCH($C499,Products!$A$2:$A$71,0))</f>
        <v>Mugs</v>
      </c>
      <c r="M499" s="84" t="n">
        <f aca="false">INDEX(Products!$D$2:$D$71,MATCH($C499,Products!$A$2:$A$71,0))</f>
        <v>1234</v>
      </c>
      <c r="N499" s="84" t="n">
        <f aca="false">$D499*$M499</f>
        <v>4936</v>
      </c>
      <c r="O499" s="46" t="str">
        <f aca="false">INDEX(Customers!$C$2:$C$101,MATCH($B499,Customers!$A$2:$A$101,0))</f>
        <v>Phagwara</v>
      </c>
      <c r="P499" s="46" t="str">
        <f aca="false">INDEX(Customers!$F$2:$F$101,MATCH($B499,Customers!$A$2:$A$101,0))</f>
        <v>Female</v>
      </c>
      <c r="Q499" s="46" t="str">
        <f aca="false">INDEX(Customers!$B$2:$B$101,MATCH($B499,Customers!$A$2:$A$101,0))</f>
        <v>Pranay Chaudhary</v>
      </c>
      <c r="R499" s="46" t="n">
        <f aca="false">MONTH($E499)</f>
        <v>2</v>
      </c>
      <c r="S499" s="46" t="str">
        <f aca="false">INDEX(Lists!$B$2:$B$13,$R499)</f>
        <v>February</v>
      </c>
      <c r="T499" s="46" t="n">
        <f aca="false">HOUR($F499)</f>
        <v>21</v>
      </c>
      <c r="U499" s="46" t="n">
        <f aca="false">WEEKDAY($E499,2)</f>
        <v>1</v>
      </c>
      <c r="V499" s="46" t="str">
        <f aca="false">INDEX(Lists!$F$2:$F$8,$U499)</f>
        <v>Monday</v>
      </c>
      <c r="W499" s="85" t="n">
        <f aca="false">($G499+$H499)-($E499+$F499)</f>
        <v>6.98587962962963</v>
      </c>
      <c r="X499" s="46" t="str">
        <f aca="false">LOOKUP($M499,Lists!$G$2:$G$5,Lists!$H$2:$H$5)</f>
        <v>₹1,000 - 1,499</v>
      </c>
      <c r="Y499" s="46" t="str">
        <f aca="false">LOOKUP($W499,Lists!$I$2:$I$7,Lists!$J$2:$J$7)</f>
        <v>6 - 8 days</v>
      </c>
    </row>
    <row r="500" customFormat="false" ht="15" hidden="false" customHeight="false" outlineLevel="0" collapsed="false">
      <c r="A500" s="7" t="n">
        <v>499</v>
      </c>
      <c r="B500" s="7" t="s">
        <v>200</v>
      </c>
      <c r="C500" s="7" t="n">
        <v>59</v>
      </c>
      <c r="D500" s="7" t="n">
        <v>1</v>
      </c>
      <c r="E500" s="77" t="n">
        <v>45165</v>
      </c>
      <c r="F500" s="78" t="n">
        <v>0.506481481481482</v>
      </c>
      <c r="G500" s="77" t="n">
        <v>45171</v>
      </c>
      <c r="H500" s="78" t="n">
        <v>0.41912037037037</v>
      </c>
      <c r="I500" s="7" t="s">
        <v>420</v>
      </c>
      <c r="J500" s="7" t="s">
        <v>40</v>
      </c>
      <c r="K500" s="79" t="str">
        <f aca="false">INDEX(Products!$B$2:$B$71,MATCH($C500,Products!$A$2:$A$71,0))</f>
        <v>Pariatur Box</v>
      </c>
      <c r="L500" s="79" t="str">
        <f aca="false">INDEX(Products!$C$2:$C$71,MATCH($C500,Products!$A$2:$A$71,0))</f>
        <v>Cake</v>
      </c>
      <c r="M500" s="80" t="n">
        <f aca="false">INDEX(Products!$D$2:$D$71,MATCH($C500,Products!$A$2:$A$71,0))</f>
        <v>811</v>
      </c>
      <c r="N500" s="80" t="n">
        <f aca="false">$D500*$M500</f>
        <v>811</v>
      </c>
      <c r="O500" s="79" t="str">
        <f aca="false">INDEX(Customers!$C$2:$C$101,MATCH($B500,Customers!$A$2:$A$101,0))</f>
        <v>Sasaram</v>
      </c>
      <c r="P500" s="79" t="str">
        <f aca="false">INDEX(Customers!$F$2:$F$101,MATCH($B500,Customers!$A$2:$A$101,0))</f>
        <v>Female</v>
      </c>
      <c r="Q500" s="79" t="str">
        <f aca="false">INDEX(Customers!$B$2:$B$101,MATCH($B500,Customers!$A$2:$A$101,0))</f>
        <v>Madhup Wable</v>
      </c>
      <c r="R500" s="79" t="n">
        <f aca="false">MONTH($E500)</f>
        <v>8</v>
      </c>
      <c r="S500" s="79" t="str">
        <f aca="false">INDEX(Lists!$B$2:$B$13,$R500)</f>
        <v>August</v>
      </c>
      <c r="T500" s="79" t="n">
        <f aca="false">HOUR($F500)</f>
        <v>12</v>
      </c>
      <c r="U500" s="79" t="n">
        <f aca="false">WEEKDAY($E500,2)</f>
        <v>7</v>
      </c>
      <c r="V500" s="79" t="str">
        <f aca="false">INDEX(Lists!$F$2:$F$8,$U500)</f>
        <v>Sunday</v>
      </c>
      <c r="W500" s="81" t="n">
        <f aca="false">($G500+$H500)-($E500+$F500)</f>
        <v>5.91263888888889</v>
      </c>
      <c r="X500" s="79" t="str">
        <f aca="false">LOOKUP($M500,Lists!$G$2:$G$5,Lists!$H$2:$H$5)</f>
        <v>₹500 - 999</v>
      </c>
      <c r="Y500" s="79" t="str">
        <f aca="false">LOOKUP($W500,Lists!$I$2:$I$7,Lists!$J$2:$J$7)</f>
        <v>4 - 6 days</v>
      </c>
    </row>
    <row r="501" customFormat="false" ht="15" hidden="false" customHeight="false" outlineLevel="0" collapsed="false">
      <c r="A501" s="2" t="n">
        <v>500</v>
      </c>
      <c r="B501" s="2" t="s">
        <v>159</v>
      </c>
      <c r="C501" s="2" t="n">
        <v>61</v>
      </c>
      <c r="D501" s="2" t="n">
        <v>2</v>
      </c>
      <c r="E501" s="82" t="n">
        <v>45106</v>
      </c>
      <c r="F501" s="83" t="n">
        <v>0.42212962962963</v>
      </c>
      <c r="G501" s="82" t="n">
        <v>45112</v>
      </c>
      <c r="H501" s="83" t="n">
        <v>0.510011574074074</v>
      </c>
      <c r="I501" s="2" t="s">
        <v>287</v>
      </c>
      <c r="J501" s="2" t="s">
        <v>168</v>
      </c>
      <c r="K501" s="46" t="str">
        <f aca="false">INDEX(Products!$B$2:$B$71,MATCH($C501,Products!$A$2:$A$71,0))</f>
        <v>Iusto Box</v>
      </c>
      <c r="L501" s="46" t="str">
        <f aca="false">INDEX(Products!$C$2:$C$71,MATCH($C501,Products!$A$2:$A$71,0))</f>
        <v>Plants</v>
      </c>
      <c r="M501" s="84" t="n">
        <f aca="false">INDEX(Products!$D$2:$D$71,MATCH($C501,Products!$A$2:$A$71,0))</f>
        <v>810</v>
      </c>
      <c r="N501" s="84" t="n">
        <f aca="false">$D501*$M501</f>
        <v>1620</v>
      </c>
      <c r="O501" s="46" t="str">
        <f aca="false">INDEX(Customers!$C$2:$C$101,MATCH($B501,Customers!$A$2:$A$101,0))</f>
        <v>Mangalore</v>
      </c>
      <c r="P501" s="46" t="str">
        <f aca="false">INDEX(Customers!$F$2:$F$101,MATCH($B501,Customers!$A$2:$A$101,0))</f>
        <v>Female</v>
      </c>
      <c r="Q501" s="46" t="str">
        <f aca="false">INDEX(Customers!$B$2:$B$101,MATCH($B501,Customers!$A$2:$A$101,0))</f>
        <v>Manikya Goswami</v>
      </c>
      <c r="R501" s="46" t="n">
        <f aca="false">MONTH($E501)</f>
        <v>6</v>
      </c>
      <c r="S501" s="46" t="str">
        <f aca="false">INDEX(Lists!$B$2:$B$13,$R501)</f>
        <v>June</v>
      </c>
      <c r="T501" s="46" t="n">
        <f aca="false">HOUR($F501)</f>
        <v>10</v>
      </c>
      <c r="U501" s="46" t="n">
        <f aca="false">WEEKDAY($E501,2)</f>
        <v>4</v>
      </c>
      <c r="V501" s="46" t="str">
        <f aca="false">INDEX(Lists!$F$2:$F$8,$U501)</f>
        <v>Thursday</v>
      </c>
      <c r="W501" s="85" t="n">
        <f aca="false">($G501+$H501)-($E501+$F501)</f>
        <v>6.08788194444445</v>
      </c>
      <c r="X501" s="46" t="str">
        <f aca="false">LOOKUP($M501,Lists!$G$2:$G$5,Lists!$H$2:$H$5)</f>
        <v>₹500 - 999</v>
      </c>
      <c r="Y501" s="46" t="str">
        <f aca="false">LOOKUP($W501,Lists!$I$2:$I$7,Lists!$J$2:$J$7)</f>
        <v>6 - 8 days</v>
      </c>
    </row>
    <row r="502" customFormat="false" ht="15" hidden="false" customHeight="false" outlineLevel="0" collapsed="false">
      <c r="A502" s="7" t="n">
        <v>501</v>
      </c>
      <c r="B502" s="7" t="s">
        <v>300</v>
      </c>
      <c r="C502" s="7" t="n">
        <v>46</v>
      </c>
      <c r="D502" s="7" t="n">
        <v>2</v>
      </c>
      <c r="E502" s="77" t="n">
        <v>45171</v>
      </c>
      <c r="F502" s="78" t="n">
        <v>0.685891203703704</v>
      </c>
      <c r="G502" s="77" t="n">
        <v>45177</v>
      </c>
      <c r="H502" s="78" t="n">
        <v>0.315</v>
      </c>
      <c r="I502" s="7" t="s">
        <v>508</v>
      </c>
      <c r="J502" s="7" t="s">
        <v>168</v>
      </c>
      <c r="K502" s="79" t="str">
        <f aca="false">INDEX(Products!$B$2:$B$71,MATCH($C502,Products!$A$2:$A$71,0))</f>
        <v>Pariatur Set</v>
      </c>
      <c r="L502" s="79" t="str">
        <f aca="false">INDEX(Products!$C$2:$C$71,MATCH($C502,Products!$A$2:$A$71,0))</f>
        <v>Cake</v>
      </c>
      <c r="M502" s="80" t="n">
        <f aca="false">INDEX(Products!$D$2:$D$71,MATCH($C502,Products!$A$2:$A$71,0))</f>
        <v>758</v>
      </c>
      <c r="N502" s="80" t="n">
        <f aca="false">$D502*$M502</f>
        <v>1516</v>
      </c>
      <c r="O502" s="79" t="str">
        <f aca="false">INDEX(Customers!$C$2:$C$101,MATCH($B502,Customers!$A$2:$A$101,0))</f>
        <v>Malegaon</v>
      </c>
      <c r="P502" s="79" t="str">
        <f aca="false">INDEX(Customers!$F$2:$F$101,MATCH($B502,Customers!$A$2:$A$101,0))</f>
        <v>Female</v>
      </c>
      <c r="Q502" s="79" t="str">
        <f aca="false">INDEX(Customers!$B$2:$B$101,MATCH($B502,Customers!$A$2:$A$101,0))</f>
        <v>Eshani Buch</v>
      </c>
      <c r="R502" s="79" t="n">
        <f aca="false">MONTH($E502)</f>
        <v>9</v>
      </c>
      <c r="S502" s="79" t="str">
        <f aca="false">INDEX(Lists!$B$2:$B$13,$R502)</f>
        <v>September</v>
      </c>
      <c r="T502" s="79" t="n">
        <f aca="false">HOUR($F502)</f>
        <v>16</v>
      </c>
      <c r="U502" s="79" t="n">
        <f aca="false">WEEKDAY($E502,2)</f>
        <v>6</v>
      </c>
      <c r="V502" s="79" t="str">
        <f aca="false">INDEX(Lists!$F$2:$F$8,$U502)</f>
        <v>Saturday</v>
      </c>
      <c r="W502" s="81" t="n">
        <f aca="false">($G502+$H502)-($E502+$F502)</f>
        <v>5.6291087962963</v>
      </c>
      <c r="X502" s="79" t="str">
        <f aca="false">LOOKUP($M502,Lists!$G$2:$G$5,Lists!$H$2:$H$5)</f>
        <v>₹500 - 999</v>
      </c>
      <c r="Y502" s="79" t="str">
        <f aca="false">LOOKUP($W502,Lists!$I$2:$I$7,Lists!$J$2:$J$7)</f>
        <v>4 - 6 days</v>
      </c>
    </row>
    <row r="503" customFormat="false" ht="15" hidden="false" customHeight="false" outlineLevel="0" collapsed="false">
      <c r="A503" s="2" t="n">
        <v>502</v>
      </c>
      <c r="B503" s="2" t="s">
        <v>390</v>
      </c>
      <c r="C503" s="2" t="n">
        <v>22</v>
      </c>
      <c r="D503" s="2" t="n">
        <v>5</v>
      </c>
      <c r="E503" s="82" t="n">
        <v>45101</v>
      </c>
      <c r="F503" s="83" t="n">
        <v>0.231481481481482</v>
      </c>
      <c r="G503" s="82" t="n">
        <v>45107</v>
      </c>
      <c r="H503" s="83" t="n">
        <v>0.0387037037037037</v>
      </c>
      <c r="I503" s="2" t="s">
        <v>496</v>
      </c>
      <c r="J503" s="2" t="s">
        <v>165</v>
      </c>
      <c r="K503" s="46" t="str">
        <f aca="false">INDEX(Products!$B$2:$B$71,MATCH($C503,Products!$A$2:$A$71,0))</f>
        <v>Exercitationem Pack</v>
      </c>
      <c r="L503" s="46" t="str">
        <f aca="false">INDEX(Products!$C$2:$C$71,MATCH($C503,Products!$A$2:$A$71,0))</f>
        <v>Soft Toys</v>
      </c>
      <c r="M503" s="84" t="n">
        <f aca="false">INDEX(Products!$D$2:$D$71,MATCH($C503,Products!$A$2:$A$71,0))</f>
        <v>1639</v>
      </c>
      <c r="N503" s="84" t="n">
        <f aca="false">$D503*$M503</f>
        <v>8195</v>
      </c>
      <c r="O503" s="46" t="str">
        <f aca="false">INDEX(Customers!$C$2:$C$101,MATCH($B503,Customers!$A$2:$A$101,0))</f>
        <v>Dhanbad</v>
      </c>
      <c r="P503" s="46" t="str">
        <f aca="false">INDEX(Customers!$F$2:$F$101,MATCH($B503,Customers!$A$2:$A$101,0))</f>
        <v>Female</v>
      </c>
      <c r="Q503" s="46" t="str">
        <f aca="false">INDEX(Customers!$B$2:$B$101,MATCH($B503,Customers!$A$2:$A$101,0))</f>
        <v>Ranbir Loyal</v>
      </c>
      <c r="R503" s="46" t="n">
        <f aca="false">MONTH($E503)</f>
        <v>6</v>
      </c>
      <c r="S503" s="46" t="str">
        <f aca="false">INDEX(Lists!$B$2:$B$13,$R503)</f>
        <v>June</v>
      </c>
      <c r="T503" s="46" t="n">
        <f aca="false">HOUR($F503)</f>
        <v>5</v>
      </c>
      <c r="U503" s="46" t="n">
        <f aca="false">WEEKDAY($E503,2)</f>
        <v>6</v>
      </c>
      <c r="V503" s="46" t="str">
        <f aca="false">INDEX(Lists!$F$2:$F$8,$U503)</f>
        <v>Saturday</v>
      </c>
      <c r="W503" s="85" t="n">
        <f aca="false">($G503+$H503)-($E503+$F503)</f>
        <v>5.80722222222222</v>
      </c>
      <c r="X503" s="46" t="str">
        <f aca="false">LOOKUP($M503,Lists!$G$2:$G$5,Lists!$H$2:$H$5)</f>
        <v>₹1,500 - 2,000</v>
      </c>
      <c r="Y503" s="46" t="str">
        <f aca="false">LOOKUP($W503,Lists!$I$2:$I$7,Lists!$J$2:$J$7)</f>
        <v>4 - 6 days</v>
      </c>
    </row>
    <row r="504" customFormat="false" ht="15" hidden="false" customHeight="false" outlineLevel="0" collapsed="false">
      <c r="A504" s="7" t="n">
        <v>503</v>
      </c>
      <c r="B504" s="7" t="s">
        <v>176</v>
      </c>
      <c r="C504" s="7" t="n">
        <v>34</v>
      </c>
      <c r="D504" s="7" t="n">
        <v>1</v>
      </c>
      <c r="E504" s="77" t="n">
        <v>45167</v>
      </c>
      <c r="F504" s="78" t="n">
        <v>0.865104166666667</v>
      </c>
      <c r="G504" s="77" t="n">
        <v>45175</v>
      </c>
      <c r="H504" s="78" t="n">
        <v>0.326319444444444</v>
      </c>
      <c r="I504" s="7" t="s">
        <v>330</v>
      </c>
      <c r="J504" s="7" t="s">
        <v>40</v>
      </c>
      <c r="K504" s="79" t="str">
        <f aca="false">INDEX(Products!$B$2:$B$71,MATCH($C504,Products!$A$2:$A$71,0))</f>
        <v>Placeat Pack</v>
      </c>
      <c r="L504" s="79" t="str">
        <f aca="false">INDEX(Products!$C$2:$C$71,MATCH($C504,Products!$A$2:$A$71,0))</f>
        <v>Soft Toys</v>
      </c>
      <c r="M504" s="80" t="n">
        <f aca="false">INDEX(Products!$D$2:$D$71,MATCH($C504,Products!$A$2:$A$71,0))</f>
        <v>1335</v>
      </c>
      <c r="N504" s="80" t="n">
        <f aca="false">$D504*$M504</f>
        <v>1335</v>
      </c>
      <c r="O504" s="79" t="str">
        <f aca="false">INDEX(Customers!$C$2:$C$101,MATCH($B504,Customers!$A$2:$A$101,0))</f>
        <v>Machilipatnam</v>
      </c>
      <c r="P504" s="79" t="str">
        <f aca="false">INDEX(Customers!$F$2:$F$101,MATCH($B504,Customers!$A$2:$A$101,0))</f>
        <v>Male</v>
      </c>
      <c r="Q504" s="79" t="str">
        <f aca="false">INDEX(Customers!$B$2:$B$101,MATCH($B504,Customers!$A$2:$A$101,0))</f>
        <v>Samaira Ganesh</v>
      </c>
      <c r="R504" s="79" t="n">
        <f aca="false">MONTH($E504)</f>
        <v>8</v>
      </c>
      <c r="S504" s="79" t="str">
        <f aca="false">INDEX(Lists!$B$2:$B$13,$R504)</f>
        <v>August</v>
      </c>
      <c r="T504" s="79" t="n">
        <f aca="false">HOUR($F504)</f>
        <v>20</v>
      </c>
      <c r="U504" s="79" t="n">
        <f aca="false">WEEKDAY($E504,2)</f>
        <v>2</v>
      </c>
      <c r="V504" s="79" t="str">
        <f aca="false">INDEX(Lists!$F$2:$F$8,$U504)</f>
        <v>Tuesday</v>
      </c>
      <c r="W504" s="81" t="n">
        <f aca="false">($G504+$H504)-($E504+$F504)</f>
        <v>7.46121527777778</v>
      </c>
      <c r="X504" s="79" t="str">
        <f aca="false">LOOKUP($M504,Lists!$G$2:$G$5,Lists!$H$2:$H$5)</f>
        <v>₹1,000 - 1,499</v>
      </c>
      <c r="Y504" s="79" t="str">
        <f aca="false">LOOKUP($W504,Lists!$I$2:$I$7,Lists!$J$2:$J$7)</f>
        <v>6 - 8 days</v>
      </c>
    </row>
    <row r="505" customFormat="false" ht="15" hidden="false" customHeight="false" outlineLevel="0" collapsed="false">
      <c r="A505" s="2" t="n">
        <v>504</v>
      </c>
      <c r="B505" s="2" t="s">
        <v>278</v>
      </c>
      <c r="C505" s="2" t="n">
        <v>25</v>
      </c>
      <c r="D505" s="2" t="n">
        <v>1</v>
      </c>
      <c r="E505" s="82" t="n">
        <v>45121</v>
      </c>
      <c r="F505" s="83" t="n">
        <v>0.544930555555556</v>
      </c>
      <c r="G505" s="82" t="n">
        <v>45131</v>
      </c>
      <c r="H505" s="83" t="n">
        <v>0.222638888888889</v>
      </c>
      <c r="I505" s="2" t="s">
        <v>487</v>
      </c>
      <c r="J505" s="2" t="s">
        <v>168</v>
      </c>
      <c r="K505" s="46" t="str">
        <f aca="false">INDEX(Products!$B$2:$B$71,MATCH($C505,Products!$A$2:$A$71,0))</f>
        <v>Qui Gift</v>
      </c>
      <c r="L505" s="46" t="str">
        <f aca="false">INDEX(Products!$C$2:$C$71,MATCH($C505,Products!$A$2:$A$71,0))</f>
        <v>Plants</v>
      </c>
      <c r="M505" s="84" t="n">
        <f aca="false">INDEX(Products!$D$2:$D$71,MATCH($C505,Products!$A$2:$A$71,0))</f>
        <v>1202</v>
      </c>
      <c r="N505" s="84" t="n">
        <f aca="false">$D505*$M505</f>
        <v>1202</v>
      </c>
      <c r="O505" s="46" t="str">
        <f aca="false">INDEX(Customers!$C$2:$C$101,MATCH($B505,Customers!$A$2:$A$101,0))</f>
        <v>Guntakal</v>
      </c>
      <c r="P505" s="46" t="str">
        <f aca="false">INDEX(Customers!$F$2:$F$101,MATCH($B505,Customers!$A$2:$A$101,0))</f>
        <v>Male</v>
      </c>
      <c r="Q505" s="46" t="str">
        <f aca="false">INDEX(Customers!$B$2:$B$101,MATCH($B505,Customers!$A$2:$A$101,0))</f>
        <v>Charvi Kanda</v>
      </c>
      <c r="R505" s="46" t="n">
        <f aca="false">MONTH($E505)</f>
        <v>7</v>
      </c>
      <c r="S505" s="46" t="str">
        <f aca="false">INDEX(Lists!$B$2:$B$13,$R505)</f>
        <v>July</v>
      </c>
      <c r="T505" s="46" t="n">
        <f aca="false">HOUR($F505)</f>
        <v>13</v>
      </c>
      <c r="U505" s="46" t="n">
        <f aca="false">WEEKDAY($E505,2)</f>
        <v>5</v>
      </c>
      <c r="V505" s="46" t="str">
        <f aca="false">INDEX(Lists!$F$2:$F$8,$U505)</f>
        <v>Friday</v>
      </c>
      <c r="W505" s="85" t="n">
        <f aca="false">($G505+$H505)-($E505+$F505)</f>
        <v>9.67770833333333</v>
      </c>
      <c r="X505" s="46" t="str">
        <f aca="false">LOOKUP($M505,Lists!$G$2:$G$5,Lists!$H$2:$H$5)</f>
        <v>₹1,000 - 1,499</v>
      </c>
      <c r="Y505" s="46" t="str">
        <f aca="false">LOOKUP($W505,Lists!$I$2:$I$7,Lists!$J$2:$J$7)</f>
        <v>8 - 10 days</v>
      </c>
    </row>
    <row r="506" customFormat="false" ht="15" hidden="false" customHeight="false" outlineLevel="0" collapsed="false">
      <c r="A506" s="7" t="n">
        <v>505</v>
      </c>
      <c r="B506" s="7" t="s">
        <v>194</v>
      </c>
      <c r="C506" s="7" t="n">
        <v>45</v>
      </c>
      <c r="D506" s="7" t="n">
        <v>3</v>
      </c>
      <c r="E506" s="77" t="n">
        <v>45079</v>
      </c>
      <c r="F506" s="78" t="n">
        <v>0.555150462962963</v>
      </c>
      <c r="G506" s="77" t="n">
        <v>45082</v>
      </c>
      <c r="H506" s="78" t="n">
        <v>0.0830092592592593</v>
      </c>
      <c r="I506" s="7" t="s">
        <v>153</v>
      </c>
      <c r="J506" s="7" t="s">
        <v>31</v>
      </c>
      <c r="K506" s="79" t="str">
        <f aca="false">INDEX(Products!$B$2:$B$71,MATCH($C506,Products!$A$2:$A$71,0))</f>
        <v>Iusto Set</v>
      </c>
      <c r="L506" s="79" t="str">
        <f aca="false">INDEX(Products!$C$2:$C$71,MATCH($C506,Products!$A$2:$A$71,0))</f>
        <v>Raksha Bandhan</v>
      </c>
      <c r="M506" s="80" t="n">
        <f aca="false">INDEX(Products!$D$2:$D$71,MATCH($C506,Products!$A$2:$A$71,0))</f>
        <v>722</v>
      </c>
      <c r="N506" s="80" t="n">
        <f aca="false">$D506*$M506</f>
        <v>2166</v>
      </c>
      <c r="O506" s="79" t="str">
        <f aca="false">INDEX(Customers!$C$2:$C$101,MATCH($B506,Customers!$A$2:$A$101,0))</f>
        <v>Noida</v>
      </c>
      <c r="P506" s="79" t="str">
        <f aca="false">INDEX(Customers!$F$2:$F$101,MATCH($B506,Customers!$A$2:$A$101,0))</f>
        <v>Female</v>
      </c>
      <c r="Q506" s="79" t="str">
        <f aca="false">INDEX(Customers!$B$2:$B$101,MATCH($B506,Customers!$A$2:$A$101,0))</f>
        <v>Hridaan Rajagopalan</v>
      </c>
      <c r="R506" s="79" t="n">
        <f aca="false">MONTH($E506)</f>
        <v>6</v>
      </c>
      <c r="S506" s="79" t="str">
        <f aca="false">INDEX(Lists!$B$2:$B$13,$R506)</f>
        <v>June</v>
      </c>
      <c r="T506" s="79" t="n">
        <f aca="false">HOUR($F506)</f>
        <v>13</v>
      </c>
      <c r="U506" s="79" t="n">
        <f aca="false">WEEKDAY($E506,2)</f>
        <v>5</v>
      </c>
      <c r="V506" s="79" t="str">
        <f aca="false">INDEX(Lists!$F$2:$F$8,$U506)</f>
        <v>Friday</v>
      </c>
      <c r="W506" s="81" t="n">
        <f aca="false">($G506+$H506)-($E506+$F506)</f>
        <v>2.5278587962963</v>
      </c>
      <c r="X506" s="79" t="str">
        <f aca="false">LOOKUP($M506,Lists!$G$2:$G$5,Lists!$H$2:$H$5)</f>
        <v>₹500 - 999</v>
      </c>
      <c r="Y506" s="79" t="str">
        <f aca="false">LOOKUP($W506,Lists!$I$2:$I$7,Lists!$J$2:$J$7)</f>
        <v>2 - 4 days</v>
      </c>
    </row>
    <row r="507" customFormat="false" ht="15" hidden="false" customHeight="false" outlineLevel="0" collapsed="false">
      <c r="A507" s="2" t="n">
        <v>506</v>
      </c>
      <c r="B507" s="2" t="s">
        <v>278</v>
      </c>
      <c r="C507" s="2" t="n">
        <v>55</v>
      </c>
      <c r="D507" s="2" t="n">
        <v>4</v>
      </c>
      <c r="E507" s="82" t="n">
        <v>45165</v>
      </c>
      <c r="F507" s="83" t="n">
        <v>0.369490740740741</v>
      </c>
      <c r="G507" s="82" t="n">
        <v>45171</v>
      </c>
      <c r="H507" s="83" t="n">
        <v>0.488472222222222</v>
      </c>
      <c r="I507" s="2" t="s">
        <v>589</v>
      </c>
      <c r="J507" s="2" t="s">
        <v>40</v>
      </c>
      <c r="K507" s="46" t="str">
        <f aca="false">INDEX(Products!$B$2:$B$71,MATCH($C507,Products!$A$2:$A$71,0))</f>
        <v>Dolores Gift</v>
      </c>
      <c r="L507" s="46" t="str">
        <f aca="false">INDEX(Products!$C$2:$C$71,MATCH($C507,Products!$A$2:$A$71,0))</f>
        <v>Soft Toys</v>
      </c>
      <c r="M507" s="84" t="n">
        <f aca="false">INDEX(Products!$D$2:$D$71,MATCH($C507,Products!$A$2:$A$71,0))</f>
        <v>1904</v>
      </c>
      <c r="N507" s="84" t="n">
        <f aca="false">$D507*$M507</f>
        <v>7616</v>
      </c>
      <c r="O507" s="46" t="str">
        <f aca="false">INDEX(Customers!$C$2:$C$101,MATCH($B507,Customers!$A$2:$A$101,0))</f>
        <v>Guntakal</v>
      </c>
      <c r="P507" s="46" t="str">
        <f aca="false">INDEX(Customers!$F$2:$F$101,MATCH($B507,Customers!$A$2:$A$101,0))</f>
        <v>Male</v>
      </c>
      <c r="Q507" s="46" t="str">
        <f aca="false">INDEX(Customers!$B$2:$B$101,MATCH($B507,Customers!$A$2:$A$101,0))</f>
        <v>Charvi Kanda</v>
      </c>
      <c r="R507" s="46" t="n">
        <f aca="false">MONTH($E507)</f>
        <v>8</v>
      </c>
      <c r="S507" s="46" t="str">
        <f aca="false">INDEX(Lists!$B$2:$B$13,$R507)</f>
        <v>August</v>
      </c>
      <c r="T507" s="46" t="n">
        <f aca="false">HOUR($F507)</f>
        <v>8</v>
      </c>
      <c r="U507" s="46" t="n">
        <f aca="false">WEEKDAY($E507,2)</f>
        <v>7</v>
      </c>
      <c r="V507" s="46" t="str">
        <f aca="false">INDEX(Lists!$F$2:$F$8,$U507)</f>
        <v>Sunday</v>
      </c>
      <c r="W507" s="85" t="n">
        <f aca="false">($G507+$H507)-($E507+$F507)</f>
        <v>6.11898148148148</v>
      </c>
      <c r="X507" s="46" t="str">
        <f aca="false">LOOKUP($M507,Lists!$G$2:$G$5,Lists!$H$2:$H$5)</f>
        <v>₹1,500 - 2,000</v>
      </c>
      <c r="Y507" s="46" t="str">
        <f aca="false">LOOKUP($W507,Lists!$I$2:$I$7,Lists!$J$2:$J$7)</f>
        <v>6 - 8 days</v>
      </c>
    </row>
    <row r="508" customFormat="false" ht="15" hidden="false" customHeight="false" outlineLevel="0" collapsed="false">
      <c r="A508" s="7" t="n">
        <v>507</v>
      </c>
      <c r="B508" s="7" t="s">
        <v>194</v>
      </c>
      <c r="C508" s="7" t="n">
        <v>13</v>
      </c>
      <c r="D508" s="7" t="n">
        <v>4</v>
      </c>
      <c r="E508" s="77" t="n">
        <v>44992</v>
      </c>
      <c r="F508" s="78" t="n">
        <v>0.0195717592592593</v>
      </c>
      <c r="G508" s="77" t="n">
        <v>44998</v>
      </c>
      <c r="H508" s="78" t="n">
        <v>0.841388888888889</v>
      </c>
      <c r="I508" s="7" t="s">
        <v>480</v>
      </c>
      <c r="J508" s="7" t="s">
        <v>33</v>
      </c>
      <c r="K508" s="79" t="str">
        <f aca="false">INDEX(Products!$B$2:$B$71,MATCH($C508,Products!$A$2:$A$71,0))</f>
        <v>Et Set</v>
      </c>
      <c r="L508" s="79" t="str">
        <f aca="false">INDEX(Products!$C$2:$C$71,MATCH($C508,Products!$A$2:$A$71,0))</f>
        <v>Mugs</v>
      </c>
      <c r="M508" s="80" t="n">
        <f aca="false">INDEX(Products!$D$2:$D$71,MATCH($C508,Products!$A$2:$A$71,0))</f>
        <v>1141</v>
      </c>
      <c r="N508" s="80" t="n">
        <f aca="false">$D508*$M508</f>
        <v>4564</v>
      </c>
      <c r="O508" s="79" t="str">
        <f aca="false">INDEX(Customers!$C$2:$C$101,MATCH($B508,Customers!$A$2:$A$101,0))</f>
        <v>Noida</v>
      </c>
      <c r="P508" s="79" t="str">
        <f aca="false">INDEX(Customers!$F$2:$F$101,MATCH($B508,Customers!$A$2:$A$101,0))</f>
        <v>Female</v>
      </c>
      <c r="Q508" s="79" t="str">
        <f aca="false">INDEX(Customers!$B$2:$B$101,MATCH($B508,Customers!$A$2:$A$101,0))</f>
        <v>Hridaan Rajagopalan</v>
      </c>
      <c r="R508" s="79" t="n">
        <f aca="false">MONTH($E508)</f>
        <v>3</v>
      </c>
      <c r="S508" s="79" t="str">
        <f aca="false">INDEX(Lists!$B$2:$B$13,$R508)</f>
        <v>March</v>
      </c>
      <c r="T508" s="79" t="n">
        <f aca="false">HOUR($F508)</f>
        <v>0</v>
      </c>
      <c r="U508" s="79" t="n">
        <f aca="false">WEEKDAY($E508,2)</f>
        <v>2</v>
      </c>
      <c r="V508" s="79" t="str">
        <f aca="false">INDEX(Lists!$F$2:$F$8,$U508)</f>
        <v>Tuesday</v>
      </c>
      <c r="W508" s="81" t="n">
        <f aca="false">($G508+$H508)-($E508+$F508)</f>
        <v>6.82181712962963</v>
      </c>
      <c r="X508" s="79" t="str">
        <f aca="false">LOOKUP($M508,Lists!$G$2:$G$5,Lists!$H$2:$H$5)</f>
        <v>₹1,000 - 1,499</v>
      </c>
      <c r="Y508" s="79" t="str">
        <f aca="false">LOOKUP($W508,Lists!$I$2:$I$7,Lists!$J$2:$J$7)</f>
        <v>6 - 8 days</v>
      </c>
    </row>
    <row r="509" customFormat="false" ht="15" hidden="false" customHeight="false" outlineLevel="0" collapsed="false">
      <c r="A509" s="2" t="n">
        <v>508</v>
      </c>
      <c r="B509" s="2" t="s">
        <v>209</v>
      </c>
      <c r="C509" s="2" t="n">
        <v>69</v>
      </c>
      <c r="D509" s="2" t="n">
        <v>1</v>
      </c>
      <c r="E509" s="82" t="n">
        <v>44983</v>
      </c>
      <c r="F509" s="83" t="n">
        <v>0.728796296296296</v>
      </c>
      <c r="G509" s="82" t="n">
        <v>44989</v>
      </c>
      <c r="H509" s="83" t="n">
        <v>0.299375</v>
      </c>
      <c r="I509" s="2" t="s">
        <v>603</v>
      </c>
      <c r="J509" s="2" t="s">
        <v>33</v>
      </c>
      <c r="K509" s="46" t="str">
        <f aca="false">INDEX(Products!$B$2:$B$71,MATCH($C509,Products!$A$2:$A$71,0))</f>
        <v>Id Box</v>
      </c>
      <c r="L509" s="46" t="str">
        <f aca="false">INDEX(Products!$C$2:$C$71,MATCH($C509,Products!$A$2:$A$71,0))</f>
        <v>Cake</v>
      </c>
      <c r="M509" s="84" t="n">
        <f aca="false">INDEX(Products!$D$2:$D$71,MATCH($C509,Products!$A$2:$A$71,0))</f>
        <v>998</v>
      </c>
      <c r="N509" s="84" t="n">
        <f aca="false">$D509*$M509</f>
        <v>998</v>
      </c>
      <c r="O509" s="46" t="str">
        <f aca="false">INDEX(Customers!$C$2:$C$101,MATCH($B509,Customers!$A$2:$A$101,0))</f>
        <v>Vellore</v>
      </c>
      <c r="P509" s="46" t="str">
        <f aca="false">INDEX(Customers!$F$2:$F$101,MATCH($B509,Customers!$A$2:$A$101,0))</f>
        <v>Male</v>
      </c>
      <c r="Q509" s="46" t="str">
        <f aca="false">INDEX(Customers!$B$2:$B$101,MATCH($B509,Customers!$A$2:$A$101,0))</f>
        <v>Ira Sarna</v>
      </c>
      <c r="R509" s="46" t="n">
        <f aca="false">MONTH($E509)</f>
        <v>2</v>
      </c>
      <c r="S509" s="46" t="str">
        <f aca="false">INDEX(Lists!$B$2:$B$13,$R509)</f>
        <v>February</v>
      </c>
      <c r="T509" s="46" t="n">
        <f aca="false">HOUR($F509)</f>
        <v>17</v>
      </c>
      <c r="U509" s="46" t="n">
        <f aca="false">WEEKDAY($E509,2)</f>
        <v>7</v>
      </c>
      <c r="V509" s="46" t="str">
        <f aca="false">INDEX(Lists!$F$2:$F$8,$U509)</f>
        <v>Sunday</v>
      </c>
      <c r="W509" s="85" t="n">
        <f aca="false">($G509+$H509)-($E509+$F509)</f>
        <v>5.5705787037037</v>
      </c>
      <c r="X509" s="46" t="str">
        <f aca="false">LOOKUP($M509,Lists!$G$2:$G$5,Lists!$H$2:$H$5)</f>
        <v>₹500 - 999</v>
      </c>
      <c r="Y509" s="46" t="str">
        <f aca="false">LOOKUP($W509,Lists!$I$2:$I$7,Lists!$J$2:$J$7)</f>
        <v>4 - 6 days</v>
      </c>
    </row>
    <row r="510" customFormat="false" ht="15" hidden="false" customHeight="false" outlineLevel="0" collapsed="false">
      <c r="A510" s="7" t="n">
        <v>509</v>
      </c>
      <c r="B510" s="7" t="s">
        <v>130</v>
      </c>
      <c r="C510" s="7" t="n">
        <v>13</v>
      </c>
      <c r="D510" s="7" t="n">
        <v>5</v>
      </c>
      <c r="E510" s="77" t="n">
        <v>44990</v>
      </c>
      <c r="F510" s="78" t="n">
        <v>0.533969907407408</v>
      </c>
      <c r="G510" s="77" t="n">
        <v>44994</v>
      </c>
      <c r="H510" s="78" t="n">
        <v>0.324490740740741</v>
      </c>
      <c r="I510" s="7" t="s">
        <v>601</v>
      </c>
      <c r="J510" s="7" t="s">
        <v>33</v>
      </c>
      <c r="K510" s="79" t="str">
        <f aca="false">INDEX(Products!$B$2:$B$71,MATCH($C510,Products!$A$2:$A$71,0))</f>
        <v>Et Set</v>
      </c>
      <c r="L510" s="79" t="str">
        <f aca="false">INDEX(Products!$C$2:$C$71,MATCH($C510,Products!$A$2:$A$71,0))</f>
        <v>Mugs</v>
      </c>
      <c r="M510" s="80" t="n">
        <f aca="false">INDEX(Products!$D$2:$D$71,MATCH($C510,Products!$A$2:$A$71,0))</f>
        <v>1141</v>
      </c>
      <c r="N510" s="80" t="n">
        <f aca="false">$D510*$M510</f>
        <v>5705</v>
      </c>
      <c r="O510" s="79" t="str">
        <f aca="false">INDEX(Customers!$C$2:$C$101,MATCH($B510,Customers!$A$2:$A$101,0))</f>
        <v>Bilaspur</v>
      </c>
      <c r="P510" s="79" t="str">
        <f aca="false">INDEX(Customers!$F$2:$F$101,MATCH($B510,Customers!$A$2:$A$101,0))</f>
        <v>Male</v>
      </c>
      <c r="Q510" s="79" t="str">
        <f aca="false">INDEX(Customers!$B$2:$B$101,MATCH($B510,Customers!$A$2:$A$101,0))</f>
        <v>Jayesh Lanka</v>
      </c>
      <c r="R510" s="79" t="n">
        <f aca="false">MONTH($E510)</f>
        <v>3</v>
      </c>
      <c r="S510" s="79" t="str">
        <f aca="false">INDEX(Lists!$B$2:$B$13,$R510)</f>
        <v>March</v>
      </c>
      <c r="T510" s="79" t="n">
        <f aca="false">HOUR($F510)</f>
        <v>12</v>
      </c>
      <c r="U510" s="79" t="n">
        <f aca="false">WEEKDAY($E510,2)</f>
        <v>7</v>
      </c>
      <c r="V510" s="79" t="str">
        <f aca="false">INDEX(Lists!$F$2:$F$8,$U510)</f>
        <v>Sunday</v>
      </c>
      <c r="W510" s="81" t="n">
        <f aca="false">($G510+$H510)-($E510+$F510)</f>
        <v>3.79052083333333</v>
      </c>
      <c r="X510" s="79" t="str">
        <f aca="false">LOOKUP($M510,Lists!$G$2:$G$5,Lists!$H$2:$H$5)</f>
        <v>₹1,000 - 1,499</v>
      </c>
      <c r="Y510" s="79" t="str">
        <f aca="false">LOOKUP($W510,Lists!$I$2:$I$7,Lists!$J$2:$J$7)</f>
        <v>2 - 4 days</v>
      </c>
    </row>
    <row r="511" customFormat="false" ht="15" hidden="false" customHeight="false" outlineLevel="0" collapsed="false">
      <c r="A511" s="2" t="n">
        <v>510</v>
      </c>
      <c r="B511" s="2" t="s">
        <v>170</v>
      </c>
      <c r="C511" s="2" t="n">
        <v>54</v>
      </c>
      <c r="D511" s="2" t="n">
        <v>5</v>
      </c>
      <c r="E511" s="82" t="n">
        <v>45268</v>
      </c>
      <c r="F511" s="83" t="n">
        <v>0.541724537037037</v>
      </c>
      <c r="G511" s="82" t="n">
        <v>45277</v>
      </c>
      <c r="H511" s="83" t="n">
        <v>0.260266203703704</v>
      </c>
      <c r="I511" s="2" t="s">
        <v>521</v>
      </c>
      <c r="J511" s="2" t="s">
        <v>168</v>
      </c>
      <c r="K511" s="46" t="str">
        <f aca="false">INDEX(Products!$B$2:$B$71,MATCH($C511,Products!$A$2:$A$71,0))</f>
        <v>Occaecati Gift</v>
      </c>
      <c r="L511" s="46" t="str">
        <f aca="false">INDEX(Products!$C$2:$C$71,MATCH($C511,Products!$A$2:$A$71,0))</f>
        <v>Cake</v>
      </c>
      <c r="M511" s="84" t="n">
        <f aca="false">INDEX(Products!$D$2:$D$71,MATCH($C511,Products!$A$2:$A$71,0))</f>
        <v>1236</v>
      </c>
      <c r="N511" s="84" t="n">
        <f aca="false">$D511*$M511</f>
        <v>6180</v>
      </c>
      <c r="O511" s="46" t="str">
        <f aca="false">INDEX(Customers!$C$2:$C$101,MATCH($B511,Customers!$A$2:$A$101,0))</f>
        <v>Gangtok</v>
      </c>
      <c r="P511" s="46" t="str">
        <f aca="false">INDEX(Customers!$F$2:$F$101,MATCH($B511,Customers!$A$2:$A$101,0))</f>
        <v>Male</v>
      </c>
      <c r="Q511" s="46" t="str">
        <f aca="false">INDEX(Customers!$B$2:$B$101,MATCH($B511,Customers!$A$2:$A$101,0))</f>
        <v>Advika Dhar</v>
      </c>
      <c r="R511" s="46" t="n">
        <f aca="false">MONTH($E511)</f>
        <v>12</v>
      </c>
      <c r="S511" s="46" t="str">
        <f aca="false">INDEX(Lists!$B$2:$B$13,$R511)</f>
        <v>December</v>
      </c>
      <c r="T511" s="46" t="n">
        <f aca="false">HOUR($F511)</f>
        <v>13</v>
      </c>
      <c r="U511" s="46" t="n">
        <f aca="false">WEEKDAY($E511,2)</f>
        <v>5</v>
      </c>
      <c r="V511" s="46" t="str">
        <f aca="false">INDEX(Lists!$F$2:$F$8,$U511)</f>
        <v>Friday</v>
      </c>
      <c r="W511" s="85" t="n">
        <f aca="false">($G511+$H511)-($E511+$F511)</f>
        <v>8.71854166666667</v>
      </c>
      <c r="X511" s="46" t="str">
        <f aca="false">LOOKUP($M511,Lists!$G$2:$G$5,Lists!$H$2:$H$5)</f>
        <v>₹1,000 - 1,499</v>
      </c>
      <c r="Y511" s="46" t="str">
        <f aca="false">LOOKUP($W511,Lists!$I$2:$I$7,Lists!$J$2:$J$7)</f>
        <v>8 - 10 days</v>
      </c>
    </row>
    <row r="512" customFormat="false" ht="15" hidden="false" customHeight="false" outlineLevel="0" collapsed="false">
      <c r="A512" s="7" t="n">
        <v>511</v>
      </c>
      <c r="B512" s="7" t="s">
        <v>269</v>
      </c>
      <c r="C512" s="7" t="n">
        <v>47</v>
      </c>
      <c r="D512" s="7" t="n">
        <v>2</v>
      </c>
      <c r="E512" s="77" t="n">
        <v>44984</v>
      </c>
      <c r="F512" s="78" t="n">
        <v>0.540335648148148</v>
      </c>
      <c r="G512" s="77" t="n">
        <v>44989</v>
      </c>
      <c r="H512" s="78" t="n">
        <v>0.0320717592592593</v>
      </c>
      <c r="I512" s="7" t="s">
        <v>349</v>
      </c>
      <c r="J512" s="7" t="s">
        <v>33</v>
      </c>
      <c r="K512" s="79" t="str">
        <f aca="false">INDEX(Products!$B$2:$B$71,MATCH($C512,Products!$A$2:$A$71,0))</f>
        <v>Harum Pack</v>
      </c>
      <c r="L512" s="79" t="str">
        <f aca="false">INDEX(Products!$C$2:$C$71,MATCH($C512,Products!$A$2:$A$71,0))</f>
        <v>Colors</v>
      </c>
      <c r="M512" s="80" t="n">
        <f aca="false">INDEX(Products!$D$2:$D$71,MATCH($C512,Products!$A$2:$A$71,0))</f>
        <v>1638</v>
      </c>
      <c r="N512" s="80" t="n">
        <f aca="false">$D512*$M512</f>
        <v>3276</v>
      </c>
      <c r="O512" s="79" t="str">
        <f aca="false">INDEX(Customers!$C$2:$C$101,MATCH($B512,Customers!$A$2:$A$101,0))</f>
        <v>Imphal</v>
      </c>
      <c r="P512" s="79" t="str">
        <f aca="false">INDEX(Customers!$F$2:$F$101,MATCH($B512,Customers!$A$2:$A$101,0))</f>
        <v>Male</v>
      </c>
      <c r="Q512" s="79" t="str">
        <f aca="false">INDEX(Customers!$B$2:$B$101,MATCH($B512,Customers!$A$2:$A$101,0))</f>
        <v>Umang Luthra</v>
      </c>
      <c r="R512" s="79" t="n">
        <f aca="false">MONTH($E512)</f>
        <v>2</v>
      </c>
      <c r="S512" s="79" t="str">
        <f aca="false">INDEX(Lists!$B$2:$B$13,$R512)</f>
        <v>February</v>
      </c>
      <c r="T512" s="79" t="n">
        <f aca="false">HOUR($F512)</f>
        <v>12</v>
      </c>
      <c r="U512" s="79" t="n">
        <f aca="false">WEEKDAY($E512,2)</f>
        <v>1</v>
      </c>
      <c r="V512" s="79" t="str">
        <f aca="false">INDEX(Lists!$F$2:$F$8,$U512)</f>
        <v>Monday</v>
      </c>
      <c r="W512" s="81" t="n">
        <f aca="false">($G512+$H512)-($E512+$F512)</f>
        <v>4.49173611111111</v>
      </c>
      <c r="X512" s="79" t="str">
        <f aca="false">LOOKUP($M512,Lists!$G$2:$G$5,Lists!$H$2:$H$5)</f>
        <v>₹1,500 - 2,000</v>
      </c>
      <c r="Y512" s="79" t="str">
        <f aca="false">LOOKUP($W512,Lists!$I$2:$I$7,Lists!$J$2:$J$7)</f>
        <v>4 - 6 days</v>
      </c>
    </row>
    <row r="513" customFormat="false" ht="15" hidden="false" customHeight="false" outlineLevel="0" collapsed="false">
      <c r="A513" s="2" t="n">
        <v>512</v>
      </c>
      <c r="B513" s="2" t="s">
        <v>145</v>
      </c>
      <c r="C513" s="2" t="n">
        <v>41</v>
      </c>
      <c r="D513" s="2" t="n">
        <v>1</v>
      </c>
      <c r="E513" s="82" t="n">
        <v>45235</v>
      </c>
      <c r="F513" s="83" t="n">
        <v>0.112974537037037</v>
      </c>
      <c r="G513" s="82" t="n">
        <v>45241</v>
      </c>
      <c r="H513" s="83" t="n">
        <v>0.549074074074074</v>
      </c>
      <c r="I513" s="2" t="s">
        <v>544</v>
      </c>
      <c r="J513" s="2" t="s">
        <v>32</v>
      </c>
      <c r="K513" s="46" t="str">
        <f aca="false">INDEX(Products!$B$2:$B$71,MATCH($C513,Products!$A$2:$A$71,0))</f>
        <v>Aut Box</v>
      </c>
      <c r="L513" s="46" t="str">
        <f aca="false">INDEX(Products!$C$2:$C$71,MATCH($C513,Products!$A$2:$A$71,0))</f>
        <v>Sweets</v>
      </c>
      <c r="M513" s="84" t="n">
        <f aca="false">INDEX(Products!$D$2:$D$71,MATCH($C513,Products!$A$2:$A$71,0))</f>
        <v>1977</v>
      </c>
      <c r="N513" s="84" t="n">
        <f aca="false">$D513*$M513</f>
        <v>1977</v>
      </c>
      <c r="O513" s="46" t="str">
        <f aca="false">INDEX(Customers!$C$2:$C$101,MATCH($B513,Customers!$A$2:$A$101,0))</f>
        <v>Chinsurah</v>
      </c>
      <c r="P513" s="46" t="str">
        <f aca="false">INDEX(Customers!$F$2:$F$101,MATCH($B513,Customers!$A$2:$A$101,0))</f>
        <v>Female</v>
      </c>
      <c r="Q513" s="46" t="str">
        <f aca="false">INDEX(Customers!$B$2:$B$101,MATCH($B513,Customers!$A$2:$A$101,0))</f>
        <v>Veer Ray</v>
      </c>
      <c r="R513" s="46" t="n">
        <f aca="false">MONTH($E513)</f>
        <v>11</v>
      </c>
      <c r="S513" s="46" t="str">
        <f aca="false">INDEX(Lists!$B$2:$B$13,$R513)</f>
        <v>November</v>
      </c>
      <c r="T513" s="46" t="n">
        <f aca="false">HOUR($F513)</f>
        <v>2</v>
      </c>
      <c r="U513" s="46" t="n">
        <f aca="false">WEEKDAY($E513,2)</f>
        <v>7</v>
      </c>
      <c r="V513" s="46" t="str">
        <f aca="false">INDEX(Lists!$F$2:$F$8,$U513)</f>
        <v>Sunday</v>
      </c>
      <c r="W513" s="85" t="n">
        <f aca="false">($G513+$H513)-($E513+$F513)</f>
        <v>6.43609953703704</v>
      </c>
      <c r="X513" s="46" t="str">
        <f aca="false">LOOKUP($M513,Lists!$G$2:$G$5,Lists!$H$2:$H$5)</f>
        <v>₹1,500 - 2,000</v>
      </c>
      <c r="Y513" s="46" t="str">
        <f aca="false">LOOKUP($W513,Lists!$I$2:$I$7,Lists!$J$2:$J$7)</f>
        <v>6 - 8 days</v>
      </c>
    </row>
    <row r="514" customFormat="false" ht="15" hidden="false" customHeight="false" outlineLevel="0" collapsed="false">
      <c r="A514" s="7" t="n">
        <v>513</v>
      </c>
      <c r="B514" s="7" t="s">
        <v>360</v>
      </c>
      <c r="C514" s="7" t="n">
        <v>1</v>
      </c>
      <c r="D514" s="7" t="n">
        <v>4</v>
      </c>
      <c r="E514" s="77" t="n">
        <v>45012</v>
      </c>
      <c r="F514" s="78" t="n">
        <v>0.414953703703704</v>
      </c>
      <c r="G514" s="77" t="n">
        <v>45018</v>
      </c>
      <c r="H514" s="78" t="n">
        <v>0.581030092592593</v>
      </c>
      <c r="I514" s="7" t="s">
        <v>504</v>
      </c>
      <c r="J514" s="7" t="s">
        <v>165</v>
      </c>
      <c r="K514" s="79" t="str">
        <f aca="false">INDEX(Products!$B$2:$B$71,MATCH($C514,Products!$A$2:$A$71,0))</f>
        <v>Magnam Set</v>
      </c>
      <c r="L514" s="79" t="str">
        <f aca="false">INDEX(Products!$C$2:$C$71,MATCH($C514,Products!$A$2:$A$71,0))</f>
        <v>Soft Toys</v>
      </c>
      <c r="M514" s="80" t="n">
        <f aca="false">INDEX(Products!$D$2:$D$71,MATCH($C514,Products!$A$2:$A$71,0))</f>
        <v>1935</v>
      </c>
      <c r="N514" s="80" t="n">
        <f aca="false">$D514*$M514</f>
        <v>7740</v>
      </c>
      <c r="O514" s="79" t="str">
        <f aca="false">INDEX(Customers!$C$2:$C$101,MATCH($B514,Customers!$A$2:$A$101,0))</f>
        <v>Khora </v>
      </c>
      <c r="P514" s="79" t="str">
        <f aca="false">INDEX(Customers!$F$2:$F$101,MATCH($B514,Customers!$A$2:$A$101,0))</f>
        <v>Female</v>
      </c>
      <c r="Q514" s="79" t="str">
        <f aca="false">INDEX(Customers!$B$2:$B$101,MATCH($B514,Customers!$A$2:$A$101,0))</f>
        <v>Shalv Kulkarni</v>
      </c>
      <c r="R514" s="79" t="n">
        <f aca="false">MONTH($E514)</f>
        <v>3</v>
      </c>
      <c r="S514" s="79" t="str">
        <f aca="false">INDEX(Lists!$B$2:$B$13,$R514)</f>
        <v>March</v>
      </c>
      <c r="T514" s="79" t="n">
        <f aca="false">HOUR($F514)</f>
        <v>9</v>
      </c>
      <c r="U514" s="79" t="n">
        <f aca="false">WEEKDAY($E514,2)</f>
        <v>1</v>
      </c>
      <c r="V514" s="79" t="str">
        <f aca="false">INDEX(Lists!$F$2:$F$8,$U514)</f>
        <v>Monday</v>
      </c>
      <c r="W514" s="81" t="n">
        <f aca="false">($G514+$H514)-($E514+$F514)</f>
        <v>6.16607638888889</v>
      </c>
      <c r="X514" s="79" t="str">
        <f aca="false">LOOKUP($M514,Lists!$G$2:$G$5,Lists!$H$2:$H$5)</f>
        <v>₹1,500 - 2,000</v>
      </c>
      <c r="Y514" s="79" t="str">
        <f aca="false">LOOKUP($W514,Lists!$I$2:$I$7,Lists!$J$2:$J$7)</f>
        <v>6 - 8 days</v>
      </c>
    </row>
    <row r="515" customFormat="false" ht="15" hidden="false" customHeight="false" outlineLevel="0" collapsed="false">
      <c r="A515" s="2" t="n">
        <v>514</v>
      </c>
      <c r="B515" s="2" t="s">
        <v>366</v>
      </c>
      <c r="C515" s="2" t="n">
        <v>24</v>
      </c>
      <c r="D515" s="2" t="n">
        <v>1</v>
      </c>
      <c r="E515" s="82" t="n">
        <v>44927</v>
      </c>
      <c r="F515" s="83" t="n">
        <v>0.41400462962963</v>
      </c>
      <c r="G515" s="82" t="n">
        <v>44935</v>
      </c>
      <c r="H515" s="83" t="n">
        <v>0.747824074074074</v>
      </c>
      <c r="I515" s="2" t="s">
        <v>153</v>
      </c>
      <c r="J515" s="2" t="s">
        <v>31</v>
      </c>
      <c r="K515" s="46" t="str">
        <f aca="false">INDEX(Products!$B$2:$B$71,MATCH($C515,Products!$A$2:$A$71,0))</f>
        <v>Ad Box</v>
      </c>
      <c r="L515" s="46" t="str">
        <f aca="false">INDEX(Products!$C$2:$C$71,MATCH($C515,Products!$A$2:$A$71,0))</f>
        <v>Mugs</v>
      </c>
      <c r="M515" s="84" t="n">
        <f aca="false">INDEX(Products!$D$2:$D$71,MATCH($C515,Products!$A$2:$A$71,0))</f>
        <v>535</v>
      </c>
      <c r="N515" s="84" t="n">
        <f aca="false">$D515*$M515</f>
        <v>535</v>
      </c>
      <c r="O515" s="46" t="str">
        <f aca="false">INDEX(Customers!$C$2:$C$101,MATCH($B515,Customers!$A$2:$A$101,0))</f>
        <v>Anantapuram</v>
      </c>
      <c r="P515" s="46" t="str">
        <f aca="false">INDEX(Customers!$F$2:$F$101,MATCH($B515,Customers!$A$2:$A$101,0))</f>
        <v>Female</v>
      </c>
      <c r="Q515" s="46" t="str">
        <f aca="false">INDEX(Customers!$B$2:$B$101,MATCH($B515,Customers!$A$2:$A$101,0))</f>
        <v>Drishya De</v>
      </c>
      <c r="R515" s="46" t="n">
        <f aca="false">MONTH($E515)</f>
        <v>1</v>
      </c>
      <c r="S515" s="46" t="str">
        <f aca="false">INDEX(Lists!$B$2:$B$13,$R515)</f>
        <v>January</v>
      </c>
      <c r="T515" s="46" t="n">
        <f aca="false">HOUR($F515)</f>
        <v>9</v>
      </c>
      <c r="U515" s="46" t="n">
        <f aca="false">WEEKDAY($E515,2)</f>
        <v>7</v>
      </c>
      <c r="V515" s="46" t="str">
        <f aca="false">INDEX(Lists!$F$2:$F$8,$U515)</f>
        <v>Sunday</v>
      </c>
      <c r="W515" s="85" t="n">
        <f aca="false">($G515+$H515)-($E515+$F515)</f>
        <v>8.33381944444444</v>
      </c>
      <c r="X515" s="46" t="str">
        <f aca="false">LOOKUP($M515,Lists!$G$2:$G$5,Lists!$H$2:$H$5)</f>
        <v>₹500 - 999</v>
      </c>
      <c r="Y515" s="46" t="str">
        <f aca="false">LOOKUP($W515,Lists!$I$2:$I$7,Lists!$J$2:$J$7)</f>
        <v>8 - 10 days</v>
      </c>
    </row>
    <row r="516" customFormat="false" ht="15" hidden="false" customHeight="false" outlineLevel="0" collapsed="false">
      <c r="A516" s="7" t="n">
        <v>515</v>
      </c>
      <c r="B516" s="7" t="s">
        <v>334</v>
      </c>
      <c r="C516" s="7" t="n">
        <v>14</v>
      </c>
      <c r="D516" s="7" t="n">
        <v>5</v>
      </c>
      <c r="E516" s="77" t="n">
        <v>45220</v>
      </c>
      <c r="F516" s="78" t="n">
        <v>0.9740625</v>
      </c>
      <c r="G516" s="77" t="n">
        <v>45226</v>
      </c>
      <c r="H516" s="78" t="n">
        <v>0.624872685185185</v>
      </c>
      <c r="I516" s="7" t="s">
        <v>602</v>
      </c>
      <c r="J516" s="7" t="s">
        <v>31</v>
      </c>
      <c r="K516" s="79" t="str">
        <f aca="false">INDEX(Products!$B$2:$B$71,MATCH($C516,Products!$A$2:$A$71,0))</f>
        <v>Deserunt Box</v>
      </c>
      <c r="L516" s="79" t="str">
        <f aca="false">INDEX(Products!$C$2:$C$71,MATCH($C516,Products!$A$2:$A$71,0))</f>
        <v>Colors</v>
      </c>
      <c r="M516" s="80" t="n">
        <f aca="false">INDEX(Products!$D$2:$D$71,MATCH($C516,Products!$A$2:$A$71,0))</f>
        <v>1915</v>
      </c>
      <c r="N516" s="80" t="n">
        <f aca="false">$D516*$M516</f>
        <v>9575</v>
      </c>
      <c r="O516" s="79" t="str">
        <f aca="false">INDEX(Customers!$C$2:$C$101,MATCH($B516,Customers!$A$2:$A$101,0))</f>
        <v>Bhubaneswar</v>
      </c>
      <c r="P516" s="79" t="str">
        <f aca="false">INDEX(Customers!$F$2:$F$101,MATCH($B516,Customers!$A$2:$A$101,0))</f>
        <v>Female</v>
      </c>
      <c r="Q516" s="79" t="str">
        <f aca="false">INDEX(Customers!$B$2:$B$101,MATCH($B516,Customers!$A$2:$A$101,0))</f>
        <v>Jivika Rajan</v>
      </c>
      <c r="R516" s="79" t="n">
        <f aca="false">MONTH($E516)</f>
        <v>10</v>
      </c>
      <c r="S516" s="79" t="str">
        <f aca="false">INDEX(Lists!$B$2:$B$13,$R516)</f>
        <v>October</v>
      </c>
      <c r="T516" s="79" t="n">
        <f aca="false">HOUR($F516)</f>
        <v>23</v>
      </c>
      <c r="U516" s="79" t="n">
        <f aca="false">WEEKDAY($E516,2)</f>
        <v>6</v>
      </c>
      <c r="V516" s="79" t="str">
        <f aca="false">INDEX(Lists!$F$2:$F$8,$U516)</f>
        <v>Saturday</v>
      </c>
      <c r="W516" s="81" t="n">
        <f aca="false">($G516+$H516)-($E516+$F516)</f>
        <v>5.65081018518519</v>
      </c>
      <c r="X516" s="79" t="str">
        <f aca="false">LOOKUP($M516,Lists!$G$2:$G$5,Lists!$H$2:$H$5)</f>
        <v>₹1,500 - 2,000</v>
      </c>
      <c r="Y516" s="79" t="str">
        <f aca="false">LOOKUP($W516,Lists!$I$2:$I$7,Lists!$J$2:$J$7)</f>
        <v>4 - 6 days</v>
      </c>
    </row>
    <row r="517" customFormat="false" ht="15" hidden="false" customHeight="false" outlineLevel="0" collapsed="false">
      <c r="A517" s="2" t="n">
        <v>516</v>
      </c>
      <c r="B517" s="2" t="s">
        <v>176</v>
      </c>
      <c r="C517" s="2" t="n">
        <v>22</v>
      </c>
      <c r="D517" s="2" t="n">
        <v>2</v>
      </c>
      <c r="E517" s="82" t="n">
        <v>45112</v>
      </c>
      <c r="F517" s="83" t="n">
        <v>0.870092592592593</v>
      </c>
      <c r="G517" s="82" t="n">
        <v>45113</v>
      </c>
      <c r="H517" s="83" t="n">
        <v>0.0460648148148148</v>
      </c>
      <c r="I517" s="2" t="s">
        <v>384</v>
      </c>
      <c r="J517" s="2" t="s">
        <v>165</v>
      </c>
      <c r="K517" s="46" t="str">
        <f aca="false">INDEX(Products!$B$2:$B$71,MATCH($C517,Products!$A$2:$A$71,0))</f>
        <v>Exercitationem Pack</v>
      </c>
      <c r="L517" s="46" t="str">
        <f aca="false">INDEX(Products!$C$2:$C$71,MATCH($C517,Products!$A$2:$A$71,0))</f>
        <v>Soft Toys</v>
      </c>
      <c r="M517" s="84" t="n">
        <f aca="false">INDEX(Products!$D$2:$D$71,MATCH($C517,Products!$A$2:$A$71,0))</f>
        <v>1639</v>
      </c>
      <c r="N517" s="84" t="n">
        <f aca="false">$D517*$M517</f>
        <v>3278</v>
      </c>
      <c r="O517" s="46" t="str">
        <f aca="false">INDEX(Customers!$C$2:$C$101,MATCH($B517,Customers!$A$2:$A$101,0))</f>
        <v>Machilipatnam</v>
      </c>
      <c r="P517" s="46" t="str">
        <f aca="false">INDEX(Customers!$F$2:$F$101,MATCH($B517,Customers!$A$2:$A$101,0))</f>
        <v>Male</v>
      </c>
      <c r="Q517" s="46" t="str">
        <f aca="false">INDEX(Customers!$B$2:$B$101,MATCH($B517,Customers!$A$2:$A$101,0))</f>
        <v>Samaira Ganesh</v>
      </c>
      <c r="R517" s="46" t="n">
        <f aca="false">MONTH($E517)</f>
        <v>7</v>
      </c>
      <c r="S517" s="46" t="str">
        <f aca="false">INDEX(Lists!$B$2:$B$13,$R517)</f>
        <v>July</v>
      </c>
      <c r="T517" s="46" t="n">
        <f aca="false">HOUR($F517)</f>
        <v>20</v>
      </c>
      <c r="U517" s="46" t="n">
        <f aca="false">WEEKDAY($E517,2)</f>
        <v>3</v>
      </c>
      <c r="V517" s="46" t="str">
        <f aca="false">INDEX(Lists!$F$2:$F$8,$U517)</f>
        <v>Wednesday</v>
      </c>
      <c r="W517" s="85" t="n">
        <f aca="false">($G517+$H517)-($E517+$F517)</f>
        <v>0.175972222222222</v>
      </c>
      <c r="X517" s="46" t="str">
        <f aca="false">LOOKUP($M517,Lists!$G$2:$G$5,Lists!$H$2:$H$5)</f>
        <v>₹1,500 - 2,000</v>
      </c>
      <c r="Y517" s="46" t="str">
        <f aca="false">LOOKUP($W517,Lists!$I$2:$I$7,Lists!$J$2:$J$7)</f>
        <v>0 - 2 days</v>
      </c>
    </row>
    <row r="518" customFormat="false" ht="15" hidden="false" customHeight="false" outlineLevel="0" collapsed="false">
      <c r="A518" s="7" t="n">
        <v>517</v>
      </c>
      <c r="B518" s="7" t="s">
        <v>294</v>
      </c>
      <c r="C518" s="7" t="n">
        <v>60</v>
      </c>
      <c r="D518" s="7" t="n">
        <v>5</v>
      </c>
      <c r="E518" s="77" t="n">
        <v>45239</v>
      </c>
      <c r="F518" s="78" t="n">
        <v>0.0425115740740741</v>
      </c>
      <c r="G518" s="77" t="n">
        <v>45247</v>
      </c>
      <c r="H518" s="78" t="n">
        <v>0.795081018518519</v>
      </c>
      <c r="I518" s="7" t="s">
        <v>150</v>
      </c>
      <c r="J518" s="7" t="s">
        <v>32</v>
      </c>
      <c r="K518" s="79" t="str">
        <f aca="false">INDEX(Products!$B$2:$B$71,MATCH($C518,Products!$A$2:$A$71,0))</f>
        <v>Ea Set</v>
      </c>
      <c r="L518" s="79" t="str">
        <f aca="false">INDEX(Products!$C$2:$C$71,MATCH($C518,Products!$A$2:$A$71,0))</f>
        <v>Sweets</v>
      </c>
      <c r="M518" s="80" t="n">
        <f aca="false">INDEX(Products!$D$2:$D$71,MATCH($C518,Products!$A$2:$A$71,0))</f>
        <v>827</v>
      </c>
      <c r="N518" s="80" t="n">
        <f aca="false">$D518*$M518</f>
        <v>4135</v>
      </c>
      <c r="O518" s="79" t="str">
        <f aca="false">INDEX(Customers!$C$2:$C$101,MATCH($B518,Customers!$A$2:$A$101,0))</f>
        <v>Srikakulam</v>
      </c>
      <c r="P518" s="79" t="str">
        <f aca="false">INDEX(Customers!$F$2:$F$101,MATCH($B518,Customers!$A$2:$A$101,0))</f>
        <v>Male</v>
      </c>
      <c r="Q518" s="79" t="str">
        <f aca="false">INDEX(Customers!$B$2:$B$101,MATCH($B518,Customers!$A$2:$A$101,0))</f>
        <v>Indrajit Kale</v>
      </c>
      <c r="R518" s="79" t="n">
        <f aca="false">MONTH($E518)</f>
        <v>11</v>
      </c>
      <c r="S518" s="79" t="str">
        <f aca="false">INDEX(Lists!$B$2:$B$13,$R518)</f>
        <v>November</v>
      </c>
      <c r="T518" s="79" t="n">
        <f aca="false">HOUR($F518)</f>
        <v>1</v>
      </c>
      <c r="U518" s="79" t="n">
        <f aca="false">WEEKDAY($E518,2)</f>
        <v>4</v>
      </c>
      <c r="V518" s="79" t="str">
        <f aca="false">INDEX(Lists!$F$2:$F$8,$U518)</f>
        <v>Thursday</v>
      </c>
      <c r="W518" s="81" t="n">
        <f aca="false">($G518+$H518)-($E518+$F518)</f>
        <v>8.75256944444445</v>
      </c>
      <c r="X518" s="79" t="str">
        <f aca="false">LOOKUP($M518,Lists!$G$2:$G$5,Lists!$H$2:$H$5)</f>
        <v>₹500 - 999</v>
      </c>
      <c r="Y518" s="79" t="str">
        <f aca="false">LOOKUP($W518,Lists!$I$2:$I$7,Lists!$J$2:$J$7)</f>
        <v>8 - 10 days</v>
      </c>
    </row>
    <row r="519" customFormat="false" ht="15" hidden="false" customHeight="false" outlineLevel="0" collapsed="false">
      <c r="A519" s="2" t="n">
        <v>518</v>
      </c>
      <c r="B519" s="2" t="s">
        <v>239</v>
      </c>
      <c r="C519" s="2" t="n">
        <v>45</v>
      </c>
      <c r="D519" s="2" t="n">
        <v>3</v>
      </c>
      <c r="E519" s="82" t="n">
        <v>45025</v>
      </c>
      <c r="F519" s="83" t="n">
        <v>0.199085648148148</v>
      </c>
      <c r="G519" s="82" t="n">
        <v>45031</v>
      </c>
      <c r="H519" s="83" t="n">
        <v>0.819976851851852</v>
      </c>
      <c r="I519" s="2" t="s">
        <v>135</v>
      </c>
      <c r="J519" s="2" t="s">
        <v>31</v>
      </c>
      <c r="K519" s="46" t="str">
        <f aca="false">INDEX(Products!$B$2:$B$71,MATCH($C519,Products!$A$2:$A$71,0))</f>
        <v>Iusto Set</v>
      </c>
      <c r="L519" s="46" t="str">
        <f aca="false">INDEX(Products!$C$2:$C$71,MATCH($C519,Products!$A$2:$A$71,0))</f>
        <v>Raksha Bandhan</v>
      </c>
      <c r="M519" s="84" t="n">
        <f aca="false">INDEX(Products!$D$2:$D$71,MATCH($C519,Products!$A$2:$A$71,0))</f>
        <v>722</v>
      </c>
      <c r="N519" s="84" t="n">
        <f aca="false">$D519*$M519</f>
        <v>2166</v>
      </c>
      <c r="O519" s="46" t="str">
        <f aca="false">INDEX(Customers!$C$2:$C$101,MATCH($B519,Customers!$A$2:$A$101,0))</f>
        <v>Maheshtala</v>
      </c>
      <c r="P519" s="46" t="str">
        <f aca="false">INDEX(Customers!$F$2:$F$101,MATCH($B519,Customers!$A$2:$A$101,0))</f>
        <v>Female</v>
      </c>
      <c r="Q519" s="46" t="str">
        <f aca="false">INDEX(Customers!$B$2:$B$101,MATCH($B519,Customers!$A$2:$A$101,0))</f>
        <v>Divit Mahajan</v>
      </c>
      <c r="R519" s="46" t="n">
        <f aca="false">MONTH($E519)</f>
        <v>4</v>
      </c>
      <c r="S519" s="46" t="str">
        <f aca="false">INDEX(Lists!$B$2:$B$13,$R519)</f>
        <v>April</v>
      </c>
      <c r="T519" s="46" t="n">
        <f aca="false">HOUR($F519)</f>
        <v>4</v>
      </c>
      <c r="U519" s="46" t="n">
        <f aca="false">WEEKDAY($E519,2)</f>
        <v>7</v>
      </c>
      <c r="V519" s="46" t="str">
        <f aca="false">INDEX(Lists!$F$2:$F$8,$U519)</f>
        <v>Sunday</v>
      </c>
      <c r="W519" s="85" t="n">
        <f aca="false">($G519+$H519)-($E519+$F519)</f>
        <v>6.6208912037037</v>
      </c>
      <c r="X519" s="46" t="str">
        <f aca="false">LOOKUP($M519,Lists!$G$2:$G$5,Lists!$H$2:$H$5)</f>
        <v>₹500 - 999</v>
      </c>
      <c r="Y519" s="46" t="str">
        <f aca="false">LOOKUP($W519,Lists!$I$2:$I$7,Lists!$J$2:$J$7)</f>
        <v>6 - 8 days</v>
      </c>
    </row>
    <row r="520" customFormat="false" ht="15" hidden="false" customHeight="false" outlineLevel="0" collapsed="false">
      <c r="A520" s="7" t="n">
        <v>519</v>
      </c>
      <c r="B520" s="7" t="s">
        <v>161</v>
      </c>
      <c r="C520" s="7" t="n">
        <v>52</v>
      </c>
      <c r="D520" s="7" t="n">
        <v>4</v>
      </c>
      <c r="E520" s="77" t="n">
        <v>44964</v>
      </c>
      <c r="F520" s="78" t="n">
        <v>0.965717592592593</v>
      </c>
      <c r="G520" s="77" t="n">
        <v>44972</v>
      </c>
      <c r="H520" s="78" t="n">
        <v>0.278009259259259</v>
      </c>
      <c r="I520" s="7" t="s">
        <v>410</v>
      </c>
      <c r="J520" s="7" t="s">
        <v>179</v>
      </c>
      <c r="K520" s="79" t="str">
        <f aca="false">INDEX(Products!$B$2:$B$71,MATCH($C520,Products!$A$2:$A$71,0))</f>
        <v>Dolorum Box</v>
      </c>
      <c r="L520" s="79" t="str">
        <f aca="false">INDEX(Products!$C$2:$C$71,MATCH($C520,Products!$A$2:$A$71,0))</f>
        <v>Raksha Bandhan</v>
      </c>
      <c r="M520" s="80" t="n">
        <f aca="false">INDEX(Products!$D$2:$D$71,MATCH($C520,Products!$A$2:$A$71,0))</f>
        <v>236</v>
      </c>
      <c r="N520" s="80" t="n">
        <f aca="false">$D520*$M520</f>
        <v>944</v>
      </c>
      <c r="O520" s="79" t="str">
        <f aca="false">INDEX(Customers!$C$2:$C$101,MATCH($B520,Customers!$A$2:$A$101,0))</f>
        <v>Panvel</v>
      </c>
      <c r="P520" s="79" t="str">
        <f aca="false">INDEX(Customers!$F$2:$F$101,MATCH($B520,Customers!$A$2:$A$101,0))</f>
        <v>Female</v>
      </c>
      <c r="Q520" s="79" t="str">
        <f aca="false">INDEX(Customers!$B$2:$B$101,MATCH($B520,Customers!$A$2:$A$101,0))</f>
        <v>Indrans Shukla</v>
      </c>
      <c r="R520" s="79" t="n">
        <f aca="false">MONTH($E520)</f>
        <v>2</v>
      </c>
      <c r="S520" s="79" t="str">
        <f aca="false">INDEX(Lists!$B$2:$B$13,$R520)</f>
        <v>February</v>
      </c>
      <c r="T520" s="79" t="n">
        <f aca="false">HOUR($F520)</f>
        <v>23</v>
      </c>
      <c r="U520" s="79" t="n">
        <f aca="false">WEEKDAY($E520,2)</f>
        <v>2</v>
      </c>
      <c r="V520" s="79" t="str">
        <f aca="false">INDEX(Lists!$F$2:$F$8,$U520)</f>
        <v>Tuesday</v>
      </c>
      <c r="W520" s="81" t="n">
        <f aca="false">($G520+$H520)-($E520+$F520)</f>
        <v>7.31229166666667</v>
      </c>
      <c r="X520" s="79" t="str">
        <f aca="false">LOOKUP($M520,Lists!$G$2:$G$5,Lists!$H$2:$H$5)</f>
        <v>₹0 - 499</v>
      </c>
      <c r="Y520" s="79" t="str">
        <f aca="false">LOOKUP($W520,Lists!$I$2:$I$7,Lists!$J$2:$J$7)</f>
        <v>6 - 8 days</v>
      </c>
    </row>
    <row r="521" customFormat="false" ht="15" hidden="false" customHeight="false" outlineLevel="0" collapsed="false">
      <c r="A521" s="2" t="n">
        <v>520</v>
      </c>
      <c r="B521" s="2" t="s">
        <v>190</v>
      </c>
      <c r="C521" s="2" t="n">
        <v>14</v>
      </c>
      <c r="D521" s="2" t="n">
        <v>5</v>
      </c>
      <c r="E521" s="82" t="n">
        <v>45023</v>
      </c>
      <c r="F521" s="83" t="n">
        <v>0.197118055555556</v>
      </c>
      <c r="G521" s="82" t="n">
        <v>45024</v>
      </c>
      <c r="H521" s="83" t="n">
        <v>0.34837962962963</v>
      </c>
      <c r="I521" s="2" t="s">
        <v>499</v>
      </c>
      <c r="J521" s="2" t="s">
        <v>31</v>
      </c>
      <c r="K521" s="46" t="str">
        <f aca="false">INDEX(Products!$B$2:$B$71,MATCH($C521,Products!$A$2:$A$71,0))</f>
        <v>Deserunt Box</v>
      </c>
      <c r="L521" s="46" t="str">
        <f aca="false">INDEX(Products!$C$2:$C$71,MATCH($C521,Products!$A$2:$A$71,0))</f>
        <v>Colors</v>
      </c>
      <c r="M521" s="84" t="n">
        <f aca="false">INDEX(Products!$D$2:$D$71,MATCH($C521,Products!$A$2:$A$71,0))</f>
        <v>1915</v>
      </c>
      <c r="N521" s="84" t="n">
        <f aca="false">$D521*$M521</f>
        <v>9575</v>
      </c>
      <c r="O521" s="46" t="str">
        <f aca="false">INDEX(Customers!$C$2:$C$101,MATCH($B521,Customers!$A$2:$A$101,0))</f>
        <v>Farrukhabad</v>
      </c>
      <c r="P521" s="46" t="str">
        <f aca="false">INDEX(Customers!$F$2:$F$101,MATCH($B521,Customers!$A$2:$A$101,0))</f>
        <v>Female</v>
      </c>
      <c r="Q521" s="46" t="str">
        <f aca="false">INDEX(Customers!$B$2:$B$101,MATCH($B521,Customers!$A$2:$A$101,0))</f>
        <v>Ira Chahal</v>
      </c>
      <c r="R521" s="46" t="n">
        <f aca="false">MONTH($E521)</f>
        <v>4</v>
      </c>
      <c r="S521" s="46" t="str">
        <f aca="false">INDEX(Lists!$B$2:$B$13,$R521)</f>
        <v>April</v>
      </c>
      <c r="T521" s="46" t="n">
        <f aca="false">HOUR($F521)</f>
        <v>4</v>
      </c>
      <c r="U521" s="46" t="n">
        <f aca="false">WEEKDAY($E521,2)</f>
        <v>5</v>
      </c>
      <c r="V521" s="46" t="str">
        <f aca="false">INDEX(Lists!$F$2:$F$8,$U521)</f>
        <v>Friday</v>
      </c>
      <c r="W521" s="85" t="n">
        <f aca="false">($G521+$H521)-($E521+$F521)</f>
        <v>1.15126157407407</v>
      </c>
      <c r="X521" s="46" t="str">
        <f aca="false">LOOKUP($M521,Lists!$G$2:$G$5,Lists!$H$2:$H$5)</f>
        <v>₹1,500 - 2,000</v>
      </c>
      <c r="Y521" s="46" t="str">
        <f aca="false">LOOKUP($W521,Lists!$I$2:$I$7,Lists!$J$2:$J$7)</f>
        <v>0 - 2 days</v>
      </c>
    </row>
    <row r="522" customFormat="false" ht="15" hidden="false" customHeight="false" outlineLevel="0" collapsed="false">
      <c r="A522" s="7" t="n">
        <v>521</v>
      </c>
      <c r="B522" s="7" t="s">
        <v>288</v>
      </c>
      <c r="C522" s="7" t="n">
        <v>33</v>
      </c>
      <c r="D522" s="7" t="n">
        <v>5</v>
      </c>
      <c r="E522" s="77" t="n">
        <v>44961</v>
      </c>
      <c r="F522" s="78" t="n">
        <v>0.875196759259259</v>
      </c>
      <c r="G522" s="77" t="n">
        <v>44965</v>
      </c>
      <c r="H522" s="78" t="n">
        <v>0.103217592592593</v>
      </c>
      <c r="I522" s="7" t="s">
        <v>512</v>
      </c>
      <c r="J522" s="7" t="s">
        <v>179</v>
      </c>
      <c r="K522" s="79" t="str">
        <f aca="false">INDEX(Products!$B$2:$B$71,MATCH($C522,Products!$A$2:$A$71,0))</f>
        <v>Earum Set</v>
      </c>
      <c r="L522" s="79" t="str">
        <f aca="false">INDEX(Products!$C$2:$C$71,MATCH($C522,Products!$A$2:$A$71,0))</f>
        <v>Colors</v>
      </c>
      <c r="M522" s="80" t="n">
        <f aca="false">INDEX(Products!$D$2:$D$71,MATCH($C522,Products!$A$2:$A$71,0))</f>
        <v>314</v>
      </c>
      <c r="N522" s="80" t="n">
        <f aca="false">$D522*$M522</f>
        <v>1570</v>
      </c>
      <c r="O522" s="79" t="str">
        <f aca="false">INDEX(Customers!$C$2:$C$101,MATCH($B522,Customers!$A$2:$A$101,0))</f>
        <v>Nagpur</v>
      </c>
      <c r="P522" s="79" t="str">
        <f aca="false">INDEX(Customers!$F$2:$F$101,MATCH($B522,Customers!$A$2:$A$101,0))</f>
        <v>Male</v>
      </c>
      <c r="Q522" s="79" t="str">
        <f aca="false">INDEX(Customers!$B$2:$B$101,MATCH($B522,Customers!$A$2:$A$101,0))</f>
        <v>Inaaya  Sarraf</v>
      </c>
      <c r="R522" s="79" t="n">
        <f aca="false">MONTH($E522)</f>
        <v>2</v>
      </c>
      <c r="S522" s="79" t="str">
        <f aca="false">INDEX(Lists!$B$2:$B$13,$R522)</f>
        <v>February</v>
      </c>
      <c r="T522" s="79" t="n">
        <f aca="false">HOUR($F522)</f>
        <v>21</v>
      </c>
      <c r="U522" s="79" t="n">
        <f aca="false">WEEKDAY($E522,2)</f>
        <v>6</v>
      </c>
      <c r="V522" s="79" t="str">
        <f aca="false">INDEX(Lists!$F$2:$F$8,$U522)</f>
        <v>Saturday</v>
      </c>
      <c r="W522" s="81" t="n">
        <f aca="false">($G522+$H522)-($E522+$F522)</f>
        <v>3.22802083333333</v>
      </c>
      <c r="X522" s="79" t="str">
        <f aca="false">LOOKUP($M522,Lists!$G$2:$G$5,Lists!$H$2:$H$5)</f>
        <v>₹0 - 499</v>
      </c>
      <c r="Y522" s="79" t="str">
        <f aca="false">LOOKUP($W522,Lists!$I$2:$I$7,Lists!$J$2:$J$7)</f>
        <v>2 - 4 days</v>
      </c>
    </row>
    <row r="523" customFormat="false" ht="15" hidden="false" customHeight="false" outlineLevel="0" collapsed="false">
      <c r="A523" s="2" t="n">
        <v>522</v>
      </c>
      <c r="B523" s="2" t="s">
        <v>154</v>
      </c>
      <c r="C523" s="2" t="n">
        <v>50</v>
      </c>
      <c r="D523" s="2" t="n">
        <v>3</v>
      </c>
      <c r="E523" s="82" t="n">
        <v>44984</v>
      </c>
      <c r="F523" s="83" t="n">
        <v>0.878101851851852</v>
      </c>
      <c r="G523" s="82" t="n">
        <v>44993</v>
      </c>
      <c r="H523" s="83" t="n">
        <v>0.0658564814814815</v>
      </c>
      <c r="I523" s="2" t="s">
        <v>189</v>
      </c>
      <c r="J523" s="2" t="s">
        <v>33</v>
      </c>
      <c r="K523" s="46" t="str">
        <f aca="false">INDEX(Products!$B$2:$B$71,MATCH($C523,Products!$A$2:$A$71,0))</f>
        <v>Eligendi Set</v>
      </c>
      <c r="L523" s="46" t="str">
        <f aca="false">INDEX(Products!$C$2:$C$71,MATCH($C523,Products!$A$2:$A$71,0))</f>
        <v>Plants</v>
      </c>
      <c r="M523" s="84" t="n">
        <f aca="false">INDEX(Products!$D$2:$D$71,MATCH($C523,Products!$A$2:$A$71,0))</f>
        <v>422</v>
      </c>
      <c r="N523" s="84" t="n">
        <f aca="false">$D523*$M523</f>
        <v>1266</v>
      </c>
      <c r="O523" s="46" t="str">
        <f aca="false">INDEX(Customers!$C$2:$C$101,MATCH($B523,Customers!$A$2:$A$101,0))</f>
        <v>Orai</v>
      </c>
      <c r="P523" s="46" t="str">
        <f aca="false">INDEX(Customers!$F$2:$F$101,MATCH($B523,Customers!$A$2:$A$101,0))</f>
        <v>Female</v>
      </c>
      <c r="Q523" s="46" t="str">
        <f aca="false">INDEX(Customers!$B$2:$B$101,MATCH($B523,Customers!$A$2:$A$101,0))</f>
        <v>Lagan Kapoor</v>
      </c>
      <c r="R523" s="46" t="n">
        <f aca="false">MONTH($E523)</f>
        <v>2</v>
      </c>
      <c r="S523" s="46" t="str">
        <f aca="false">INDEX(Lists!$B$2:$B$13,$R523)</f>
        <v>February</v>
      </c>
      <c r="T523" s="46" t="n">
        <f aca="false">HOUR($F523)</f>
        <v>21</v>
      </c>
      <c r="U523" s="46" t="n">
        <f aca="false">WEEKDAY($E523,2)</f>
        <v>1</v>
      </c>
      <c r="V523" s="46" t="str">
        <f aca="false">INDEX(Lists!$F$2:$F$8,$U523)</f>
        <v>Monday</v>
      </c>
      <c r="W523" s="85" t="n">
        <f aca="false">($G523+$H523)-($E523+$F523)</f>
        <v>8.18775462962963</v>
      </c>
      <c r="X523" s="46" t="str">
        <f aca="false">LOOKUP($M523,Lists!$G$2:$G$5,Lists!$H$2:$H$5)</f>
        <v>₹0 - 499</v>
      </c>
      <c r="Y523" s="46" t="str">
        <f aca="false">LOOKUP($W523,Lists!$I$2:$I$7,Lists!$J$2:$J$7)</f>
        <v>8 - 10 days</v>
      </c>
    </row>
    <row r="524" customFormat="false" ht="15" hidden="false" customHeight="false" outlineLevel="0" collapsed="false">
      <c r="A524" s="7" t="n">
        <v>523</v>
      </c>
      <c r="B524" s="7" t="s">
        <v>313</v>
      </c>
      <c r="C524" s="7" t="n">
        <v>30</v>
      </c>
      <c r="D524" s="7" t="n">
        <v>3</v>
      </c>
      <c r="E524" s="77" t="n">
        <v>45109</v>
      </c>
      <c r="F524" s="78" t="n">
        <v>0.567453703703704</v>
      </c>
      <c r="G524" s="77" t="n">
        <v>45116</v>
      </c>
      <c r="H524" s="78" t="n">
        <v>0.651805555555556</v>
      </c>
      <c r="I524" s="7" t="s">
        <v>498</v>
      </c>
      <c r="J524" s="7" t="s">
        <v>168</v>
      </c>
      <c r="K524" s="79" t="str">
        <f aca="false">INDEX(Products!$B$2:$B$71,MATCH($C524,Products!$A$2:$A$71,0))</f>
        <v>Recusandae Pack</v>
      </c>
      <c r="L524" s="79" t="str">
        <f aca="false">INDEX(Products!$C$2:$C$71,MATCH($C524,Products!$A$2:$A$71,0))</f>
        <v>Colors</v>
      </c>
      <c r="M524" s="80" t="n">
        <f aca="false">INDEX(Products!$D$2:$D$71,MATCH($C524,Products!$A$2:$A$71,0))</f>
        <v>751</v>
      </c>
      <c r="N524" s="80" t="n">
        <f aca="false">$D524*$M524</f>
        <v>2253</v>
      </c>
      <c r="O524" s="79" t="str">
        <f aca="false">INDEX(Customers!$C$2:$C$101,MATCH($B524,Customers!$A$2:$A$101,0))</f>
        <v>Tiruppur</v>
      </c>
      <c r="P524" s="79" t="str">
        <f aca="false">INDEX(Customers!$F$2:$F$101,MATCH($B524,Customers!$A$2:$A$101,0))</f>
        <v>Male</v>
      </c>
      <c r="Q524" s="79" t="str">
        <f aca="false">INDEX(Customers!$B$2:$B$101,MATCH($B524,Customers!$A$2:$A$101,0))</f>
        <v>Purab Sheth</v>
      </c>
      <c r="R524" s="79" t="n">
        <f aca="false">MONTH($E524)</f>
        <v>7</v>
      </c>
      <c r="S524" s="79" t="str">
        <f aca="false">INDEX(Lists!$B$2:$B$13,$R524)</f>
        <v>July</v>
      </c>
      <c r="T524" s="79" t="n">
        <f aca="false">HOUR($F524)</f>
        <v>13</v>
      </c>
      <c r="U524" s="79" t="n">
        <f aca="false">WEEKDAY($E524,2)</f>
        <v>7</v>
      </c>
      <c r="V524" s="79" t="str">
        <f aca="false">INDEX(Lists!$F$2:$F$8,$U524)</f>
        <v>Sunday</v>
      </c>
      <c r="W524" s="81" t="n">
        <f aca="false">($G524+$H524)-($E524+$F524)</f>
        <v>7.08435185185185</v>
      </c>
      <c r="X524" s="79" t="str">
        <f aca="false">LOOKUP($M524,Lists!$G$2:$G$5,Lists!$H$2:$H$5)</f>
        <v>₹500 - 999</v>
      </c>
      <c r="Y524" s="79" t="str">
        <f aca="false">LOOKUP($W524,Lists!$I$2:$I$7,Lists!$J$2:$J$7)</f>
        <v>6 - 8 days</v>
      </c>
    </row>
    <row r="525" customFormat="false" ht="15" hidden="false" customHeight="false" outlineLevel="0" collapsed="false">
      <c r="A525" s="2" t="n">
        <v>524</v>
      </c>
      <c r="B525" s="2" t="s">
        <v>350</v>
      </c>
      <c r="C525" s="2" t="n">
        <v>45</v>
      </c>
      <c r="D525" s="2" t="n">
        <v>1</v>
      </c>
      <c r="E525" s="82" t="n">
        <v>45153</v>
      </c>
      <c r="F525" s="83" t="n">
        <v>0.579791666666667</v>
      </c>
      <c r="G525" s="82" t="n">
        <v>45160</v>
      </c>
      <c r="H525" s="83" t="n">
        <v>0.52068287037037</v>
      </c>
      <c r="I525" s="2" t="s">
        <v>430</v>
      </c>
      <c r="J525" s="2" t="s">
        <v>31</v>
      </c>
      <c r="K525" s="46" t="str">
        <f aca="false">INDEX(Products!$B$2:$B$71,MATCH($C525,Products!$A$2:$A$71,0))</f>
        <v>Iusto Set</v>
      </c>
      <c r="L525" s="46" t="str">
        <f aca="false">INDEX(Products!$C$2:$C$71,MATCH($C525,Products!$A$2:$A$71,0))</f>
        <v>Raksha Bandhan</v>
      </c>
      <c r="M525" s="84" t="n">
        <f aca="false">INDEX(Products!$D$2:$D$71,MATCH($C525,Products!$A$2:$A$71,0))</f>
        <v>722</v>
      </c>
      <c r="N525" s="84" t="n">
        <f aca="false">$D525*$M525</f>
        <v>722</v>
      </c>
      <c r="O525" s="46" t="str">
        <f aca="false">INDEX(Customers!$C$2:$C$101,MATCH($B525,Customers!$A$2:$A$101,0))</f>
        <v>Tiruchirappalli</v>
      </c>
      <c r="P525" s="46" t="str">
        <f aca="false">INDEX(Customers!$F$2:$F$101,MATCH($B525,Customers!$A$2:$A$101,0))</f>
        <v>Male</v>
      </c>
      <c r="Q525" s="46" t="str">
        <f aca="false">INDEX(Customers!$B$2:$B$101,MATCH($B525,Customers!$A$2:$A$101,0))</f>
        <v>Anahita Shankar</v>
      </c>
      <c r="R525" s="46" t="n">
        <f aca="false">MONTH($E525)</f>
        <v>8</v>
      </c>
      <c r="S525" s="46" t="str">
        <f aca="false">INDEX(Lists!$B$2:$B$13,$R525)</f>
        <v>August</v>
      </c>
      <c r="T525" s="46" t="n">
        <f aca="false">HOUR($F525)</f>
        <v>13</v>
      </c>
      <c r="U525" s="46" t="n">
        <f aca="false">WEEKDAY($E525,2)</f>
        <v>2</v>
      </c>
      <c r="V525" s="46" t="str">
        <f aca="false">INDEX(Lists!$F$2:$F$8,$U525)</f>
        <v>Tuesday</v>
      </c>
      <c r="W525" s="85" t="n">
        <f aca="false">($G525+$H525)-($E525+$F525)</f>
        <v>6.9408912037037</v>
      </c>
      <c r="X525" s="46" t="str">
        <f aca="false">LOOKUP($M525,Lists!$G$2:$G$5,Lists!$H$2:$H$5)</f>
        <v>₹500 - 999</v>
      </c>
      <c r="Y525" s="46" t="str">
        <f aca="false">LOOKUP($W525,Lists!$I$2:$I$7,Lists!$J$2:$J$7)</f>
        <v>6 - 8 days</v>
      </c>
    </row>
    <row r="526" customFormat="false" ht="15" hidden="false" customHeight="false" outlineLevel="0" collapsed="false">
      <c r="A526" s="7" t="n">
        <v>525</v>
      </c>
      <c r="B526" s="7" t="s">
        <v>204</v>
      </c>
      <c r="C526" s="7" t="n">
        <v>16</v>
      </c>
      <c r="D526" s="7" t="n">
        <v>2</v>
      </c>
      <c r="E526" s="77" t="n">
        <v>44987</v>
      </c>
      <c r="F526" s="78" t="n">
        <v>0.837592592592593</v>
      </c>
      <c r="G526" s="77" t="n">
        <v>44996</v>
      </c>
      <c r="H526" s="78" t="n">
        <v>0.932349537037037</v>
      </c>
      <c r="I526" s="7" t="s">
        <v>226</v>
      </c>
      <c r="J526" s="7" t="s">
        <v>33</v>
      </c>
      <c r="K526" s="79" t="str">
        <f aca="false">INDEX(Products!$B$2:$B$71,MATCH($C526,Products!$A$2:$A$71,0))</f>
        <v>Ut Pack</v>
      </c>
      <c r="L526" s="79" t="str">
        <f aca="false">INDEX(Products!$C$2:$C$71,MATCH($C526,Products!$A$2:$A$71,0))</f>
        <v>Sweets</v>
      </c>
      <c r="M526" s="80" t="n">
        <f aca="false">INDEX(Products!$D$2:$D$71,MATCH($C526,Products!$A$2:$A$71,0))</f>
        <v>1721</v>
      </c>
      <c r="N526" s="80" t="n">
        <f aca="false">$D526*$M526</f>
        <v>3442</v>
      </c>
      <c r="O526" s="79" t="str">
        <f aca="false">INDEX(Customers!$C$2:$C$101,MATCH($B526,Customers!$A$2:$A$101,0))</f>
        <v>Indore</v>
      </c>
      <c r="P526" s="79" t="str">
        <f aca="false">INDEX(Customers!$F$2:$F$101,MATCH($B526,Customers!$A$2:$A$101,0))</f>
        <v>Female</v>
      </c>
      <c r="Q526" s="79" t="str">
        <f aca="false">INDEX(Customers!$B$2:$B$101,MATCH($B526,Customers!$A$2:$A$101,0))</f>
        <v>Suhana Kurian</v>
      </c>
      <c r="R526" s="79" t="n">
        <f aca="false">MONTH($E526)</f>
        <v>3</v>
      </c>
      <c r="S526" s="79" t="str">
        <f aca="false">INDEX(Lists!$B$2:$B$13,$R526)</f>
        <v>March</v>
      </c>
      <c r="T526" s="79" t="n">
        <f aca="false">HOUR($F526)</f>
        <v>20</v>
      </c>
      <c r="U526" s="79" t="n">
        <f aca="false">WEEKDAY($E526,2)</f>
        <v>4</v>
      </c>
      <c r="V526" s="79" t="str">
        <f aca="false">INDEX(Lists!$F$2:$F$8,$U526)</f>
        <v>Thursday</v>
      </c>
      <c r="W526" s="81" t="n">
        <f aca="false">($G526+$H526)-($E526+$F526)</f>
        <v>9.09475694444445</v>
      </c>
      <c r="X526" s="79" t="str">
        <f aca="false">LOOKUP($M526,Lists!$G$2:$G$5,Lists!$H$2:$H$5)</f>
        <v>₹1,500 - 2,000</v>
      </c>
      <c r="Y526" s="79" t="str">
        <f aca="false">LOOKUP($W526,Lists!$I$2:$I$7,Lists!$J$2:$J$7)</f>
        <v>8 - 10 days</v>
      </c>
    </row>
    <row r="527" customFormat="false" ht="15" hidden="false" customHeight="false" outlineLevel="0" collapsed="false">
      <c r="A527" s="2" t="n">
        <v>526</v>
      </c>
      <c r="B527" s="2" t="s">
        <v>145</v>
      </c>
      <c r="C527" s="2" t="n">
        <v>13</v>
      </c>
      <c r="D527" s="2" t="n">
        <v>5</v>
      </c>
      <c r="E527" s="82" t="n">
        <v>44987</v>
      </c>
      <c r="F527" s="83" t="n">
        <v>0.254398148148148</v>
      </c>
      <c r="G527" s="82" t="n">
        <v>44993</v>
      </c>
      <c r="H527" s="83" t="n">
        <v>0.0660300925925926</v>
      </c>
      <c r="I527" s="2" t="s">
        <v>197</v>
      </c>
      <c r="J527" s="2" t="s">
        <v>33</v>
      </c>
      <c r="K527" s="46" t="str">
        <f aca="false">INDEX(Products!$B$2:$B$71,MATCH($C527,Products!$A$2:$A$71,0))</f>
        <v>Et Set</v>
      </c>
      <c r="L527" s="46" t="str">
        <f aca="false">INDEX(Products!$C$2:$C$71,MATCH($C527,Products!$A$2:$A$71,0))</f>
        <v>Mugs</v>
      </c>
      <c r="M527" s="84" t="n">
        <f aca="false">INDEX(Products!$D$2:$D$71,MATCH($C527,Products!$A$2:$A$71,0))</f>
        <v>1141</v>
      </c>
      <c r="N527" s="84" t="n">
        <f aca="false">$D527*$M527</f>
        <v>5705</v>
      </c>
      <c r="O527" s="46" t="str">
        <f aca="false">INDEX(Customers!$C$2:$C$101,MATCH($B527,Customers!$A$2:$A$101,0))</f>
        <v>Chinsurah</v>
      </c>
      <c r="P527" s="46" t="str">
        <f aca="false">INDEX(Customers!$F$2:$F$101,MATCH($B527,Customers!$A$2:$A$101,0))</f>
        <v>Female</v>
      </c>
      <c r="Q527" s="46" t="str">
        <f aca="false">INDEX(Customers!$B$2:$B$101,MATCH($B527,Customers!$A$2:$A$101,0))</f>
        <v>Veer Ray</v>
      </c>
      <c r="R527" s="46" t="n">
        <f aca="false">MONTH($E527)</f>
        <v>3</v>
      </c>
      <c r="S527" s="46" t="str">
        <f aca="false">INDEX(Lists!$B$2:$B$13,$R527)</f>
        <v>March</v>
      </c>
      <c r="T527" s="46" t="n">
        <f aca="false">HOUR($F527)</f>
        <v>6</v>
      </c>
      <c r="U527" s="46" t="n">
        <f aca="false">WEEKDAY($E527,2)</f>
        <v>4</v>
      </c>
      <c r="V527" s="46" t="str">
        <f aca="false">INDEX(Lists!$F$2:$F$8,$U527)</f>
        <v>Thursday</v>
      </c>
      <c r="W527" s="85" t="n">
        <f aca="false">($G527+$H527)-($E527+$F527)</f>
        <v>5.81163194444445</v>
      </c>
      <c r="X527" s="46" t="str">
        <f aca="false">LOOKUP($M527,Lists!$G$2:$G$5,Lists!$H$2:$H$5)</f>
        <v>₹1,000 - 1,499</v>
      </c>
      <c r="Y527" s="46" t="str">
        <f aca="false">LOOKUP($W527,Lists!$I$2:$I$7,Lists!$J$2:$J$7)</f>
        <v>4 - 6 days</v>
      </c>
    </row>
    <row r="528" customFormat="false" ht="15" hidden="false" customHeight="false" outlineLevel="0" collapsed="false">
      <c r="A528" s="7" t="n">
        <v>527</v>
      </c>
      <c r="B528" s="7" t="s">
        <v>212</v>
      </c>
      <c r="C528" s="7" t="n">
        <v>33</v>
      </c>
      <c r="D528" s="7" t="n">
        <v>3</v>
      </c>
      <c r="E528" s="77" t="n">
        <v>44968</v>
      </c>
      <c r="F528" s="78" t="n">
        <v>0.53587962962963</v>
      </c>
      <c r="G528" s="77" t="n">
        <v>44976</v>
      </c>
      <c r="H528" s="78" t="n">
        <v>0.665358796296296</v>
      </c>
      <c r="I528" s="7" t="s">
        <v>201</v>
      </c>
      <c r="J528" s="7" t="s">
        <v>179</v>
      </c>
      <c r="K528" s="79" t="str">
        <f aca="false">INDEX(Products!$B$2:$B$71,MATCH($C528,Products!$A$2:$A$71,0))</f>
        <v>Earum Set</v>
      </c>
      <c r="L528" s="79" t="str">
        <f aca="false">INDEX(Products!$C$2:$C$71,MATCH($C528,Products!$A$2:$A$71,0))</f>
        <v>Colors</v>
      </c>
      <c r="M528" s="80" t="n">
        <f aca="false">INDEX(Products!$D$2:$D$71,MATCH($C528,Products!$A$2:$A$71,0))</f>
        <v>314</v>
      </c>
      <c r="N528" s="80" t="n">
        <f aca="false">$D528*$M528</f>
        <v>942</v>
      </c>
      <c r="O528" s="79" t="str">
        <f aca="false">INDEX(Customers!$C$2:$C$101,MATCH($B528,Customers!$A$2:$A$101,0))</f>
        <v>Dibrugarh</v>
      </c>
      <c r="P528" s="79" t="str">
        <f aca="false">INDEX(Customers!$F$2:$F$101,MATCH($B528,Customers!$A$2:$A$101,0))</f>
        <v>Female</v>
      </c>
      <c r="Q528" s="79" t="str">
        <f aca="false">INDEX(Customers!$B$2:$B$101,MATCH($B528,Customers!$A$2:$A$101,0))</f>
        <v>Biju Bajwa</v>
      </c>
      <c r="R528" s="79" t="n">
        <f aca="false">MONTH($E528)</f>
        <v>2</v>
      </c>
      <c r="S528" s="79" t="str">
        <f aca="false">INDEX(Lists!$B$2:$B$13,$R528)</f>
        <v>February</v>
      </c>
      <c r="T528" s="79" t="n">
        <f aca="false">HOUR($F528)</f>
        <v>12</v>
      </c>
      <c r="U528" s="79" t="n">
        <f aca="false">WEEKDAY($E528,2)</f>
        <v>6</v>
      </c>
      <c r="V528" s="79" t="str">
        <f aca="false">INDEX(Lists!$F$2:$F$8,$U528)</f>
        <v>Saturday</v>
      </c>
      <c r="W528" s="81" t="n">
        <f aca="false">($G528+$H528)-($E528+$F528)</f>
        <v>8.12947916666667</v>
      </c>
      <c r="X528" s="79" t="str">
        <f aca="false">LOOKUP($M528,Lists!$G$2:$G$5,Lists!$H$2:$H$5)</f>
        <v>₹0 - 499</v>
      </c>
      <c r="Y528" s="79" t="str">
        <f aca="false">LOOKUP($W528,Lists!$I$2:$I$7,Lists!$J$2:$J$7)</f>
        <v>8 - 10 days</v>
      </c>
    </row>
    <row r="529" customFormat="false" ht="15" hidden="false" customHeight="false" outlineLevel="0" collapsed="false">
      <c r="A529" s="2" t="n">
        <v>528</v>
      </c>
      <c r="B529" s="2" t="s">
        <v>124</v>
      </c>
      <c r="C529" s="2" t="n">
        <v>27</v>
      </c>
      <c r="D529" s="2" t="n">
        <v>3</v>
      </c>
      <c r="E529" s="82" t="n">
        <v>45165</v>
      </c>
      <c r="F529" s="83" t="n">
        <v>0.209212962962963</v>
      </c>
      <c r="G529" s="82" t="n">
        <v>45168</v>
      </c>
      <c r="H529" s="83" t="n">
        <v>0.710914351851852</v>
      </c>
      <c r="I529" s="2" t="s">
        <v>592</v>
      </c>
      <c r="J529" s="2" t="s">
        <v>40</v>
      </c>
      <c r="K529" s="46" t="str">
        <f aca="false">INDEX(Products!$B$2:$B$71,MATCH($C529,Products!$A$2:$A$71,0))</f>
        <v>Architecto Gift</v>
      </c>
      <c r="L529" s="46" t="str">
        <f aca="false">INDEX(Products!$C$2:$C$71,MATCH($C529,Products!$A$2:$A$71,0))</f>
        <v>Cake</v>
      </c>
      <c r="M529" s="84" t="n">
        <f aca="false">INDEX(Products!$D$2:$D$71,MATCH($C529,Products!$A$2:$A$71,0))</f>
        <v>548</v>
      </c>
      <c r="N529" s="84" t="n">
        <f aca="false">$D529*$M529</f>
        <v>1644</v>
      </c>
      <c r="O529" s="46" t="str">
        <f aca="false">INDEX(Customers!$C$2:$C$101,MATCH($B529,Customers!$A$2:$A$101,0))</f>
        <v>Panchkula</v>
      </c>
      <c r="P529" s="46" t="str">
        <f aca="false">INDEX(Customers!$F$2:$F$101,MATCH($B529,Customers!$A$2:$A$101,0))</f>
        <v>Female</v>
      </c>
      <c r="Q529" s="46" t="str">
        <f aca="false">INDEX(Customers!$B$2:$B$101,MATCH($B529,Customers!$A$2:$A$101,0))</f>
        <v>Tara Krishnan</v>
      </c>
      <c r="R529" s="46" t="n">
        <f aca="false">MONTH($E529)</f>
        <v>8</v>
      </c>
      <c r="S529" s="46" t="str">
        <f aca="false">INDEX(Lists!$B$2:$B$13,$R529)</f>
        <v>August</v>
      </c>
      <c r="T529" s="46" t="n">
        <f aca="false">HOUR($F529)</f>
        <v>5</v>
      </c>
      <c r="U529" s="46" t="n">
        <f aca="false">WEEKDAY($E529,2)</f>
        <v>7</v>
      </c>
      <c r="V529" s="46" t="str">
        <f aca="false">INDEX(Lists!$F$2:$F$8,$U529)</f>
        <v>Sunday</v>
      </c>
      <c r="W529" s="85" t="n">
        <f aca="false">($G529+$H529)-($E529+$F529)</f>
        <v>3.50170138888889</v>
      </c>
      <c r="X529" s="46" t="str">
        <f aca="false">LOOKUP($M529,Lists!$G$2:$G$5,Lists!$H$2:$H$5)</f>
        <v>₹500 - 999</v>
      </c>
      <c r="Y529" s="46" t="str">
        <f aca="false">LOOKUP($W529,Lists!$I$2:$I$7,Lists!$J$2:$J$7)</f>
        <v>2 - 4 days</v>
      </c>
    </row>
    <row r="530" customFormat="false" ht="15" hidden="false" customHeight="false" outlineLevel="0" collapsed="false">
      <c r="A530" s="7" t="n">
        <v>529</v>
      </c>
      <c r="B530" s="7" t="s">
        <v>159</v>
      </c>
      <c r="C530" s="7" t="n">
        <v>64</v>
      </c>
      <c r="D530" s="7" t="n">
        <v>2</v>
      </c>
      <c r="E530" s="77" t="n">
        <v>45163</v>
      </c>
      <c r="F530" s="78" t="n">
        <v>0.657962962962963</v>
      </c>
      <c r="G530" s="77" t="n">
        <v>45166</v>
      </c>
      <c r="H530" s="78" t="n">
        <v>0.587013888888889</v>
      </c>
      <c r="I530" s="7" t="s">
        <v>477</v>
      </c>
      <c r="J530" s="7" t="s">
        <v>40</v>
      </c>
      <c r="K530" s="79" t="str">
        <f aca="false">INDEX(Products!$B$2:$B$71,MATCH($C530,Products!$A$2:$A$71,0))</f>
        <v>Nostrum Box</v>
      </c>
      <c r="L530" s="79" t="str">
        <f aca="false">INDEX(Products!$C$2:$C$71,MATCH($C530,Products!$A$2:$A$71,0))</f>
        <v>Soft Toys</v>
      </c>
      <c r="M530" s="80" t="n">
        <f aca="false">INDEX(Products!$D$2:$D$71,MATCH($C530,Products!$A$2:$A$71,0))</f>
        <v>1878</v>
      </c>
      <c r="N530" s="80" t="n">
        <f aca="false">$D530*$M530</f>
        <v>3756</v>
      </c>
      <c r="O530" s="79" t="str">
        <f aca="false">INDEX(Customers!$C$2:$C$101,MATCH($B530,Customers!$A$2:$A$101,0))</f>
        <v>Mangalore</v>
      </c>
      <c r="P530" s="79" t="str">
        <f aca="false">INDEX(Customers!$F$2:$F$101,MATCH($B530,Customers!$A$2:$A$101,0))</f>
        <v>Female</v>
      </c>
      <c r="Q530" s="79" t="str">
        <f aca="false">INDEX(Customers!$B$2:$B$101,MATCH($B530,Customers!$A$2:$A$101,0))</f>
        <v>Manikya Goswami</v>
      </c>
      <c r="R530" s="79" t="n">
        <f aca="false">MONTH($E530)</f>
        <v>8</v>
      </c>
      <c r="S530" s="79" t="str">
        <f aca="false">INDEX(Lists!$B$2:$B$13,$R530)</f>
        <v>August</v>
      </c>
      <c r="T530" s="79" t="n">
        <f aca="false">HOUR($F530)</f>
        <v>15</v>
      </c>
      <c r="U530" s="79" t="n">
        <f aca="false">WEEKDAY($E530,2)</f>
        <v>5</v>
      </c>
      <c r="V530" s="79" t="str">
        <f aca="false">INDEX(Lists!$F$2:$F$8,$U530)</f>
        <v>Friday</v>
      </c>
      <c r="W530" s="81" t="n">
        <f aca="false">($G530+$H530)-($E530+$F530)</f>
        <v>2.92905092592593</v>
      </c>
      <c r="X530" s="79" t="str">
        <f aca="false">LOOKUP($M530,Lists!$G$2:$G$5,Lists!$H$2:$H$5)</f>
        <v>₹1,500 - 2,000</v>
      </c>
      <c r="Y530" s="79" t="str">
        <f aca="false">LOOKUP($W530,Lists!$I$2:$I$7,Lists!$J$2:$J$7)</f>
        <v>2 - 4 days</v>
      </c>
    </row>
    <row r="531" customFormat="false" ht="15" hidden="false" customHeight="false" outlineLevel="0" collapsed="false">
      <c r="A531" s="2" t="n">
        <v>530</v>
      </c>
      <c r="B531" s="2" t="s">
        <v>145</v>
      </c>
      <c r="C531" s="2" t="n">
        <v>5</v>
      </c>
      <c r="D531" s="2" t="n">
        <v>2</v>
      </c>
      <c r="E531" s="82" t="n">
        <v>45157</v>
      </c>
      <c r="F531" s="83" t="n">
        <v>0.448159722222222</v>
      </c>
      <c r="G531" s="82" t="n">
        <v>45165</v>
      </c>
      <c r="H531" s="83" t="n">
        <v>0.0166203703703704</v>
      </c>
      <c r="I531" s="2" t="s">
        <v>333</v>
      </c>
      <c r="J531" s="2" t="s">
        <v>165</v>
      </c>
      <c r="K531" s="46" t="str">
        <f aca="false">INDEX(Products!$B$2:$B$71,MATCH($C531,Products!$A$2:$A$71,0))</f>
        <v>Natus Gift</v>
      </c>
      <c r="L531" s="46" t="str">
        <f aca="false">INDEX(Products!$C$2:$C$71,MATCH($C531,Products!$A$2:$A$71,0))</f>
        <v>Colors</v>
      </c>
      <c r="M531" s="84" t="n">
        <f aca="false">INDEX(Products!$D$2:$D$71,MATCH($C531,Products!$A$2:$A$71,0))</f>
        <v>1444</v>
      </c>
      <c r="N531" s="84" t="n">
        <f aca="false">$D531*$M531</f>
        <v>2888</v>
      </c>
      <c r="O531" s="46" t="str">
        <f aca="false">INDEX(Customers!$C$2:$C$101,MATCH($B531,Customers!$A$2:$A$101,0))</f>
        <v>Chinsurah</v>
      </c>
      <c r="P531" s="46" t="str">
        <f aca="false">INDEX(Customers!$F$2:$F$101,MATCH($B531,Customers!$A$2:$A$101,0))</f>
        <v>Female</v>
      </c>
      <c r="Q531" s="46" t="str">
        <f aca="false">INDEX(Customers!$B$2:$B$101,MATCH($B531,Customers!$A$2:$A$101,0))</f>
        <v>Veer Ray</v>
      </c>
      <c r="R531" s="46" t="n">
        <f aca="false">MONTH($E531)</f>
        <v>8</v>
      </c>
      <c r="S531" s="46" t="str">
        <f aca="false">INDEX(Lists!$B$2:$B$13,$R531)</f>
        <v>August</v>
      </c>
      <c r="T531" s="46" t="n">
        <f aca="false">HOUR($F531)</f>
        <v>10</v>
      </c>
      <c r="U531" s="46" t="n">
        <f aca="false">WEEKDAY($E531,2)</f>
        <v>6</v>
      </c>
      <c r="V531" s="46" t="str">
        <f aca="false">INDEX(Lists!$F$2:$F$8,$U531)</f>
        <v>Saturday</v>
      </c>
      <c r="W531" s="85" t="n">
        <f aca="false">($G531+$H531)-($E531+$F531)</f>
        <v>7.56846064814815</v>
      </c>
      <c r="X531" s="46" t="str">
        <f aca="false">LOOKUP($M531,Lists!$G$2:$G$5,Lists!$H$2:$H$5)</f>
        <v>₹1,000 - 1,499</v>
      </c>
      <c r="Y531" s="46" t="str">
        <f aca="false">LOOKUP($W531,Lists!$I$2:$I$7,Lists!$J$2:$J$7)</f>
        <v>6 - 8 days</v>
      </c>
    </row>
    <row r="532" customFormat="false" ht="15" hidden="false" customHeight="false" outlineLevel="0" collapsed="false">
      <c r="A532" s="7" t="n">
        <v>531</v>
      </c>
      <c r="B532" s="7" t="s">
        <v>196</v>
      </c>
      <c r="C532" s="7" t="n">
        <v>28</v>
      </c>
      <c r="D532" s="7" t="n">
        <v>5</v>
      </c>
      <c r="E532" s="77" t="n">
        <v>45167</v>
      </c>
      <c r="F532" s="78" t="n">
        <v>0.563981481481482</v>
      </c>
      <c r="G532" s="77" t="n">
        <v>45176</v>
      </c>
      <c r="H532" s="78" t="n">
        <v>0.363321759259259</v>
      </c>
      <c r="I532" s="7" t="s">
        <v>327</v>
      </c>
      <c r="J532" s="7" t="s">
        <v>40</v>
      </c>
      <c r="K532" s="79" t="str">
        <f aca="false">INDEX(Products!$B$2:$B$71,MATCH($C532,Products!$A$2:$A$71,0))</f>
        <v>Velit Set</v>
      </c>
      <c r="L532" s="79" t="str">
        <f aca="false">INDEX(Products!$C$2:$C$71,MATCH($C532,Products!$A$2:$A$71,0))</f>
        <v>Sweets</v>
      </c>
      <c r="M532" s="80" t="n">
        <f aca="false">INDEX(Products!$D$2:$D$71,MATCH($C532,Products!$A$2:$A$71,0))</f>
        <v>1778</v>
      </c>
      <c r="N532" s="80" t="n">
        <f aca="false">$D532*$M532</f>
        <v>8890</v>
      </c>
      <c r="O532" s="79" t="str">
        <f aca="false">INDEX(Customers!$C$2:$C$101,MATCH($B532,Customers!$A$2:$A$101,0))</f>
        <v>Haridwar</v>
      </c>
      <c r="P532" s="79" t="str">
        <f aca="false">INDEX(Customers!$F$2:$F$101,MATCH($B532,Customers!$A$2:$A$101,0))</f>
        <v>Female</v>
      </c>
      <c r="Q532" s="79" t="str">
        <f aca="false">INDEX(Customers!$B$2:$B$101,MATCH($B532,Customers!$A$2:$A$101,0))</f>
        <v>Badal Sathe</v>
      </c>
      <c r="R532" s="79" t="n">
        <f aca="false">MONTH($E532)</f>
        <v>8</v>
      </c>
      <c r="S532" s="79" t="str">
        <f aca="false">INDEX(Lists!$B$2:$B$13,$R532)</f>
        <v>August</v>
      </c>
      <c r="T532" s="79" t="n">
        <f aca="false">HOUR($F532)</f>
        <v>13</v>
      </c>
      <c r="U532" s="79" t="n">
        <f aca="false">WEEKDAY($E532,2)</f>
        <v>2</v>
      </c>
      <c r="V532" s="79" t="str">
        <f aca="false">INDEX(Lists!$F$2:$F$8,$U532)</f>
        <v>Tuesday</v>
      </c>
      <c r="W532" s="81" t="n">
        <f aca="false">($G532+$H532)-($E532+$F532)</f>
        <v>8.79934027777778</v>
      </c>
      <c r="X532" s="79" t="str">
        <f aca="false">LOOKUP($M532,Lists!$G$2:$G$5,Lists!$H$2:$H$5)</f>
        <v>₹1,500 - 2,000</v>
      </c>
      <c r="Y532" s="79" t="str">
        <f aca="false">LOOKUP($W532,Lists!$I$2:$I$7,Lists!$J$2:$J$7)</f>
        <v>8 - 10 days</v>
      </c>
    </row>
    <row r="533" customFormat="false" ht="15" hidden="false" customHeight="false" outlineLevel="0" collapsed="false">
      <c r="A533" s="2" t="n">
        <v>532</v>
      </c>
      <c r="B533" s="2" t="s">
        <v>212</v>
      </c>
      <c r="C533" s="2" t="n">
        <v>30</v>
      </c>
      <c r="D533" s="2" t="n">
        <v>5</v>
      </c>
      <c r="E533" s="82" t="n">
        <v>45171</v>
      </c>
      <c r="F533" s="83" t="n">
        <v>0.559097222222222</v>
      </c>
      <c r="G533" s="82" t="n">
        <v>45179</v>
      </c>
      <c r="H533" s="83" t="n">
        <v>0.121608796296296</v>
      </c>
      <c r="I533" s="2" t="s">
        <v>232</v>
      </c>
      <c r="J533" s="2" t="s">
        <v>168</v>
      </c>
      <c r="K533" s="46" t="str">
        <f aca="false">INDEX(Products!$B$2:$B$71,MATCH($C533,Products!$A$2:$A$71,0))</f>
        <v>Recusandae Pack</v>
      </c>
      <c r="L533" s="46" t="str">
        <f aca="false">INDEX(Products!$C$2:$C$71,MATCH($C533,Products!$A$2:$A$71,0))</f>
        <v>Colors</v>
      </c>
      <c r="M533" s="84" t="n">
        <f aca="false">INDEX(Products!$D$2:$D$71,MATCH($C533,Products!$A$2:$A$71,0))</f>
        <v>751</v>
      </c>
      <c r="N533" s="84" t="n">
        <f aca="false">$D533*$M533</f>
        <v>3755</v>
      </c>
      <c r="O533" s="46" t="str">
        <f aca="false">INDEX(Customers!$C$2:$C$101,MATCH($B533,Customers!$A$2:$A$101,0))</f>
        <v>Dibrugarh</v>
      </c>
      <c r="P533" s="46" t="str">
        <f aca="false">INDEX(Customers!$F$2:$F$101,MATCH($B533,Customers!$A$2:$A$101,0))</f>
        <v>Female</v>
      </c>
      <c r="Q533" s="46" t="str">
        <f aca="false">INDEX(Customers!$B$2:$B$101,MATCH($B533,Customers!$A$2:$A$101,0))</f>
        <v>Biju Bajwa</v>
      </c>
      <c r="R533" s="46" t="n">
        <f aca="false">MONTH($E533)</f>
        <v>9</v>
      </c>
      <c r="S533" s="46" t="str">
        <f aca="false">INDEX(Lists!$B$2:$B$13,$R533)</f>
        <v>September</v>
      </c>
      <c r="T533" s="46" t="n">
        <f aca="false">HOUR($F533)</f>
        <v>13</v>
      </c>
      <c r="U533" s="46" t="n">
        <f aca="false">WEEKDAY($E533,2)</f>
        <v>6</v>
      </c>
      <c r="V533" s="46" t="str">
        <f aca="false">INDEX(Lists!$F$2:$F$8,$U533)</f>
        <v>Saturday</v>
      </c>
      <c r="W533" s="85" t="n">
        <f aca="false">($G533+$H533)-($E533+$F533)</f>
        <v>7.56251157407407</v>
      </c>
      <c r="X533" s="46" t="str">
        <f aca="false">LOOKUP($M533,Lists!$G$2:$G$5,Lists!$H$2:$H$5)</f>
        <v>₹500 - 999</v>
      </c>
      <c r="Y533" s="46" t="str">
        <f aca="false">LOOKUP($W533,Lists!$I$2:$I$7,Lists!$J$2:$J$7)</f>
        <v>6 - 8 days</v>
      </c>
    </row>
    <row r="534" customFormat="false" ht="15" hidden="false" customHeight="false" outlineLevel="0" collapsed="false">
      <c r="A534" s="7" t="n">
        <v>533</v>
      </c>
      <c r="B534" s="7" t="s">
        <v>139</v>
      </c>
      <c r="C534" s="7" t="n">
        <v>14</v>
      </c>
      <c r="D534" s="7" t="n">
        <v>3</v>
      </c>
      <c r="E534" s="77" t="n">
        <v>45034</v>
      </c>
      <c r="F534" s="78" t="n">
        <v>0.305462962962963</v>
      </c>
      <c r="G534" s="77" t="n">
        <v>45036</v>
      </c>
      <c r="H534" s="78" t="n">
        <v>0.738715277777778</v>
      </c>
      <c r="I534" s="7" t="s">
        <v>546</v>
      </c>
      <c r="J534" s="7" t="s">
        <v>31</v>
      </c>
      <c r="K534" s="79" t="str">
        <f aca="false">INDEX(Products!$B$2:$B$71,MATCH($C534,Products!$A$2:$A$71,0))</f>
        <v>Deserunt Box</v>
      </c>
      <c r="L534" s="79" t="str">
        <f aca="false">INDEX(Products!$C$2:$C$71,MATCH($C534,Products!$A$2:$A$71,0))</f>
        <v>Colors</v>
      </c>
      <c r="M534" s="80" t="n">
        <f aca="false">INDEX(Products!$D$2:$D$71,MATCH($C534,Products!$A$2:$A$71,0))</f>
        <v>1915</v>
      </c>
      <c r="N534" s="80" t="n">
        <f aca="false">$D534*$M534</f>
        <v>5745</v>
      </c>
      <c r="O534" s="79" t="str">
        <f aca="false">INDEX(Customers!$C$2:$C$101,MATCH($B534,Customers!$A$2:$A$101,0))</f>
        <v>Karimnagar</v>
      </c>
      <c r="P534" s="79" t="str">
        <f aca="false">INDEX(Customers!$F$2:$F$101,MATCH($B534,Customers!$A$2:$A$101,0))</f>
        <v>Female</v>
      </c>
      <c r="Q534" s="79" t="str">
        <f aca="false">INDEX(Customers!$B$2:$B$101,MATCH($B534,Customers!$A$2:$A$101,0))</f>
        <v>Rania Mann</v>
      </c>
      <c r="R534" s="79" t="n">
        <f aca="false">MONTH($E534)</f>
        <v>4</v>
      </c>
      <c r="S534" s="79" t="str">
        <f aca="false">INDEX(Lists!$B$2:$B$13,$R534)</f>
        <v>April</v>
      </c>
      <c r="T534" s="79" t="n">
        <f aca="false">HOUR($F534)</f>
        <v>7</v>
      </c>
      <c r="U534" s="79" t="n">
        <f aca="false">WEEKDAY($E534,2)</f>
        <v>2</v>
      </c>
      <c r="V534" s="79" t="str">
        <f aca="false">INDEX(Lists!$F$2:$F$8,$U534)</f>
        <v>Tuesday</v>
      </c>
      <c r="W534" s="81" t="n">
        <f aca="false">($G534+$H534)-($E534+$F534)</f>
        <v>2.43325231481481</v>
      </c>
      <c r="X534" s="79" t="str">
        <f aca="false">LOOKUP($M534,Lists!$G$2:$G$5,Lists!$H$2:$H$5)</f>
        <v>₹1,500 - 2,000</v>
      </c>
      <c r="Y534" s="79" t="str">
        <f aca="false">LOOKUP($W534,Lists!$I$2:$I$7,Lists!$J$2:$J$7)</f>
        <v>2 - 4 days</v>
      </c>
    </row>
    <row r="535" customFormat="false" ht="15" hidden="false" customHeight="false" outlineLevel="0" collapsed="false">
      <c r="A535" s="2" t="n">
        <v>534</v>
      </c>
      <c r="B535" s="2" t="s">
        <v>285</v>
      </c>
      <c r="C535" s="2" t="n">
        <v>31</v>
      </c>
      <c r="D535" s="2" t="n">
        <v>2</v>
      </c>
      <c r="E535" s="82" t="n">
        <v>45257</v>
      </c>
      <c r="F535" s="83" t="n">
        <v>0.152962962962963</v>
      </c>
      <c r="G535" s="82" t="n">
        <v>45264</v>
      </c>
      <c r="H535" s="83" t="n">
        <v>0.474039351851852</v>
      </c>
      <c r="I535" s="2" t="s">
        <v>502</v>
      </c>
      <c r="J535" s="2" t="s">
        <v>165</v>
      </c>
      <c r="K535" s="46" t="str">
        <f aca="false">INDEX(Products!$B$2:$B$71,MATCH($C535,Products!$A$2:$A$71,0))</f>
        <v>Nihil Box</v>
      </c>
      <c r="L535" s="46" t="str">
        <f aca="false">INDEX(Products!$C$2:$C$71,MATCH($C535,Products!$A$2:$A$71,0))</f>
        <v>Colors</v>
      </c>
      <c r="M535" s="84" t="n">
        <f aca="false">INDEX(Products!$D$2:$D$71,MATCH($C535,Products!$A$2:$A$71,0))</f>
        <v>1804</v>
      </c>
      <c r="N535" s="84" t="n">
        <f aca="false">$D535*$M535</f>
        <v>3608</v>
      </c>
      <c r="O535" s="46" t="str">
        <f aca="false">INDEX(Customers!$C$2:$C$101,MATCH($B535,Customers!$A$2:$A$101,0))</f>
        <v>Kavali</v>
      </c>
      <c r="P535" s="46" t="str">
        <f aca="false">INDEX(Customers!$F$2:$F$101,MATCH($B535,Customers!$A$2:$A$101,0))</f>
        <v>Female</v>
      </c>
      <c r="Q535" s="46" t="str">
        <f aca="false">INDEX(Customers!$B$2:$B$101,MATCH($B535,Customers!$A$2:$A$101,0))</f>
        <v>Akarsh Ramesh</v>
      </c>
      <c r="R535" s="46" t="n">
        <f aca="false">MONTH($E535)</f>
        <v>11</v>
      </c>
      <c r="S535" s="46" t="str">
        <f aca="false">INDEX(Lists!$B$2:$B$13,$R535)</f>
        <v>November</v>
      </c>
      <c r="T535" s="46" t="n">
        <f aca="false">HOUR($F535)</f>
        <v>3</v>
      </c>
      <c r="U535" s="46" t="n">
        <f aca="false">WEEKDAY($E535,2)</f>
        <v>1</v>
      </c>
      <c r="V535" s="46" t="str">
        <f aca="false">INDEX(Lists!$F$2:$F$8,$U535)</f>
        <v>Monday</v>
      </c>
      <c r="W535" s="85" t="n">
        <f aca="false">($G535+$H535)-($E535+$F535)</f>
        <v>7.32107638888889</v>
      </c>
      <c r="X535" s="46" t="str">
        <f aca="false">LOOKUP($M535,Lists!$G$2:$G$5,Lists!$H$2:$H$5)</f>
        <v>₹1,500 - 2,000</v>
      </c>
      <c r="Y535" s="46" t="str">
        <f aca="false">LOOKUP($W535,Lists!$I$2:$I$7,Lists!$J$2:$J$7)</f>
        <v>6 - 8 days</v>
      </c>
    </row>
    <row r="536" customFormat="false" ht="15" hidden="false" customHeight="false" outlineLevel="0" collapsed="false">
      <c r="A536" s="7" t="n">
        <v>535</v>
      </c>
      <c r="B536" s="7" t="s">
        <v>170</v>
      </c>
      <c r="C536" s="7" t="n">
        <v>25</v>
      </c>
      <c r="D536" s="7" t="n">
        <v>3</v>
      </c>
      <c r="E536" s="77" t="n">
        <v>45115</v>
      </c>
      <c r="F536" s="78" t="n">
        <v>0.916296296296296</v>
      </c>
      <c r="G536" s="77" t="n">
        <v>45118</v>
      </c>
      <c r="H536" s="78" t="n">
        <v>0.271296296296296</v>
      </c>
      <c r="I536" s="7" t="s">
        <v>552</v>
      </c>
      <c r="J536" s="7" t="s">
        <v>168</v>
      </c>
      <c r="K536" s="79" t="str">
        <f aca="false">INDEX(Products!$B$2:$B$71,MATCH($C536,Products!$A$2:$A$71,0))</f>
        <v>Qui Gift</v>
      </c>
      <c r="L536" s="79" t="str">
        <f aca="false">INDEX(Products!$C$2:$C$71,MATCH($C536,Products!$A$2:$A$71,0))</f>
        <v>Plants</v>
      </c>
      <c r="M536" s="80" t="n">
        <f aca="false">INDEX(Products!$D$2:$D$71,MATCH($C536,Products!$A$2:$A$71,0))</f>
        <v>1202</v>
      </c>
      <c r="N536" s="80" t="n">
        <f aca="false">$D536*$M536</f>
        <v>3606</v>
      </c>
      <c r="O536" s="79" t="str">
        <f aca="false">INDEX(Customers!$C$2:$C$101,MATCH($B536,Customers!$A$2:$A$101,0))</f>
        <v>Gangtok</v>
      </c>
      <c r="P536" s="79" t="str">
        <f aca="false">INDEX(Customers!$F$2:$F$101,MATCH($B536,Customers!$A$2:$A$101,0))</f>
        <v>Male</v>
      </c>
      <c r="Q536" s="79" t="str">
        <f aca="false">INDEX(Customers!$B$2:$B$101,MATCH($B536,Customers!$A$2:$A$101,0))</f>
        <v>Advika Dhar</v>
      </c>
      <c r="R536" s="79" t="n">
        <f aca="false">MONTH($E536)</f>
        <v>7</v>
      </c>
      <c r="S536" s="79" t="str">
        <f aca="false">INDEX(Lists!$B$2:$B$13,$R536)</f>
        <v>July</v>
      </c>
      <c r="T536" s="79" t="n">
        <f aca="false">HOUR($F536)</f>
        <v>21</v>
      </c>
      <c r="U536" s="79" t="n">
        <f aca="false">WEEKDAY($E536,2)</f>
        <v>6</v>
      </c>
      <c r="V536" s="79" t="str">
        <f aca="false">INDEX(Lists!$F$2:$F$8,$U536)</f>
        <v>Saturday</v>
      </c>
      <c r="W536" s="81" t="n">
        <f aca="false">($G536+$H536)-($E536+$F536)</f>
        <v>2.355</v>
      </c>
      <c r="X536" s="79" t="str">
        <f aca="false">LOOKUP($M536,Lists!$G$2:$G$5,Lists!$H$2:$H$5)</f>
        <v>₹1,000 - 1,499</v>
      </c>
      <c r="Y536" s="79" t="str">
        <f aca="false">LOOKUP($W536,Lists!$I$2:$I$7,Lists!$J$2:$J$7)</f>
        <v>2 - 4 days</v>
      </c>
    </row>
    <row r="537" customFormat="false" ht="15" hidden="false" customHeight="false" outlineLevel="0" collapsed="false">
      <c r="A537" s="2" t="n">
        <v>536</v>
      </c>
      <c r="B537" s="2" t="s">
        <v>248</v>
      </c>
      <c r="C537" s="2" t="n">
        <v>59</v>
      </c>
      <c r="D537" s="2" t="n">
        <v>3</v>
      </c>
      <c r="E537" s="82" t="n">
        <v>45163</v>
      </c>
      <c r="F537" s="83" t="n">
        <v>0.635324074074074</v>
      </c>
      <c r="G537" s="82" t="n">
        <v>45168</v>
      </c>
      <c r="H537" s="83" t="n">
        <v>0.467476851851852</v>
      </c>
      <c r="I537" s="2" t="s">
        <v>465</v>
      </c>
      <c r="J537" s="2" t="s">
        <v>40</v>
      </c>
      <c r="K537" s="46" t="str">
        <f aca="false">INDEX(Products!$B$2:$B$71,MATCH($C537,Products!$A$2:$A$71,0))</f>
        <v>Pariatur Box</v>
      </c>
      <c r="L537" s="46" t="str">
        <f aca="false">INDEX(Products!$C$2:$C$71,MATCH($C537,Products!$A$2:$A$71,0))</f>
        <v>Cake</v>
      </c>
      <c r="M537" s="84" t="n">
        <f aca="false">INDEX(Products!$D$2:$D$71,MATCH($C537,Products!$A$2:$A$71,0))</f>
        <v>811</v>
      </c>
      <c r="N537" s="84" t="n">
        <f aca="false">$D537*$M537</f>
        <v>2433</v>
      </c>
      <c r="O537" s="46" t="str">
        <f aca="false">INDEX(Customers!$C$2:$C$101,MATCH($B537,Customers!$A$2:$A$101,0))</f>
        <v>Guntakal</v>
      </c>
      <c r="P537" s="46" t="str">
        <f aca="false">INDEX(Customers!$F$2:$F$101,MATCH($B537,Customers!$A$2:$A$101,0))</f>
        <v>Male</v>
      </c>
      <c r="Q537" s="46" t="str">
        <f aca="false">INDEX(Customers!$B$2:$B$101,MATCH($B537,Customers!$A$2:$A$101,0))</f>
        <v>Aradhya Kale</v>
      </c>
      <c r="R537" s="46" t="n">
        <f aca="false">MONTH($E537)</f>
        <v>8</v>
      </c>
      <c r="S537" s="46" t="str">
        <f aca="false">INDEX(Lists!$B$2:$B$13,$R537)</f>
        <v>August</v>
      </c>
      <c r="T537" s="46" t="n">
        <f aca="false">HOUR($F537)</f>
        <v>15</v>
      </c>
      <c r="U537" s="46" t="n">
        <f aca="false">WEEKDAY($E537,2)</f>
        <v>5</v>
      </c>
      <c r="V537" s="46" t="str">
        <f aca="false">INDEX(Lists!$F$2:$F$8,$U537)</f>
        <v>Friday</v>
      </c>
      <c r="W537" s="85" t="n">
        <f aca="false">($G537+$H537)-($E537+$F537)</f>
        <v>4.83215277777778</v>
      </c>
      <c r="X537" s="46" t="str">
        <f aca="false">LOOKUP($M537,Lists!$G$2:$G$5,Lists!$H$2:$H$5)</f>
        <v>₹500 - 999</v>
      </c>
      <c r="Y537" s="46" t="str">
        <f aca="false">LOOKUP($W537,Lists!$I$2:$I$7,Lists!$J$2:$J$7)</f>
        <v>4 - 6 days</v>
      </c>
    </row>
    <row r="538" customFormat="false" ht="15" hidden="false" customHeight="false" outlineLevel="0" collapsed="false">
      <c r="A538" s="7" t="n">
        <v>537</v>
      </c>
      <c r="B538" s="7" t="s">
        <v>294</v>
      </c>
      <c r="C538" s="7" t="n">
        <v>42</v>
      </c>
      <c r="D538" s="7" t="n">
        <v>3</v>
      </c>
      <c r="E538" s="77" t="n">
        <v>45216</v>
      </c>
      <c r="F538" s="78" t="n">
        <v>0.263472222222222</v>
      </c>
      <c r="G538" s="77" t="n">
        <v>45224</v>
      </c>
      <c r="H538" s="78" t="n">
        <v>0.131342592592593</v>
      </c>
      <c r="I538" s="7" t="s">
        <v>464</v>
      </c>
      <c r="J538" s="7" t="s">
        <v>165</v>
      </c>
      <c r="K538" s="79" t="str">
        <f aca="false">INDEX(Products!$B$2:$B$71,MATCH($C538,Products!$A$2:$A$71,0))</f>
        <v>Expedita Gift</v>
      </c>
      <c r="L538" s="79" t="str">
        <f aca="false">INDEX(Products!$C$2:$C$71,MATCH($C538,Products!$A$2:$A$71,0))</f>
        <v>Sweets</v>
      </c>
      <c r="M538" s="80" t="n">
        <f aca="false">INDEX(Products!$D$2:$D$71,MATCH($C538,Products!$A$2:$A$71,0))</f>
        <v>1744</v>
      </c>
      <c r="N538" s="80" t="n">
        <f aca="false">$D538*$M538</f>
        <v>5232</v>
      </c>
      <c r="O538" s="79" t="str">
        <f aca="false">INDEX(Customers!$C$2:$C$101,MATCH($B538,Customers!$A$2:$A$101,0))</f>
        <v>Srikakulam</v>
      </c>
      <c r="P538" s="79" t="str">
        <f aca="false">INDEX(Customers!$F$2:$F$101,MATCH($B538,Customers!$A$2:$A$101,0))</f>
        <v>Male</v>
      </c>
      <c r="Q538" s="79" t="str">
        <f aca="false">INDEX(Customers!$B$2:$B$101,MATCH($B538,Customers!$A$2:$A$101,0))</f>
        <v>Indrajit Kale</v>
      </c>
      <c r="R538" s="79" t="n">
        <f aca="false">MONTH($E538)</f>
        <v>10</v>
      </c>
      <c r="S538" s="79" t="str">
        <f aca="false">INDEX(Lists!$B$2:$B$13,$R538)</f>
        <v>October</v>
      </c>
      <c r="T538" s="79" t="n">
        <f aca="false">HOUR($F538)</f>
        <v>6</v>
      </c>
      <c r="U538" s="79" t="n">
        <f aca="false">WEEKDAY($E538,2)</f>
        <v>2</v>
      </c>
      <c r="V538" s="79" t="str">
        <f aca="false">INDEX(Lists!$F$2:$F$8,$U538)</f>
        <v>Tuesday</v>
      </c>
      <c r="W538" s="81" t="n">
        <f aca="false">($G538+$H538)-($E538+$F538)</f>
        <v>7.86787037037037</v>
      </c>
      <c r="X538" s="79" t="str">
        <f aca="false">LOOKUP($M538,Lists!$G$2:$G$5,Lists!$H$2:$H$5)</f>
        <v>₹1,500 - 2,000</v>
      </c>
      <c r="Y538" s="79" t="str">
        <f aca="false">LOOKUP($W538,Lists!$I$2:$I$7,Lists!$J$2:$J$7)</f>
        <v>6 - 8 days</v>
      </c>
    </row>
    <row r="539" customFormat="false" ht="15" hidden="false" customHeight="false" outlineLevel="0" collapsed="false">
      <c r="A539" s="2" t="n">
        <v>538</v>
      </c>
      <c r="B539" s="2" t="s">
        <v>385</v>
      </c>
      <c r="C539" s="2" t="n">
        <v>24</v>
      </c>
      <c r="D539" s="2" t="n">
        <v>5</v>
      </c>
      <c r="E539" s="82" t="n">
        <v>45064</v>
      </c>
      <c r="F539" s="83" t="n">
        <v>0.547986111111111</v>
      </c>
      <c r="G539" s="82" t="n">
        <v>45065</v>
      </c>
      <c r="H539" s="83" t="n">
        <v>0.941851851851852</v>
      </c>
      <c r="I539" s="2" t="s">
        <v>387</v>
      </c>
      <c r="J539" s="2" t="s">
        <v>31</v>
      </c>
      <c r="K539" s="46" t="str">
        <f aca="false">INDEX(Products!$B$2:$B$71,MATCH($C539,Products!$A$2:$A$71,0))</f>
        <v>Ad Box</v>
      </c>
      <c r="L539" s="46" t="str">
        <f aca="false">INDEX(Products!$C$2:$C$71,MATCH($C539,Products!$A$2:$A$71,0))</f>
        <v>Mugs</v>
      </c>
      <c r="M539" s="84" t="n">
        <f aca="false">INDEX(Products!$D$2:$D$71,MATCH($C539,Products!$A$2:$A$71,0))</f>
        <v>535</v>
      </c>
      <c r="N539" s="84" t="n">
        <f aca="false">$D539*$M539</f>
        <v>2675</v>
      </c>
      <c r="O539" s="46" t="str">
        <f aca="false">INDEX(Customers!$C$2:$C$101,MATCH($B539,Customers!$A$2:$A$101,0))</f>
        <v>Sri Ganganagar</v>
      </c>
      <c r="P539" s="46" t="str">
        <f aca="false">INDEX(Customers!$F$2:$F$101,MATCH($B539,Customers!$A$2:$A$101,0))</f>
        <v>Female</v>
      </c>
      <c r="Q539" s="46" t="str">
        <f aca="false">INDEX(Customers!$B$2:$B$101,MATCH($B539,Customers!$A$2:$A$101,0))</f>
        <v>Nakul Randhawa</v>
      </c>
      <c r="R539" s="46" t="n">
        <f aca="false">MONTH($E539)</f>
        <v>5</v>
      </c>
      <c r="S539" s="46" t="str">
        <f aca="false">INDEX(Lists!$B$2:$B$13,$R539)</f>
        <v>May</v>
      </c>
      <c r="T539" s="46" t="n">
        <f aca="false">HOUR($F539)</f>
        <v>13</v>
      </c>
      <c r="U539" s="46" t="n">
        <f aca="false">WEEKDAY($E539,2)</f>
        <v>4</v>
      </c>
      <c r="V539" s="46" t="str">
        <f aca="false">INDEX(Lists!$F$2:$F$8,$U539)</f>
        <v>Thursday</v>
      </c>
      <c r="W539" s="85" t="n">
        <f aca="false">($G539+$H539)-($E539+$F539)</f>
        <v>1.39386574074074</v>
      </c>
      <c r="X539" s="46" t="str">
        <f aca="false">LOOKUP($M539,Lists!$G$2:$G$5,Lists!$H$2:$H$5)</f>
        <v>₹500 - 999</v>
      </c>
      <c r="Y539" s="46" t="str">
        <f aca="false">LOOKUP($W539,Lists!$I$2:$I$7,Lists!$J$2:$J$7)</f>
        <v>0 - 2 days</v>
      </c>
    </row>
    <row r="540" customFormat="false" ht="15" hidden="false" customHeight="false" outlineLevel="0" collapsed="false">
      <c r="A540" s="7" t="n">
        <v>539</v>
      </c>
      <c r="B540" s="7" t="s">
        <v>272</v>
      </c>
      <c r="C540" s="7" t="n">
        <v>20</v>
      </c>
      <c r="D540" s="7" t="n">
        <v>3</v>
      </c>
      <c r="E540" s="77" t="n">
        <v>45086</v>
      </c>
      <c r="F540" s="78" t="n">
        <v>0.652291666666667</v>
      </c>
      <c r="G540" s="77" t="n">
        <v>45093</v>
      </c>
      <c r="H540" s="78" t="n">
        <v>0.595196759259259</v>
      </c>
      <c r="I540" s="7" t="s">
        <v>439</v>
      </c>
      <c r="J540" s="7" t="s">
        <v>168</v>
      </c>
      <c r="K540" s="79" t="str">
        <f aca="false">INDEX(Products!$B$2:$B$71,MATCH($C540,Products!$A$2:$A$71,0))</f>
        <v>Reiciendis Box</v>
      </c>
      <c r="L540" s="79" t="str">
        <f aca="false">INDEX(Products!$C$2:$C$71,MATCH($C540,Products!$A$2:$A$71,0))</f>
        <v>Colors</v>
      </c>
      <c r="M540" s="80" t="n">
        <f aca="false">INDEX(Products!$D$2:$D$71,MATCH($C540,Products!$A$2:$A$71,0))</f>
        <v>697</v>
      </c>
      <c r="N540" s="80" t="n">
        <f aca="false">$D540*$M540</f>
        <v>2091</v>
      </c>
      <c r="O540" s="79" t="str">
        <f aca="false">INDEX(Customers!$C$2:$C$101,MATCH($B540,Customers!$A$2:$A$101,0))</f>
        <v>Haridwar</v>
      </c>
      <c r="P540" s="79" t="str">
        <f aca="false">INDEX(Customers!$F$2:$F$101,MATCH($B540,Customers!$A$2:$A$101,0))</f>
        <v>Male</v>
      </c>
      <c r="Q540" s="79" t="str">
        <f aca="false">INDEX(Customers!$B$2:$B$101,MATCH($B540,Customers!$A$2:$A$101,0))</f>
        <v>Pihu Choudhury</v>
      </c>
      <c r="R540" s="79" t="n">
        <f aca="false">MONTH($E540)</f>
        <v>6</v>
      </c>
      <c r="S540" s="79" t="str">
        <f aca="false">INDEX(Lists!$B$2:$B$13,$R540)</f>
        <v>June</v>
      </c>
      <c r="T540" s="79" t="n">
        <f aca="false">HOUR($F540)</f>
        <v>15</v>
      </c>
      <c r="U540" s="79" t="n">
        <f aca="false">WEEKDAY($E540,2)</f>
        <v>5</v>
      </c>
      <c r="V540" s="79" t="str">
        <f aca="false">INDEX(Lists!$F$2:$F$8,$U540)</f>
        <v>Friday</v>
      </c>
      <c r="W540" s="81" t="n">
        <f aca="false">($G540+$H540)-($E540+$F540)</f>
        <v>6.94290509259259</v>
      </c>
      <c r="X540" s="79" t="str">
        <f aca="false">LOOKUP($M540,Lists!$G$2:$G$5,Lists!$H$2:$H$5)</f>
        <v>₹500 - 999</v>
      </c>
      <c r="Y540" s="79" t="str">
        <f aca="false">LOOKUP($W540,Lists!$I$2:$I$7,Lists!$J$2:$J$7)</f>
        <v>6 - 8 days</v>
      </c>
    </row>
    <row r="541" customFormat="false" ht="15" hidden="false" customHeight="false" outlineLevel="0" collapsed="false">
      <c r="A541" s="2" t="n">
        <v>540</v>
      </c>
      <c r="B541" s="2" t="s">
        <v>344</v>
      </c>
      <c r="C541" s="2" t="n">
        <v>22</v>
      </c>
      <c r="D541" s="2" t="n">
        <v>4</v>
      </c>
      <c r="E541" s="82" t="n">
        <v>45175</v>
      </c>
      <c r="F541" s="83" t="n">
        <v>0.79693287037037</v>
      </c>
      <c r="G541" s="82" t="n">
        <v>45178</v>
      </c>
      <c r="H541" s="83" t="n">
        <v>0.0597222222222222</v>
      </c>
      <c r="I541" s="2" t="s">
        <v>493</v>
      </c>
      <c r="J541" s="2" t="s">
        <v>165</v>
      </c>
      <c r="K541" s="46" t="str">
        <f aca="false">INDEX(Products!$B$2:$B$71,MATCH($C541,Products!$A$2:$A$71,0))</f>
        <v>Exercitationem Pack</v>
      </c>
      <c r="L541" s="46" t="str">
        <f aca="false">INDEX(Products!$C$2:$C$71,MATCH($C541,Products!$A$2:$A$71,0))</f>
        <v>Soft Toys</v>
      </c>
      <c r="M541" s="84" t="n">
        <f aca="false">INDEX(Products!$D$2:$D$71,MATCH($C541,Products!$A$2:$A$71,0))</f>
        <v>1639</v>
      </c>
      <c r="N541" s="84" t="n">
        <f aca="false">$D541*$M541</f>
        <v>6556</v>
      </c>
      <c r="O541" s="46" t="str">
        <f aca="false">INDEX(Customers!$C$2:$C$101,MATCH($B541,Customers!$A$2:$A$101,0))</f>
        <v>Ahmednagar</v>
      </c>
      <c r="P541" s="46" t="str">
        <f aca="false">INDEX(Customers!$F$2:$F$101,MATCH($B541,Customers!$A$2:$A$101,0))</f>
        <v>Female</v>
      </c>
      <c r="Q541" s="46" t="str">
        <f aca="false">INDEX(Customers!$B$2:$B$101,MATCH($B541,Customers!$A$2:$A$101,0))</f>
        <v>Anya Chaudhari</v>
      </c>
      <c r="R541" s="46" t="n">
        <f aca="false">MONTH($E541)</f>
        <v>9</v>
      </c>
      <c r="S541" s="46" t="str">
        <f aca="false">INDEX(Lists!$B$2:$B$13,$R541)</f>
        <v>September</v>
      </c>
      <c r="T541" s="46" t="n">
        <f aca="false">HOUR($F541)</f>
        <v>19</v>
      </c>
      <c r="U541" s="46" t="n">
        <f aca="false">WEEKDAY($E541,2)</f>
        <v>3</v>
      </c>
      <c r="V541" s="46" t="str">
        <f aca="false">INDEX(Lists!$F$2:$F$8,$U541)</f>
        <v>Wednesday</v>
      </c>
      <c r="W541" s="85" t="n">
        <f aca="false">($G541+$H541)-($E541+$F541)</f>
        <v>2.26278935185185</v>
      </c>
      <c r="X541" s="46" t="str">
        <f aca="false">LOOKUP($M541,Lists!$G$2:$G$5,Lists!$H$2:$H$5)</f>
        <v>₹1,500 - 2,000</v>
      </c>
      <c r="Y541" s="46" t="str">
        <f aca="false">LOOKUP($W541,Lists!$I$2:$I$7,Lists!$J$2:$J$7)</f>
        <v>2 - 4 days</v>
      </c>
    </row>
    <row r="542" customFormat="false" ht="15" hidden="false" customHeight="false" outlineLevel="0" collapsed="false">
      <c r="A542" s="7" t="n">
        <v>541</v>
      </c>
      <c r="B542" s="7" t="s">
        <v>142</v>
      </c>
      <c r="C542" s="7" t="n">
        <v>24</v>
      </c>
      <c r="D542" s="7" t="n">
        <v>3</v>
      </c>
      <c r="E542" s="77" t="n">
        <v>45243</v>
      </c>
      <c r="F542" s="78" t="n">
        <v>0.243854166666667</v>
      </c>
      <c r="G542" s="77" t="n">
        <v>45246</v>
      </c>
      <c r="H542" s="78" t="n">
        <v>0.955949074074074</v>
      </c>
      <c r="I542" s="7" t="s">
        <v>557</v>
      </c>
      <c r="J542" s="7" t="s">
        <v>31</v>
      </c>
      <c r="K542" s="79" t="str">
        <f aca="false">INDEX(Products!$B$2:$B$71,MATCH($C542,Products!$A$2:$A$71,0))</f>
        <v>Ad Box</v>
      </c>
      <c r="L542" s="79" t="str">
        <f aca="false">INDEX(Products!$C$2:$C$71,MATCH($C542,Products!$A$2:$A$71,0))</f>
        <v>Mugs</v>
      </c>
      <c r="M542" s="80" t="n">
        <f aca="false">INDEX(Products!$D$2:$D$71,MATCH($C542,Products!$A$2:$A$71,0))</f>
        <v>535</v>
      </c>
      <c r="N542" s="80" t="n">
        <f aca="false">$D542*$M542</f>
        <v>1605</v>
      </c>
      <c r="O542" s="79" t="str">
        <f aca="false">INDEX(Customers!$C$2:$C$101,MATCH($B542,Customers!$A$2:$A$101,0))</f>
        <v>Berhampore</v>
      </c>
      <c r="P542" s="79" t="str">
        <f aca="false">INDEX(Customers!$F$2:$F$101,MATCH($B542,Customers!$A$2:$A$101,0))</f>
        <v>Male</v>
      </c>
      <c r="Q542" s="79" t="str">
        <f aca="false">INDEX(Customers!$B$2:$B$101,MATCH($B542,Customers!$A$2:$A$101,0))</f>
        <v>Jayant Kamdar</v>
      </c>
      <c r="R542" s="79" t="n">
        <f aca="false">MONTH($E542)</f>
        <v>11</v>
      </c>
      <c r="S542" s="79" t="str">
        <f aca="false">INDEX(Lists!$B$2:$B$13,$R542)</f>
        <v>November</v>
      </c>
      <c r="T542" s="79" t="n">
        <f aca="false">HOUR($F542)</f>
        <v>5</v>
      </c>
      <c r="U542" s="79" t="n">
        <f aca="false">WEEKDAY($E542,2)</f>
        <v>1</v>
      </c>
      <c r="V542" s="79" t="str">
        <f aca="false">INDEX(Lists!$F$2:$F$8,$U542)</f>
        <v>Monday</v>
      </c>
      <c r="W542" s="81" t="n">
        <f aca="false">($G542+$H542)-($E542+$F542)</f>
        <v>3.71209490740741</v>
      </c>
      <c r="X542" s="79" t="str">
        <f aca="false">LOOKUP($M542,Lists!$G$2:$G$5,Lists!$H$2:$H$5)</f>
        <v>₹500 - 999</v>
      </c>
      <c r="Y542" s="79" t="str">
        <f aca="false">LOOKUP($W542,Lists!$I$2:$I$7,Lists!$J$2:$J$7)</f>
        <v>2 - 4 days</v>
      </c>
    </row>
    <row r="543" customFormat="false" ht="15" hidden="false" customHeight="false" outlineLevel="0" collapsed="false">
      <c r="A543" s="2" t="n">
        <v>542</v>
      </c>
      <c r="B543" s="2" t="s">
        <v>257</v>
      </c>
      <c r="C543" s="2" t="n">
        <v>54</v>
      </c>
      <c r="D543" s="2" t="n">
        <v>5</v>
      </c>
      <c r="E543" s="82" t="n">
        <v>45114</v>
      </c>
      <c r="F543" s="83" t="n">
        <v>0.82037037037037</v>
      </c>
      <c r="G543" s="82" t="n">
        <v>45119</v>
      </c>
      <c r="H543" s="83" t="n">
        <v>0.41125</v>
      </c>
      <c r="I543" s="2" t="s">
        <v>558</v>
      </c>
      <c r="J543" s="2" t="s">
        <v>168</v>
      </c>
      <c r="K543" s="46" t="str">
        <f aca="false">INDEX(Products!$B$2:$B$71,MATCH($C543,Products!$A$2:$A$71,0))</f>
        <v>Occaecati Gift</v>
      </c>
      <c r="L543" s="46" t="str">
        <f aca="false">INDEX(Products!$C$2:$C$71,MATCH($C543,Products!$A$2:$A$71,0))</f>
        <v>Cake</v>
      </c>
      <c r="M543" s="84" t="n">
        <f aca="false">INDEX(Products!$D$2:$D$71,MATCH($C543,Products!$A$2:$A$71,0))</f>
        <v>1236</v>
      </c>
      <c r="N543" s="84" t="n">
        <f aca="false">$D543*$M543</f>
        <v>6180</v>
      </c>
      <c r="O543" s="46" t="str">
        <f aca="false">INDEX(Customers!$C$2:$C$101,MATCH($B543,Customers!$A$2:$A$101,0))</f>
        <v>Kota</v>
      </c>
      <c r="P543" s="46" t="str">
        <f aca="false">INDEX(Customers!$F$2:$F$101,MATCH($B543,Customers!$A$2:$A$101,0))</f>
        <v>Female</v>
      </c>
      <c r="Q543" s="46" t="str">
        <f aca="false">INDEX(Customers!$B$2:$B$101,MATCH($B543,Customers!$A$2:$A$101,0))</f>
        <v>Aradhya Batta</v>
      </c>
      <c r="R543" s="46" t="n">
        <f aca="false">MONTH($E543)</f>
        <v>7</v>
      </c>
      <c r="S543" s="46" t="str">
        <f aca="false">INDEX(Lists!$B$2:$B$13,$R543)</f>
        <v>July</v>
      </c>
      <c r="T543" s="46" t="n">
        <f aca="false">HOUR($F543)</f>
        <v>19</v>
      </c>
      <c r="U543" s="46" t="n">
        <f aca="false">WEEKDAY($E543,2)</f>
        <v>5</v>
      </c>
      <c r="V543" s="46" t="str">
        <f aca="false">INDEX(Lists!$F$2:$F$8,$U543)</f>
        <v>Friday</v>
      </c>
      <c r="W543" s="85" t="n">
        <f aca="false">($G543+$H543)-($E543+$F543)</f>
        <v>4.59087962962963</v>
      </c>
      <c r="X543" s="46" t="str">
        <f aca="false">LOOKUP($M543,Lists!$G$2:$G$5,Lists!$H$2:$H$5)</f>
        <v>₹1,000 - 1,499</v>
      </c>
      <c r="Y543" s="46" t="str">
        <f aca="false">LOOKUP($W543,Lists!$I$2:$I$7,Lists!$J$2:$J$7)</f>
        <v>4 - 6 days</v>
      </c>
    </row>
    <row r="544" customFormat="false" ht="15" hidden="false" customHeight="false" outlineLevel="0" collapsed="false">
      <c r="A544" s="7" t="n">
        <v>543</v>
      </c>
      <c r="B544" s="7" t="s">
        <v>183</v>
      </c>
      <c r="C544" s="7" t="n">
        <v>51</v>
      </c>
      <c r="D544" s="7" t="n">
        <v>4</v>
      </c>
      <c r="E544" s="77" t="n">
        <v>44969</v>
      </c>
      <c r="F544" s="78" t="n">
        <v>0.910532407407407</v>
      </c>
      <c r="G544" s="77" t="n">
        <v>44974</v>
      </c>
      <c r="H544" s="78" t="n">
        <v>0.495243055555556</v>
      </c>
      <c r="I544" s="7" t="s">
        <v>551</v>
      </c>
      <c r="J544" s="7" t="s">
        <v>165</v>
      </c>
      <c r="K544" s="79" t="str">
        <f aca="false">INDEX(Products!$B$2:$B$71,MATCH($C544,Products!$A$2:$A$71,0))</f>
        <v>Fugit Set</v>
      </c>
      <c r="L544" s="79" t="str">
        <f aca="false">INDEX(Products!$C$2:$C$71,MATCH($C544,Products!$A$2:$A$71,0))</f>
        <v>Soft Toys</v>
      </c>
      <c r="M544" s="80" t="n">
        <f aca="false">INDEX(Products!$D$2:$D$71,MATCH($C544,Products!$A$2:$A$71,0))</f>
        <v>1084</v>
      </c>
      <c r="N544" s="80" t="n">
        <f aca="false">$D544*$M544</f>
        <v>4336</v>
      </c>
      <c r="O544" s="79" t="str">
        <f aca="false">INDEX(Customers!$C$2:$C$101,MATCH($B544,Customers!$A$2:$A$101,0))</f>
        <v>Bidhannagar</v>
      </c>
      <c r="P544" s="79" t="str">
        <f aca="false">INDEX(Customers!$F$2:$F$101,MATCH($B544,Customers!$A$2:$A$101,0))</f>
        <v>Male</v>
      </c>
      <c r="Q544" s="79" t="str">
        <f aca="false">INDEX(Customers!$B$2:$B$101,MATCH($B544,Customers!$A$2:$A$101,0))</f>
        <v>Abram Sandhu</v>
      </c>
      <c r="R544" s="79" t="n">
        <f aca="false">MONTH($E544)</f>
        <v>2</v>
      </c>
      <c r="S544" s="79" t="str">
        <f aca="false">INDEX(Lists!$B$2:$B$13,$R544)</f>
        <v>February</v>
      </c>
      <c r="T544" s="79" t="n">
        <f aca="false">HOUR($F544)</f>
        <v>21</v>
      </c>
      <c r="U544" s="79" t="n">
        <f aca="false">WEEKDAY($E544,2)</f>
        <v>7</v>
      </c>
      <c r="V544" s="79" t="str">
        <f aca="false">INDEX(Lists!$F$2:$F$8,$U544)</f>
        <v>Sunday</v>
      </c>
      <c r="W544" s="81" t="n">
        <f aca="false">($G544+$H544)-($E544+$F544)</f>
        <v>4.58471064814815</v>
      </c>
      <c r="X544" s="79" t="str">
        <f aca="false">LOOKUP($M544,Lists!$G$2:$G$5,Lists!$H$2:$H$5)</f>
        <v>₹1,000 - 1,499</v>
      </c>
      <c r="Y544" s="79" t="str">
        <f aca="false">LOOKUP($W544,Lists!$I$2:$I$7,Lists!$J$2:$J$7)</f>
        <v>4 - 6 days</v>
      </c>
    </row>
    <row r="545" customFormat="false" ht="15" hidden="false" customHeight="false" outlineLevel="0" collapsed="false">
      <c r="A545" s="2" t="n">
        <v>544</v>
      </c>
      <c r="B545" s="2" t="s">
        <v>198</v>
      </c>
      <c r="C545" s="2" t="n">
        <v>29</v>
      </c>
      <c r="D545" s="2" t="n">
        <v>2</v>
      </c>
      <c r="E545" s="82" t="n">
        <v>44986</v>
      </c>
      <c r="F545" s="83" t="n">
        <v>0.105486111111111</v>
      </c>
      <c r="G545" s="82" t="n">
        <v>44996</v>
      </c>
      <c r="H545" s="83" t="n">
        <v>0.398518518518519</v>
      </c>
      <c r="I545" s="2" t="s">
        <v>211</v>
      </c>
      <c r="J545" s="2" t="s">
        <v>33</v>
      </c>
      <c r="K545" s="46" t="str">
        <f aca="false">INDEX(Products!$B$2:$B$71,MATCH($C545,Products!$A$2:$A$71,0))</f>
        <v>In Set</v>
      </c>
      <c r="L545" s="46" t="str">
        <f aca="false">INDEX(Products!$C$2:$C$71,MATCH($C545,Products!$A$2:$A$71,0))</f>
        <v>Colors</v>
      </c>
      <c r="M545" s="84" t="n">
        <f aca="false">INDEX(Products!$D$2:$D$71,MATCH($C545,Products!$A$2:$A$71,0))</f>
        <v>1252</v>
      </c>
      <c r="N545" s="84" t="n">
        <f aca="false">$D545*$M545</f>
        <v>2504</v>
      </c>
      <c r="O545" s="46" t="str">
        <f aca="false">INDEX(Customers!$C$2:$C$101,MATCH($B545,Customers!$A$2:$A$101,0))</f>
        <v>Sambhal</v>
      </c>
      <c r="P545" s="46" t="str">
        <f aca="false">INDEX(Customers!$F$2:$F$101,MATCH($B545,Customers!$A$2:$A$101,0))</f>
        <v>Male</v>
      </c>
      <c r="Q545" s="46" t="str">
        <f aca="false">INDEX(Customers!$B$2:$B$101,MATCH($B545,Customers!$A$2:$A$101,0))</f>
        <v>Vardaniya Contractor</v>
      </c>
      <c r="R545" s="46" t="n">
        <f aca="false">MONTH($E545)</f>
        <v>3</v>
      </c>
      <c r="S545" s="46" t="str">
        <f aca="false">INDEX(Lists!$B$2:$B$13,$R545)</f>
        <v>March</v>
      </c>
      <c r="T545" s="46" t="n">
        <f aca="false">HOUR($F545)</f>
        <v>2</v>
      </c>
      <c r="U545" s="46" t="n">
        <f aca="false">WEEKDAY($E545,2)</f>
        <v>3</v>
      </c>
      <c r="V545" s="46" t="str">
        <f aca="false">INDEX(Lists!$F$2:$F$8,$U545)</f>
        <v>Wednesday</v>
      </c>
      <c r="W545" s="85" t="n">
        <f aca="false">($G545+$H545)-($E545+$F545)</f>
        <v>10.2930324074074</v>
      </c>
      <c r="X545" s="46" t="str">
        <f aca="false">LOOKUP($M545,Lists!$G$2:$G$5,Lists!$H$2:$H$5)</f>
        <v>₹1,000 - 1,499</v>
      </c>
      <c r="Y545" s="46" t="str">
        <f aca="false">LOOKUP($W545,Lists!$I$2:$I$7,Lists!$J$2:$J$7)</f>
        <v>Over 10 days</v>
      </c>
    </row>
    <row r="546" customFormat="false" ht="15" hidden="false" customHeight="false" outlineLevel="0" collapsed="false">
      <c r="A546" s="7" t="n">
        <v>545</v>
      </c>
      <c r="B546" s="7" t="s">
        <v>347</v>
      </c>
      <c r="C546" s="7" t="n">
        <v>9</v>
      </c>
      <c r="D546" s="7" t="n">
        <v>5</v>
      </c>
      <c r="E546" s="77" t="n">
        <v>45158</v>
      </c>
      <c r="F546" s="78" t="n">
        <v>0.0797685185185185</v>
      </c>
      <c r="G546" s="77" t="n">
        <v>45164</v>
      </c>
      <c r="H546" s="78" t="n">
        <v>0.338414351851852</v>
      </c>
      <c r="I546" s="7" t="s">
        <v>545</v>
      </c>
      <c r="J546" s="7" t="s">
        <v>40</v>
      </c>
      <c r="K546" s="79" t="str">
        <f aca="false">INDEX(Products!$B$2:$B$71,MATCH($C546,Products!$A$2:$A$71,0))</f>
        <v>Aperiam Box</v>
      </c>
      <c r="L546" s="79" t="str">
        <f aca="false">INDEX(Products!$C$2:$C$71,MATCH($C546,Products!$A$2:$A$71,0))</f>
        <v>Colors</v>
      </c>
      <c r="M546" s="80" t="n">
        <f aca="false">INDEX(Products!$D$2:$D$71,MATCH($C546,Products!$A$2:$A$71,0))</f>
        <v>1605</v>
      </c>
      <c r="N546" s="80" t="n">
        <f aca="false">$D546*$M546</f>
        <v>8025</v>
      </c>
      <c r="O546" s="79" t="str">
        <f aca="false">INDEX(Customers!$C$2:$C$101,MATCH($B546,Customers!$A$2:$A$101,0))</f>
        <v>Raurkela Industrial Township</v>
      </c>
      <c r="P546" s="79" t="str">
        <f aca="false">INDEX(Customers!$F$2:$F$101,MATCH($B546,Customers!$A$2:$A$101,0))</f>
        <v>Male</v>
      </c>
      <c r="Q546" s="79" t="str">
        <f aca="false">INDEX(Customers!$B$2:$B$101,MATCH($B546,Customers!$A$2:$A$101,0))</f>
        <v>Aaryahi Sodhi</v>
      </c>
      <c r="R546" s="79" t="n">
        <f aca="false">MONTH($E546)</f>
        <v>8</v>
      </c>
      <c r="S546" s="79" t="str">
        <f aca="false">INDEX(Lists!$B$2:$B$13,$R546)</f>
        <v>August</v>
      </c>
      <c r="T546" s="79" t="n">
        <f aca="false">HOUR($F546)</f>
        <v>1</v>
      </c>
      <c r="U546" s="79" t="n">
        <f aca="false">WEEKDAY($E546,2)</f>
        <v>7</v>
      </c>
      <c r="V546" s="79" t="str">
        <f aca="false">INDEX(Lists!$F$2:$F$8,$U546)</f>
        <v>Sunday</v>
      </c>
      <c r="W546" s="81" t="n">
        <f aca="false">($G546+$H546)-($E546+$F546)</f>
        <v>6.25864583333333</v>
      </c>
      <c r="X546" s="79" t="str">
        <f aca="false">LOOKUP($M546,Lists!$G$2:$G$5,Lists!$H$2:$H$5)</f>
        <v>₹1,500 - 2,000</v>
      </c>
      <c r="Y546" s="79" t="str">
        <f aca="false">LOOKUP($W546,Lists!$I$2:$I$7,Lists!$J$2:$J$7)</f>
        <v>6 - 8 days</v>
      </c>
    </row>
    <row r="547" customFormat="false" ht="15" hidden="false" customHeight="false" outlineLevel="0" collapsed="false">
      <c r="A547" s="2" t="n">
        <v>546</v>
      </c>
      <c r="B547" s="2" t="s">
        <v>294</v>
      </c>
      <c r="C547" s="2" t="n">
        <v>25</v>
      </c>
      <c r="D547" s="2" t="n">
        <v>3</v>
      </c>
      <c r="E547" s="82" t="n">
        <v>44959</v>
      </c>
      <c r="F547" s="83" t="n">
        <v>0.92005787037037</v>
      </c>
      <c r="G547" s="82" t="n">
        <v>44968</v>
      </c>
      <c r="H547" s="83" t="n">
        <v>0.416747685185185</v>
      </c>
      <c r="I547" s="2" t="s">
        <v>495</v>
      </c>
      <c r="J547" s="2" t="s">
        <v>168</v>
      </c>
      <c r="K547" s="46" t="str">
        <f aca="false">INDEX(Products!$B$2:$B$71,MATCH($C547,Products!$A$2:$A$71,0))</f>
        <v>Qui Gift</v>
      </c>
      <c r="L547" s="46" t="str">
        <f aca="false">INDEX(Products!$C$2:$C$71,MATCH($C547,Products!$A$2:$A$71,0))</f>
        <v>Plants</v>
      </c>
      <c r="M547" s="84" t="n">
        <f aca="false">INDEX(Products!$D$2:$D$71,MATCH($C547,Products!$A$2:$A$71,0))</f>
        <v>1202</v>
      </c>
      <c r="N547" s="84" t="n">
        <f aca="false">$D547*$M547</f>
        <v>3606</v>
      </c>
      <c r="O547" s="46" t="str">
        <f aca="false">INDEX(Customers!$C$2:$C$101,MATCH($B547,Customers!$A$2:$A$101,0))</f>
        <v>Srikakulam</v>
      </c>
      <c r="P547" s="46" t="str">
        <f aca="false">INDEX(Customers!$F$2:$F$101,MATCH($B547,Customers!$A$2:$A$101,0))</f>
        <v>Male</v>
      </c>
      <c r="Q547" s="46" t="str">
        <f aca="false">INDEX(Customers!$B$2:$B$101,MATCH($B547,Customers!$A$2:$A$101,0))</f>
        <v>Indrajit Kale</v>
      </c>
      <c r="R547" s="46" t="n">
        <f aca="false">MONTH($E547)</f>
        <v>2</v>
      </c>
      <c r="S547" s="46" t="str">
        <f aca="false">INDEX(Lists!$B$2:$B$13,$R547)</f>
        <v>February</v>
      </c>
      <c r="T547" s="46" t="n">
        <f aca="false">HOUR($F547)</f>
        <v>22</v>
      </c>
      <c r="U547" s="46" t="n">
        <f aca="false">WEEKDAY($E547,2)</f>
        <v>4</v>
      </c>
      <c r="V547" s="46" t="str">
        <f aca="false">INDEX(Lists!$F$2:$F$8,$U547)</f>
        <v>Thursday</v>
      </c>
      <c r="W547" s="85" t="n">
        <f aca="false">($G547+$H547)-($E547+$F547)</f>
        <v>8.49668981481482</v>
      </c>
      <c r="X547" s="46" t="str">
        <f aca="false">LOOKUP($M547,Lists!$G$2:$G$5,Lists!$H$2:$H$5)</f>
        <v>₹1,000 - 1,499</v>
      </c>
      <c r="Y547" s="46" t="str">
        <f aca="false">LOOKUP($W547,Lists!$I$2:$I$7,Lists!$J$2:$J$7)</f>
        <v>8 - 10 days</v>
      </c>
    </row>
    <row r="548" customFormat="false" ht="15" hidden="false" customHeight="false" outlineLevel="0" collapsed="false">
      <c r="A548" s="7" t="n">
        <v>547</v>
      </c>
      <c r="B548" s="7" t="s">
        <v>360</v>
      </c>
      <c r="C548" s="7" t="n">
        <v>30</v>
      </c>
      <c r="D548" s="7" t="n">
        <v>5</v>
      </c>
      <c r="E548" s="77" t="n">
        <v>44936</v>
      </c>
      <c r="F548" s="78" t="n">
        <v>0.104305555555556</v>
      </c>
      <c r="G548" s="77" t="n">
        <v>44945</v>
      </c>
      <c r="H548" s="78" t="n">
        <v>0.581030092592593</v>
      </c>
      <c r="I548" s="7" t="s">
        <v>132</v>
      </c>
      <c r="J548" s="7" t="s">
        <v>168</v>
      </c>
      <c r="K548" s="79" t="str">
        <f aca="false">INDEX(Products!$B$2:$B$71,MATCH($C548,Products!$A$2:$A$71,0))</f>
        <v>Recusandae Pack</v>
      </c>
      <c r="L548" s="79" t="str">
        <f aca="false">INDEX(Products!$C$2:$C$71,MATCH($C548,Products!$A$2:$A$71,0))</f>
        <v>Colors</v>
      </c>
      <c r="M548" s="80" t="n">
        <f aca="false">INDEX(Products!$D$2:$D$71,MATCH($C548,Products!$A$2:$A$71,0))</f>
        <v>751</v>
      </c>
      <c r="N548" s="80" t="n">
        <f aca="false">$D548*$M548</f>
        <v>3755</v>
      </c>
      <c r="O548" s="79" t="str">
        <f aca="false">INDEX(Customers!$C$2:$C$101,MATCH($B548,Customers!$A$2:$A$101,0))</f>
        <v>Khora </v>
      </c>
      <c r="P548" s="79" t="str">
        <f aca="false">INDEX(Customers!$F$2:$F$101,MATCH($B548,Customers!$A$2:$A$101,0))</f>
        <v>Female</v>
      </c>
      <c r="Q548" s="79" t="str">
        <f aca="false">INDEX(Customers!$B$2:$B$101,MATCH($B548,Customers!$A$2:$A$101,0))</f>
        <v>Shalv Kulkarni</v>
      </c>
      <c r="R548" s="79" t="n">
        <f aca="false">MONTH($E548)</f>
        <v>1</v>
      </c>
      <c r="S548" s="79" t="str">
        <f aca="false">INDEX(Lists!$B$2:$B$13,$R548)</f>
        <v>January</v>
      </c>
      <c r="T548" s="79" t="n">
        <f aca="false">HOUR($F548)</f>
        <v>2</v>
      </c>
      <c r="U548" s="79" t="n">
        <f aca="false">WEEKDAY($E548,2)</f>
        <v>2</v>
      </c>
      <c r="V548" s="79" t="str">
        <f aca="false">INDEX(Lists!$F$2:$F$8,$U548)</f>
        <v>Tuesday</v>
      </c>
      <c r="W548" s="81" t="n">
        <f aca="false">($G548+$H548)-($E548+$F548)</f>
        <v>9.47672453703704</v>
      </c>
      <c r="X548" s="79" t="str">
        <f aca="false">LOOKUP($M548,Lists!$G$2:$G$5,Lists!$H$2:$H$5)</f>
        <v>₹500 - 999</v>
      </c>
      <c r="Y548" s="79" t="str">
        <f aca="false">LOOKUP($W548,Lists!$I$2:$I$7,Lists!$J$2:$J$7)</f>
        <v>8 - 10 days</v>
      </c>
    </row>
    <row r="549" customFormat="false" ht="15" hidden="false" customHeight="false" outlineLevel="0" collapsed="false">
      <c r="A549" s="2" t="n">
        <v>548</v>
      </c>
      <c r="B549" s="2" t="s">
        <v>157</v>
      </c>
      <c r="C549" s="2" t="n">
        <v>25</v>
      </c>
      <c r="D549" s="2" t="n">
        <v>2</v>
      </c>
      <c r="E549" s="82" t="n">
        <v>44978</v>
      </c>
      <c r="F549" s="83" t="n">
        <v>0.522800925925926</v>
      </c>
      <c r="G549" s="82" t="n">
        <v>44979</v>
      </c>
      <c r="H549" s="83" t="n">
        <v>0.824814814814815</v>
      </c>
      <c r="I549" s="2" t="s">
        <v>394</v>
      </c>
      <c r="J549" s="2" t="s">
        <v>168</v>
      </c>
      <c r="K549" s="46" t="str">
        <f aca="false">INDEX(Products!$B$2:$B$71,MATCH($C549,Products!$A$2:$A$71,0))</f>
        <v>Qui Gift</v>
      </c>
      <c r="L549" s="46" t="str">
        <f aca="false">INDEX(Products!$C$2:$C$71,MATCH($C549,Products!$A$2:$A$71,0))</f>
        <v>Plants</v>
      </c>
      <c r="M549" s="84" t="n">
        <f aca="false">INDEX(Products!$D$2:$D$71,MATCH($C549,Products!$A$2:$A$71,0))</f>
        <v>1202</v>
      </c>
      <c r="N549" s="84" t="n">
        <f aca="false">$D549*$M549</f>
        <v>2404</v>
      </c>
      <c r="O549" s="46" t="str">
        <f aca="false">INDEX(Customers!$C$2:$C$101,MATCH($B549,Customers!$A$2:$A$101,0))</f>
        <v>Bilaspur</v>
      </c>
      <c r="P549" s="46" t="str">
        <f aca="false">INDEX(Customers!$F$2:$F$101,MATCH($B549,Customers!$A$2:$A$101,0))</f>
        <v>Male</v>
      </c>
      <c r="Q549" s="46" t="str">
        <f aca="false">INDEX(Customers!$B$2:$B$101,MATCH($B549,Customers!$A$2:$A$101,0))</f>
        <v>Onkar Mangat</v>
      </c>
      <c r="R549" s="46" t="n">
        <f aca="false">MONTH($E549)</f>
        <v>2</v>
      </c>
      <c r="S549" s="46" t="str">
        <f aca="false">INDEX(Lists!$B$2:$B$13,$R549)</f>
        <v>February</v>
      </c>
      <c r="T549" s="46" t="n">
        <f aca="false">HOUR($F549)</f>
        <v>12</v>
      </c>
      <c r="U549" s="46" t="n">
        <f aca="false">WEEKDAY($E549,2)</f>
        <v>2</v>
      </c>
      <c r="V549" s="46" t="str">
        <f aca="false">INDEX(Lists!$F$2:$F$8,$U549)</f>
        <v>Tuesday</v>
      </c>
      <c r="W549" s="85" t="n">
        <f aca="false">($G549+$H549)-($E549+$F549)</f>
        <v>1.30201388888889</v>
      </c>
      <c r="X549" s="46" t="str">
        <f aca="false">LOOKUP($M549,Lists!$G$2:$G$5,Lists!$H$2:$H$5)</f>
        <v>₹1,000 - 1,499</v>
      </c>
      <c r="Y549" s="46" t="str">
        <f aca="false">LOOKUP($W549,Lists!$I$2:$I$7,Lists!$J$2:$J$7)</f>
        <v>0 - 2 days</v>
      </c>
    </row>
    <row r="550" customFormat="false" ht="15" hidden="false" customHeight="false" outlineLevel="0" collapsed="false">
      <c r="A550" s="7" t="n">
        <v>549</v>
      </c>
      <c r="B550" s="7" t="s">
        <v>178</v>
      </c>
      <c r="C550" s="7" t="n">
        <v>64</v>
      </c>
      <c r="D550" s="7" t="n">
        <v>1</v>
      </c>
      <c r="E550" s="77" t="n">
        <v>45160</v>
      </c>
      <c r="F550" s="78" t="n">
        <v>0.812303240740741</v>
      </c>
      <c r="G550" s="77" t="n">
        <v>45170</v>
      </c>
      <c r="H550" s="78" t="n">
        <v>0.103587962962963</v>
      </c>
      <c r="I550" s="7" t="s">
        <v>362</v>
      </c>
      <c r="J550" s="7" t="s">
        <v>40</v>
      </c>
      <c r="K550" s="79" t="str">
        <f aca="false">INDEX(Products!$B$2:$B$71,MATCH($C550,Products!$A$2:$A$71,0))</f>
        <v>Nostrum Box</v>
      </c>
      <c r="L550" s="79" t="str">
        <f aca="false">INDEX(Products!$C$2:$C$71,MATCH($C550,Products!$A$2:$A$71,0))</f>
        <v>Soft Toys</v>
      </c>
      <c r="M550" s="80" t="n">
        <f aca="false">INDEX(Products!$D$2:$D$71,MATCH($C550,Products!$A$2:$A$71,0))</f>
        <v>1878</v>
      </c>
      <c r="N550" s="80" t="n">
        <f aca="false">$D550*$M550</f>
        <v>1878</v>
      </c>
      <c r="O550" s="79" t="str">
        <f aca="false">INDEX(Customers!$C$2:$C$101,MATCH($B550,Customers!$A$2:$A$101,0))</f>
        <v>Mehsana</v>
      </c>
      <c r="P550" s="79" t="str">
        <f aca="false">INDEX(Customers!$F$2:$F$101,MATCH($B550,Customers!$A$2:$A$101,0))</f>
        <v>Male</v>
      </c>
      <c r="Q550" s="79" t="str">
        <f aca="false">INDEX(Customers!$B$2:$B$101,MATCH($B550,Customers!$A$2:$A$101,0))</f>
        <v>Siya Talwar</v>
      </c>
      <c r="R550" s="79" t="n">
        <f aca="false">MONTH($E550)</f>
        <v>8</v>
      </c>
      <c r="S550" s="79" t="str">
        <f aca="false">INDEX(Lists!$B$2:$B$13,$R550)</f>
        <v>August</v>
      </c>
      <c r="T550" s="79" t="n">
        <f aca="false">HOUR($F550)</f>
        <v>19</v>
      </c>
      <c r="U550" s="79" t="n">
        <f aca="false">WEEKDAY($E550,2)</f>
        <v>2</v>
      </c>
      <c r="V550" s="79" t="str">
        <f aca="false">INDEX(Lists!$F$2:$F$8,$U550)</f>
        <v>Tuesday</v>
      </c>
      <c r="W550" s="81" t="n">
        <f aca="false">($G550+$H550)-($E550+$F550)</f>
        <v>9.29128472222222</v>
      </c>
      <c r="X550" s="79" t="str">
        <f aca="false">LOOKUP($M550,Lists!$G$2:$G$5,Lists!$H$2:$H$5)</f>
        <v>₹1,500 - 2,000</v>
      </c>
      <c r="Y550" s="79" t="str">
        <f aca="false">LOOKUP($W550,Lists!$I$2:$I$7,Lists!$J$2:$J$7)</f>
        <v>8 - 10 days</v>
      </c>
    </row>
    <row r="551" customFormat="false" ht="15" hidden="false" customHeight="false" outlineLevel="0" collapsed="false">
      <c r="A551" s="2" t="n">
        <v>550</v>
      </c>
      <c r="B551" s="2" t="s">
        <v>183</v>
      </c>
      <c r="C551" s="2" t="n">
        <v>29</v>
      </c>
      <c r="D551" s="2" t="n">
        <v>5</v>
      </c>
      <c r="E551" s="82" t="n">
        <v>44984</v>
      </c>
      <c r="F551" s="83" t="n">
        <v>0.81125</v>
      </c>
      <c r="G551" s="82" t="n">
        <v>44990</v>
      </c>
      <c r="H551" s="83" t="n">
        <v>0.710868055555556</v>
      </c>
      <c r="I551" s="2" t="s">
        <v>223</v>
      </c>
      <c r="J551" s="2" t="s">
        <v>33</v>
      </c>
      <c r="K551" s="46" t="str">
        <f aca="false">INDEX(Products!$B$2:$B$71,MATCH($C551,Products!$A$2:$A$71,0))</f>
        <v>In Set</v>
      </c>
      <c r="L551" s="46" t="str">
        <f aca="false">INDEX(Products!$C$2:$C$71,MATCH($C551,Products!$A$2:$A$71,0))</f>
        <v>Colors</v>
      </c>
      <c r="M551" s="84" t="n">
        <f aca="false">INDEX(Products!$D$2:$D$71,MATCH($C551,Products!$A$2:$A$71,0))</f>
        <v>1252</v>
      </c>
      <c r="N551" s="84" t="n">
        <f aca="false">$D551*$M551</f>
        <v>6260</v>
      </c>
      <c r="O551" s="46" t="str">
        <f aca="false">INDEX(Customers!$C$2:$C$101,MATCH($B551,Customers!$A$2:$A$101,0))</f>
        <v>Bidhannagar</v>
      </c>
      <c r="P551" s="46" t="str">
        <f aca="false">INDEX(Customers!$F$2:$F$101,MATCH($B551,Customers!$A$2:$A$101,0))</f>
        <v>Male</v>
      </c>
      <c r="Q551" s="46" t="str">
        <f aca="false">INDEX(Customers!$B$2:$B$101,MATCH($B551,Customers!$A$2:$A$101,0))</f>
        <v>Abram Sandhu</v>
      </c>
      <c r="R551" s="46" t="n">
        <f aca="false">MONTH($E551)</f>
        <v>2</v>
      </c>
      <c r="S551" s="46" t="str">
        <f aca="false">INDEX(Lists!$B$2:$B$13,$R551)</f>
        <v>February</v>
      </c>
      <c r="T551" s="46" t="n">
        <f aca="false">HOUR($F551)</f>
        <v>19</v>
      </c>
      <c r="U551" s="46" t="n">
        <f aca="false">WEEKDAY($E551,2)</f>
        <v>1</v>
      </c>
      <c r="V551" s="46" t="str">
        <f aca="false">INDEX(Lists!$F$2:$F$8,$U551)</f>
        <v>Monday</v>
      </c>
      <c r="W551" s="85" t="n">
        <f aca="false">($G551+$H551)-($E551+$F551)</f>
        <v>5.89961805555556</v>
      </c>
      <c r="X551" s="46" t="str">
        <f aca="false">LOOKUP($M551,Lists!$G$2:$G$5,Lists!$H$2:$H$5)</f>
        <v>₹1,000 - 1,499</v>
      </c>
      <c r="Y551" s="46" t="str">
        <f aca="false">LOOKUP($W551,Lists!$I$2:$I$7,Lists!$J$2:$J$7)</f>
        <v>4 - 6 days</v>
      </c>
    </row>
    <row r="552" customFormat="false" ht="15" hidden="false" customHeight="false" outlineLevel="0" collapsed="false">
      <c r="A552" s="7" t="n">
        <v>551</v>
      </c>
      <c r="B552" s="7" t="s">
        <v>360</v>
      </c>
      <c r="C552" s="7" t="n">
        <v>67</v>
      </c>
      <c r="D552" s="7" t="n">
        <v>1</v>
      </c>
      <c r="E552" s="77" t="n">
        <v>45035</v>
      </c>
      <c r="F552" s="78" t="n">
        <v>0.863680555555556</v>
      </c>
      <c r="G552" s="77" t="n">
        <v>45039</v>
      </c>
      <c r="H552" s="78" t="n">
        <v>0.642407407407407</v>
      </c>
      <c r="I552" s="7" t="s">
        <v>470</v>
      </c>
      <c r="J552" s="7" t="s">
        <v>168</v>
      </c>
      <c r="K552" s="79" t="str">
        <f aca="false">INDEX(Products!$B$2:$B$71,MATCH($C552,Products!$A$2:$A$71,0))</f>
        <v>Maiores Box</v>
      </c>
      <c r="L552" s="79" t="str">
        <f aca="false">INDEX(Products!$C$2:$C$71,MATCH($C552,Products!$A$2:$A$71,0))</f>
        <v>Raksha Bandhan</v>
      </c>
      <c r="M552" s="80" t="n">
        <f aca="false">INDEX(Products!$D$2:$D$71,MATCH($C552,Products!$A$2:$A$71,0))</f>
        <v>1374</v>
      </c>
      <c r="N552" s="80" t="n">
        <f aca="false">$D552*$M552</f>
        <v>1374</v>
      </c>
      <c r="O552" s="79" t="str">
        <f aca="false">INDEX(Customers!$C$2:$C$101,MATCH($B552,Customers!$A$2:$A$101,0))</f>
        <v>Khora </v>
      </c>
      <c r="P552" s="79" t="str">
        <f aca="false">INDEX(Customers!$F$2:$F$101,MATCH($B552,Customers!$A$2:$A$101,0))</f>
        <v>Female</v>
      </c>
      <c r="Q552" s="79" t="str">
        <f aca="false">INDEX(Customers!$B$2:$B$101,MATCH($B552,Customers!$A$2:$A$101,0))</f>
        <v>Shalv Kulkarni</v>
      </c>
      <c r="R552" s="79" t="n">
        <f aca="false">MONTH($E552)</f>
        <v>4</v>
      </c>
      <c r="S552" s="79" t="str">
        <f aca="false">INDEX(Lists!$B$2:$B$13,$R552)</f>
        <v>April</v>
      </c>
      <c r="T552" s="79" t="n">
        <f aca="false">HOUR($F552)</f>
        <v>20</v>
      </c>
      <c r="U552" s="79" t="n">
        <f aca="false">WEEKDAY($E552,2)</f>
        <v>3</v>
      </c>
      <c r="V552" s="79" t="str">
        <f aca="false">INDEX(Lists!$F$2:$F$8,$U552)</f>
        <v>Wednesday</v>
      </c>
      <c r="W552" s="81" t="n">
        <f aca="false">($G552+$H552)-($E552+$F552)</f>
        <v>3.77872685185185</v>
      </c>
      <c r="X552" s="79" t="str">
        <f aca="false">LOOKUP($M552,Lists!$G$2:$G$5,Lists!$H$2:$H$5)</f>
        <v>₹1,000 - 1,499</v>
      </c>
      <c r="Y552" s="79" t="str">
        <f aca="false">LOOKUP($W552,Lists!$I$2:$I$7,Lists!$J$2:$J$7)</f>
        <v>2 - 4 days</v>
      </c>
    </row>
    <row r="553" customFormat="false" ht="15" hidden="false" customHeight="false" outlineLevel="0" collapsed="false">
      <c r="A553" s="2" t="n">
        <v>552</v>
      </c>
      <c r="B553" s="2" t="s">
        <v>294</v>
      </c>
      <c r="C553" s="2" t="n">
        <v>31</v>
      </c>
      <c r="D553" s="2" t="n">
        <v>3</v>
      </c>
      <c r="E553" s="82" t="n">
        <v>45056</v>
      </c>
      <c r="F553" s="83" t="n">
        <v>0.791331018518519</v>
      </c>
      <c r="G553" s="82" t="n">
        <v>45057</v>
      </c>
      <c r="H553" s="83" t="n">
        <v>0.714664351851852</v>
      </c>
      <c r="I553" s="2" t="s">
        <v>585</v>
      </c>
      <c r="J553" s="2" t="s">
        <v>165</v>
      </c>
      <c r="K553" s="46" t="str">
        <f aca="false">INDEX(Products!$B$2:$B$71,MATCH($C553,Products!$A$2:$A$71,0))</f>
        <v>Nihil Box</v>
      </c>
      <c r="L553" s="46" t="str">
        <f aca="false">INDEX(Products!$C$2:$C$71,MATCH($C553,Products!$A$2:$A$71,0))</f>
        <v>Colors</v>
      </c>
      <c r="M553" s="84" t="n">
        <f aca="false">INDEX(Products!$D$2:$D$71,MATCH($C553,Products!$A$2:$A$71,0))</f>
        <v>1804</v>
      </c>
      <c r="N553" s="84" t="n">
        <f aca="false">$D553*$M553</f>
        <v>5412</v>
      </c>
      <c r="O553" s="46" t="str">
        <f aca="false">INDEX(Customers!$C$2:$C$101,MATCH($B553,Customers!$A$2:$A$101,0))</f>
        <v>Srikakulam</v>
      </c>
      <c r="P553" s="46" t="str">
        <f aca="false">INDEX(Customers!$F$2:$F$101,MATCH($B553,Customers!$A$2:$A$101,0))</f>
        <v>Male</v>
      </c>
      <c r="Q553" s="46" t="str">
        <f aca="false">INDEX(Customers!$B$2:$B$101,MATCH($B553,Customers!$A$2:$A$101,0))</f>
        <v>Indrajit Kale</v>
      </c>
      <c r="R553" s="46" t="n">
        <f aca="false">MONTH($E553)</f>
        <v>5</v>
      </c>
      <c r="S553" s="46" t="str">
        <f aca="false">INDEX(Lists!$B$2:$B$13,$R553)</f>
        <v>May</v>
      </c>
      <c r="T553" s="46" t="n">
        <f aca="false">HOUR($F553)</f>
        <v>18</v>
      </c>
      <c r="U553" s="46" t="n">
        <f aca="false">WEEKDAY($E553,2)</f>
        <v>3</v>
      </c>
      <c r="V553" s="46" t="str">
        <f aca="false">INDEX(Lists!$F$2:$F$8,$U553)</f>
        <v>Wednesday</v>
      </c>
      <c r="W553" s="85" t="n">
        <f aca="false">($G553+$H553)-($E553+$F553)</f>
        <v>0.923333333333333</v>
      </c>
      <c r="X553" s="46" t="str">
        <f aca="false">LOOKUP($M553,Lists!$G$2:$G$5,Lists!$H$2:$H$5)</f>
        <v>₹1,500 - 2,000</v>
      </c>
      <c r="Y553" s="46" t="str">
        <f aca="false">LOOKUP($W553,Lists!$I$2:$I$7,Lists!$J$2:$J$7)</f>
        <v>0 - 2 days</v>
      </c>
    </row>
    <row r="554" customFormat="false" ht="15" hidden="false" customHeight="false" outlineLevel="0" collapsed="false">
      <c r="A554" s="7" t="n">
        <v>553</v>
      </c>
      <c r="B554" s="7" t="s">
        <v>350</v>
      </c>
      <c r="C554" s="7" t="n">
        <v>39</v>
      </c>
      <c r="D554" s="7" t="n">
        <v>2</v>
      </c>
      <c r="E554" s="77" t="n">
        <v>45160</v>
      </c>
      <c r="F554" s="78" t="n">
        <v>0.0574189814814815</v>
      </c>
      <c r="G554" s="77" t="n">
        <v>45164</v>
      </c>
      <c r="H554" s="78" t="n">
        <v>0.321840277777778</v>
      </c>
      <c r="I554" s="7" t="s">
        <v>156</v>
      </c>
      <c r="J554" s="7" t="s">
        <v>165</v>
      </c>
      <c r="K554" s="79" t="str">
        <f aca="false">INDEX(Products!$B$2:$B$71,MATCH($C554,Products!$A$2:$A$71,0))</f>
        <v>Voluptate Set</v>
      </c>
      <c r="L554" s="79" t="str">
        <f aca="false">INDEX(Products!$C$2:$C$71,MATCH($C554,Products!$A$2:$A$71,0))</f>
        <v>Mugs</v>
      </c>
      <c r="M554" s="80" t="n">
        <f aca="false">INDEX(Products!$D$2:$D$71,MATCH($C554,Products!$A$2:$A$71,0))</f>
        <v>387</v>
      </c>
      <c r="N554" s="80" t="n">
        <f aca="false">$D554*$M554</f>
        <v>774</v>
      </c>
      <c r="O554" s="79" t="str">
        <f aca="false">INDEX(Customers!$C$2:$C$101,MATCH($B554,Customers!$A$2:$A$101,0))</f>
        <v>Tiruchirappalli</v>
      </c>
      <c r="P554" s="79" t="str">
        <f aca="false">INDEX(Customers!$F$2:$F$101,MATCH($B554,Customers!$A$2:$A$101,0))</f>
        <v>Male</v>
      </c>
      <c r="Q554" s="79" t="str">
        <f aca="false">INDEX(Customers!$B$2:$B$101,MATCH($B554,Customers!$A$2:$A$101,0))</f>
        <v>Anahita Shankar</v>
      </c>
      <c r="R554" s="79" t="n">
        <f aca="false">MONTH($E554)</f>
        <v>8</v>
      </c>
      <c r="S554" s="79" t="str">
        <f aca="false">INDEX(Lists!$B$2:$B$13,$R554)</f>
        <v>August</v>
      </c>
      <c r="T554" s="79" t="n">
        <f aca="false">HOUR($F554)</f>
        <v>1</v>
      </c>
      <c r="U554" s="79" t="n">
        <f aca="false">WEEKDAY($E554,2)</f>
        <v>2</v>
      </c>
      <c r="V554" s="79" t="str">
        <f aca="false">INDEX(Lists!$F$2:$F$8,$U554)</f>
        <v>Tuesday</v>
      </c>
      <c r="W554" s="81" t="n">
        <f aca="false">($G554+$H554)-($E554+$F554)</f>
        <v>4.2644212962963</v>
      </c>
      <c r="X554" s="79" t="str">
        <f aca="false">LOOKUP($M554,Lists!$G$2:$G$5,Lists!$H$2:$H$5)</f>
        <v>₹0 - 499</v>
      </c>
      <c r="Y554" s="79" t="str">
        <f aca="false">LOOKUP($W554,Lists!$I$2:$I$7,Lists!$J$2:$J$7)</f>
        <v>4 - 6 days</v>
      </c>
    </row>
    <row r="555" customFormat="false" ht="15" hidden="false" customHeight="false" outlineLevel="0" collapsed="false">
      <c r="A555" s="2" t="n">
        <v>554</v>
      </c>
      <c r="B555" s="2" t="s">
        <v>239</v>
      </c>
      <c r="C555" s="2" t="n">
        <v>29</v>
      </c>
      <c r="D555" s="2" t="n">
        <v>4</v>
      </c>
      <c r="E555" s="82" t="n">
        <v>44985</v>
      </c>
      <c r="F555" s="83" t="n">
        <v>0.850775462962963</v>
      </c>
      <c r="G555" s="82" t="n">
        <v>44988</v>
      </c>
      <c r="H555" s="83" t="n">
        <v>0.700706018518519</v>
      </c>
      <c r="I555" s="2" t="s">
        <v>556</v>
      </c>
      <c r="J555" s="2" t="s">
        <v>33</v>
      </c>
      <c r="K555" s="46" t="str">
        <f aca="false">INDEX(Products!$B$2:$B$71,MATCH($C555,Products!$A$2:$A$71,0))</f>
        <v>In Set</v>
      </c>
      <c r="L555" s="46" t="str">
        <f aca="false">INDEX(Products!$C$2:$C$71,MATCH($C555,Products!$A$2:$A$71,0))</f>
        <v>Colors</v>
      </c>
      <c r="M555" s="84" t="n">
        <f aca="false">INDEX(Products!$D$2:$D$71,MATCH($C555,Products!$A$2:$A$71,0))</f>
        <v>1252</v>
      </c>
      <c r="N555" s="84" t="n">
        <f aca="false">$D555*$M555</f>
        <v>5008</v>
      </c>
      <c r="O555" s="46" t="str">
        <f aca="false">INDEX(Customers!$C$2:$C$101,MATCH($B555,Customers!$A$2:$A$101,0))</f>
        <v>Maheshtala</v>
      </c>
      <c r="P555" s="46" t="str">
        <f aca="false">INDEX(Customers!$F$2:$F$101,MATCH($B555,Customers!$A$2:$A$101,0))</f>
        <v>Female</v>
      </c>
      <c r="Q555" s="46" t="str">
        <f aca="false">INDEX(Customers!$B$2:$B$101,MATCH($B555,Customers!$A$2:$A$101,0))</f>
        <v>Divit Mahajan</v>
      </c>
      <c r="R555" s="46" t="n">
        <f aca="false">MONTH($E555)</f>
        <v>2</v>
      </c>
      <c r="S555" s="46" t="str">
        <f aca="false">INDEX(Lists!$B$2:$B$13,$R555)</f>
        <v>February</v>
      </c>
      <c r="T555" s="46" t="n">
        <f aca="false">HOUR($F555)</f>
        <v>20</v>
      </c>
      <c r="U555" s="46" t="n">
        <f aca="false">WEEKDAY($E555,2)</f>
        <v>2</v>
      </c>
      <c r="V555" s="46" t="str">
        <f aca="false">INDEX(Lists!$F$2:$F$8,$U555)</f>
        <v>Tuesday</v>
      </c>
      <c r="W555" s="85" t="n">
        <f aca="false">($G555+$H555)-($E555+$F555)</f>
        <v>2.84993055555556</v>
      </c>
      <c r="X555" s="46" t="str">
        <f aca="false">LOOKUP($M555,Lists!$G$2:$G$5,Lists!$H$2:$H$5)</f>
        <v>₹1,000 - 1,499</v>
      </c>
      <c r="Y555" s="46" t="str">
        <f aca="false">LOOKUP($W555,Lists!$I$2:$I$7,Lists!$J$2:$J$7)</f>
        <v>2 - 4 days</v>
      </c>
    </row>
    <row r="556" customFormat="false" ht="15" hidden="false" customHeight="false" outlineLevel="0" collapsed="false">
      <c r="A556" s="7" t="n">
        <v>555</v>
      </c>
      <c r="B556" s="7" t="s">
        <v>392</v>
      </c>
      <c r="C556" s="7" t="n">
        <v>56</v>
      </c>
      <c r="D556" s="7" t="n">
        <v>4</v>
      </c>
      <c r="E556" s="77" t="n">
        <v>45105</v>
      </c>
      <c r="F556" s="78" t="n">
        <v>0.503969907407407</v>
      </c>
      <c r="G556" s="77" t="n">
        <v>45107</v>
      </c>
      <c r="H556" s="78" t="n">
        <v>0.74875</v>
      </c>
      <c r="I556" s="7" t="s">
        <v>545</v>
      </c>
      <c r="J556" s="7" t="s">
        <v>168</v>
      </c>
      <c r="K556" s="79" t="str">
        <f aca="false">INDEX(Products!$B$2:$B$71,MATCH($C556,Products!$A$2:$A$71,0))</f>
        <v>Quia Gift</v>
      </c>
      <c r="L556" s="79" t="str">
        <f aca="false">INDEX(Products!$C$2:$C$71,MATCH($C556,Products!$A$2:$A$71,0))</f>
        <v>Raksha Bandhan</v>
      </c>
      <c r="M556" s="80" t="n">
        <f aca="false">INDEX(Products!$D$2:$D$71,MATCH($C556,Products!$A$2:$A$71,0))</f>
        <v>1272</v>
      </c>
      <c r="N556" s="80" t="n">
        <f aca="false">$D556*$M556</f>
        <v>5088</v>
      </c>
      <c r="O556" s="79" t="str">
        <f aca="false">INDEX(Customers!$C$2:$C$101,MATCH($B556,Customers!$A$2:$A$101,0))</f>
        <v>Phagwara</v>
      </c>
      <c r="P556" s="79" t="str">
        <f aca="false">INDEX(Customers!$F$2:$F$101,MATCH($B556,Customers!$A$2:$A$101,0))</f>
        <v>Female</v>
      </c>
      <c r="Q556" s="79" t="str">
        <f aca="false">INDEX(Customers!$B$2:$B$101,MATCH($B556,Customers!$A$2:$A$101,0))</f>
        <v>Pranay Chaudhary</v>
      </c>
      <c r="R556" s="79" t="n">
        <f aca="false">MONTH($E556)</f>
        <v>6</v>
      </c>
      <c r="S556" s="79" t="str">
        <f aca="false">INDEX(Lists!$B$2:$B$13,$R556)</f>
        <v>June</v>
      </c>
      <c r="T556" s="79" t="n">
        <f aca="false">HOUR($F556)</f>
        <v>12</v>
      </c>
      <c r="U556" s="79" t="n">
        <f aca="false">WEEKDAY($E556,2)</f>
        <v>3</v>
      </c>
      <c r="V556" s="79" t="str">
        <f aca="false">INDEX(Lists!$F$2:$F$8,$U556)</f>
        <v>Wednesday</v>
      </c>
      <c r="W556" s="81" t="n">
        <f aca="false">($G556+$H556)-($E556+$F556)</f>
        <v>2.24478009259259</v>
      </c>
      <c r="X556" s="79" t="str">
        <f aca="false">LOOKUP($M556,Lists!$G$2:$G$5,Lists!$H$2:$H$5)</f>
        <v>₹1,000 - 1,499</v>
      </c>
      <c r="Y556" s="79" t="str">
        <f aca="false">LOOKUP($W556,Lists!$I$2:$I$7,Lists!$J$2:$J$7)</f>
        <v>2 - 4 days</v>
      </c>
    </row>
    <row r="557" customFormat="false" ht="15" hidden="false" customHeight="false" outlineLevel="0" collapsed="false">
      <c r="A557" s="2" t="n">
        <v>556</v>
      </c>
      <c r="B557" s="2" t="s">
        <v>319</v>
      </c>
      <c r="C557" s="2" t="n">
        <v>17</v>
      </c>
      <c r="D557" s="2" t="n">
        <v>1</v>
      </c>
      <c r="E557" s="82" t="n">
        <v>45273</v>
      </c>
      <c r="F557" s="83" t="n">
        <v>0.648865740740741</v>
      </c>
      <c r="G557" s="82" t="n">
        <v>45281</v>
      </c>
      <c r="H557" s="83" t="n">
        <v>0.659583333333333</v>
      </c>
      <c r="I557" s="2" t="s">
        <v>315</v>
      </c>
      <c r="J557" s="2" t="s">
        <v>168</v>
      </c>
      <c r="K557" s="46" t="str">
        <f aca="false">INDEX(Products!$B$2:$B$71,MATCH($C557,Products!$A$2:$A$71,0))</f>
        <v>Delectus Gift</v>
      </c>
      <c r="L557" s="46" t="str">
        <f aca="false">INDEX(Products!$C$2:$C$71,MATCH($C557,Products!$A$2:$A$71,0))</f>
        <v>Soft Toys</v>
      </c>
      <c r="M557" s="84" t="n">
        <f aca="false">INDEX(Products!$D$2:$D$71,MATCH($C557,Products!$A$2:$A$71,0))</f>
        <v>1899</v>
      </c>
      <c r="N557" s="84" t="n">
        <f aca="false">$D557*$M557</f>
        <v>1899</v>
      </c>
      <c r="O557" s="46" t="str">
        <f aca="false">INDEX(Customers!$C$2:$C$101,MATCH($B557,Customers!$A$2:$A$101,0))</f>
        <v>Parbhani</v>
      </c>
      <c r="P557" s="46" t="str">
        <f aca="false">INDEX(Customers!$F$2:$F$101,MATCH($B557,Customers!$A$2:$A$101,0))</f>
        <v>Male</v>
      </c>
      <c r="Q557" s="46" t="str">
        <f aca="false">INDEX(Customers!$B$2:$B$101,MATCH($B557,Customers!$A$2:$A$101,0))</f>
        <v>Zeeshan Tailor</v>
      </c>
      <c r="R557" s="46" t="n">
        <f aca="false">MONTH($E557)</f>
        <v>12</v>
      </c>
      <c r="S557" s="46" t="str">
        <f aca="false">INDEX(Lists!$B$2:$B$13,$R557)</f>
        <v>December</v>
      </c>
      <c r="T557" s="46" t="n">
        <f aca="false">HOUR($F557)</f>
        <v>15</v>
      </c>
      <c r="U557" s="46" t="n">
        <f aca="false">WEEKDAY($E557,2)</f>
        <v>3</v>
      </c>
      <c r="V557" s="46" t="str">
        <f aca="false">INDEX(Lists!$F$2:$F$8,$U557)</f>
        <v>Wednesday</v>
      </c>
      <c r="W557" s="85" t="n">
        <f aca="false">($G557+$H557)-($E557+$F557)</f>
        <v>8.01071759259259</v>
      </c>
      <c r="X557" s="46" t="str">
        <f aca="false">LOOKUP($M557,Lists!$G$2:$G$5,Lists!$H$2:$H$5)</f>
        <v>₹1,500 - 2,000</v>
      </c>
      <c r="Y557" s="46" t="str">
        <f aca="false">LOOKUP($W557,Lists!$I$2:$I$7,Lists!$J$2:$J$7)</f>
        <v>8 - 10 days</v>
      </c>
    </row>
    <row r="558" customFormat="false" ht="15" hidden="false" customHeight="false" outlineLevel="0" collapsed="false">
      <c r="A558" s="7" t="n">
        <v>557</v>
      </c>
      <c r="B558" s="7" t="s">
        <v>221</v>
      </c>
      <c r="C558" s="7" t="n">
        <v>47</v>
      </c>
      <c r="D558" s="7" t="n">
        <v>3</v>
      </c>
      <c r="E558" s="77" t="n">
        <v>44986</v>
      </c>
      <c r="F558" s="78" t="n">
        <v>0.125486111111111</v>
      </c>
      <c r="G558" s="77" t="n">
        <v>44993</v>
      </c>
      <c r="H558" s="78" t="n">
        <v>0.0907291666666667</v>
      </c>
      <c r="I558" s="7" t="s">
        <v>453</v>
      </c>
      <c r="J558" s="7" t="s">
        <v>33</v>
      </c>
      <c r="K558" s="79" t="str">
        <f aca="false">INDEX(Products!$B$2:$B$71,MATCH($C558,Products!$A$2:$A$71,0))</f>
        <v>Harum Pack</v>
      </c>
      <c r="L558" s="79" t="str">
        <f aca="false">INDEX(Products!$C$2:$C$71,MATCH($C558,Products!$A$2:$A$71,0))</f>
        <v>Colors</v>
      </c>
      <c r="M558" s="80" t="n">
        <f aca="false">INDEX(Products!$D$2:$D$71,MATCH($C558,Products!$A$2:$A$71,0))</f>
        <v>1638</v>
      </c>
      <c r="N558" s="80" t="n">
        <f aca="false">$D558*$M558</f>
        <v>4914</v>
      </c>
      <c r="O558" s="79" t="str">
        <f aca="false">INDEX(Customers!$C$2:$C$101,MATCH($B558,Customers!$A$2:$A$101,0))</f>
        <v>Kamarhati</v>
      </c>
      <c r="P558" s="79" t="str">
        <f aca="false">INDEX(Customers!$F$2:$F$101,MATCH($B558,Customers!$A$2:$A$101,0))</f>
        <v>Male</v>
      </c>
      <c r="Q558" s="79" t="str">
        <f aca="false">INDEX(Customers!$B$2:$B$101,MATCH($B558,Customers!$A$2:$A$101,0))</f>
        <v>Kaira Bahl</v>
      </c>
      <c r="R558" s="79" t="n">
        <f aca="false">MONTH($E558)</f>
        <v>3</v>
      </c>
      <c r="S558" s="79" t="str">
        <f aca="false">INDEX(Lists!$B$2:$B$13,$R558)</f>
        <v>March</v>
      </c>
      <c r="T558" s="79" t="n">
        <f aca="false">HOUR($F558)</f>
        <v>3</v>
      </c>
      <c r="U558" s="79" t="n">
        <f aca="false">WEEKDAY($E558,2)</f>
        <v>3</v>
      </c>
      <c r="V558" s="79" t="str">
        <f aca="false">INDEX(Lists!$F$2:$F$8,$U558)</f>
        <v>Wednesday</v>
      </c>
      <c r="W558" s="81" t="n">
        <f aca="false">($G558+$H558)-($E558+$F558)</f>
        <v>6.96524305555556</v>
      </c>
      <c r="X558" s="79" t="str">
        <f aca="false">LOOKUP($M558,Lists!$G$2:$G$5,Lists!$H$2:$H$5)</f>
        <v>₹1,500 - 2,000</v>
      </c>
      <c r="Y558" s="79" t="str">
        <f aca="false">LOOKUP($W558,Lists!$I$2:$I$7,Lists!$J$2:$J$7)</f>
        <v>6 - 8 days</v>
      </c>
    </row>
    <row r="559" customFormat="false" ht="15" hidden="false" customHeight="false" outlineLevel="0" collapsed="false">
      <c r="A559" s="2" t="n">
        <v>558</v>
      </c>
      <c r="B559" s="2" t="s">
        <v>369</v>
      </c>
      <c r="C559" s="2" t="n">
        <v>64</v>
      </c>
      <c r="D559" s="2" t="n">
        <v>3</v>
      </c>
      <c r="E559" s="82" t="n">
        <v>45160</v>
      </c>
      <c r="F559" s="83" t="n">
        <v>0.029837962962963</v>
      </c>
      <c r="G559" s="82" t="n">
        <v>45163</v>
      </c>
      <c r="H559" s="83" t="n">
        <v>0.0172685185185185</v>
      </c>
      <c r="I559" s="2" t="s">
        <v>498</v>
      </c>
      <c r="J559" s="2" t="s">
        <v>40</v>
      </c>
      <c r="K559" s="46" t="str">
        <f aca="false">INDEX(Products!$B$2:$B$71,MATCH($C559,Products!$A$2:$A$71,0))</f>
        <v>Nostrum Box</v>
      </c>
      <c r="L559" s="46" t="str">
        <f aca="false">INDEX(Products!$C$2:$C$71,MATCH($C559,Products!$A$2:$A$71,0))</f>
        <v>Soft Toys</v>
      </c>
      <c r="M559" s="84" t="n">
        <f aca="false">INDEX(Products!$D$2:$D$71,MATCH($C559,Products!$A$2:$A$71,0))</f>
        <v>1878</v>
      </c>
      <c r="N559" s="84" t="n">
        <f aca="false">$D559*$M559</f>
        <v>5634</v>
      </c>
      <c r="O559" s="46" t="str">
        <f aca="false">INDEX(Customers!$C$2:$C$101,MATCH($B559,Customers!$A$2:$A$101,0))</f>
        <v>New Delhi</v>
      </c>
      <c r="P559" s="46" t="str">
        <f aca="false">INDEX(Customers!$F$2:$F$101,MATCH($B559,Customers!$A$2:$A$101,0))</f>
        <v>Female</v>
      </c>
      <c r="Q559" s="46" t="str">
        <f aca="false">INDEX(Customers!$B$2:$B$101,MATCH($B559,Customers!$A$2:$A$101,0))</f>
        <v>Adira Rajan</v>
      </c>
      <c r="R559" s="46" t="n">
        <f aca="false">MONTH($E559)</f>
        <v>8</v>
      </c>
      <c r="S559" s="46" t="str">
        <f aca="false">INDEX(Lists!$B$2:$B$13,$R559)</f>
        <v>August</v>
      </c>
      <c r="T559" s="46" t="n">
        <f aca="false">HOUR($F559)</f>
        <v>0</v>
      </c>
      <c r="U559" s="46" t="n">
        <f aca="false">WEEKDAY($E559,2)</f>
        <v>2</v>
      </c>
      <c r="V559" s="46" t="str">
        <f aca="false">INDEX(Lists!$F$2:$F$8,$U559)</f>
        <v>Tuesday</v>
      </c>
      <c r="W559" s="85" t="n">
        <f aca="false">($G559+$H559)-($E559+$F559)</f>
        <v>2.98743055555556</v>
      </c>
      <c r="X559" s="46" t="str">
        <f aca="false">LOOKUP($M559,Lists!$G$2:$G$5,Lists!$H$2:$H$5)</f>
        <v>₹1,500 - 2,000</v>
      </c>
      <c r="Y559" s="46" t="str">
        <f aca="false">LOOKUP($W559,Lists!$I$2:$I$7,Lists!$J$2:$J$7)</f>
        <v>2 - 4 days</v>
      </c>
    </row>
    <row r="560" customFormat="false" ht="15" hidden="false" customHeight="false" outlineLevel="0" collapsed="false">
      <c r="A560" s="7" t="n">
        <v>559</v>
      </c>
      <c r="B560" s="7" t="s">
        <v>350</v>
      </c>
      <c r="C560" s="7" t="n">
        <v>45</v>
      </c>
      <c r="D560" s="7" t="n">
        <v>1</v>
      </c>
      <c r="E560" s="77" t="n">
        <v>45279</v>
      </c>
      <c r="F560" s="78" t="n">
        <v>0.692488425925926</v>
      </c>
      <c r="G560" s="77" t="n">
        <v>45286</v>
      </c>
      <c r="H560" s="78" t="n">
        <v>0.774803240740741</v>
      </c>
      <c r="I560" s="7" t="s">
        <v>485</v>
      </c>
      <c r="J560" s="7" t="s">
        <v>31</v>
      </c>
      <c r="K560" s="79" t="str">
        <f aca="false">INDEX(Products!$B$2:$B$71,MATCH($C560,Products!$A$2:$A$71,0))</f>
        <v>Iusto Set</v>
      </c>
      <c r="L560" s="79" t="str">
        <f aca="false">INDEX(Products!$C$2:$C$71,MATCH($C560,Products!$A$2:$A$71,0))</f>
        <v>Raksha Bandhan</v>
      </c>
      <c r="M560" s="80" t="n">
        <f aca="false">INDEX(Products!$D$2:$D$71,MATCH($C560,Products!$A$2:$A$71,0))</f>
        <v>722</v>
      </c>
      <c r="N560" s="80" t="n">
        <f aca="false">$D560*$M560</f>
        <v>722</v>
      </c>
      <c r="O560" s="79" t="str">
        <f aca="false">INDEX(Customers!$C$2:$C$101,MATCH($B560,Customers!$A$2:$A$101,0))</f>
        <v>Tiruchirappalli</v>
      </c>
      <c r="P560" s="79" t="str">
        <f aca="false">INDEX(Customers!$F$2:$F$101,MATCH($B560,Customers!$A$2:$A$101,0))</f>
        <v>Male</v>
      </c>
      <c r="Q560" s="79" t="str">
        <f aca="false">INDEX(Customers!$B$2:$B$101,MATCH($B560,Customers!$A$2:$A$101,0))</f>
        <v>Anahita Shankar</v>
      </c>
      <c r="R560" s="79" t="n">
        <f aca="false">MONTH($E560)</f>
        <v>12</v>
      </c>
      <c r="S560" s="79" t="str">
        <f aca="false">INDEX(Lists!$B$2:$B$13,$R560)</f>
        <v>December</v>
      </c>
      <c r="T560" s="79" t="n">
        <f aca="false">HOUR($F560)</f>
        <v>16</v>
      </c>
      <c r="U560" s="79" t="n">
        <f aca="false">WEEKDAY($E560,2)</f>
        <v>2</v>
      </c>
      <c r="V560" s="79" t="str">
        <f aca="false">INDEX(Lists!$F$2:$F$8,$U560)</f>
        <v>Tuesday</v>
      </c>
      <c r="W560" s="81" t="n">
        <f aca="false">($G560+$H560)-($E560+$F560)</f>
        <v>7.08231481481482</v>
      </c>
      <c r="X560" s="79" t="str">
        <f aca="false">LOOKUP($M560,Lists!$G$2:$G$5,Lists!$H$2:$H$5)</f>
        <v>₹500 - 999</v>
      </c>
      <c r="Y560" s="79" t="str">
        <f aca="false">LOOKUP($W560,Lists!$I$2:$I$7,Lists!$J$2:$J$7)</f>
        <v>6 - 8 days</v>
      </c>
    </row>
    <row r="561" customFormat="false" ht="15" hidden="false" customHeight="false" outlineLevel="0" collapsed="false">
      <c r="A561" s="2" t="n">
        <v>560</v>
      </c>
      <c r="B561" s="2" t="s">
        <v>174</v>
      </c>
      <c r="C561" s="2" t="n">
        <v>39</v>
      </c>
      <c r="D561" s="2" t="n">
        <v>2</v>
      </c>
      <c r="E561" s="82" t="n">
        <v>45142</v>
      </c>
      <c r="F561" s="83" t="n">
        <v>0.536342592592593</v>
      </c>
      <c r="G561" s="82" t="n">
        <v>45147</v>
      </c>
      <c r="H561" s="83" t="n">
        <v>0.410335648148148</v>
      </c>
      <c r="I561" s="2" t="s">
        <v>189</v>
      </c>
      <c r="J561" s="2" t="s">
        <v>165</v>
      </c>
      <c r="K561" s="46" t="str">
        <f aca="false">INDEX(Products!$B$2:$B$71,MATCH($C561,Products!$A$2:$A$71,0))</f>
        <v>Voluptate Set</v>
      </c>
      <c r="L561" s="46" t="str">
        <f aca="false">INDEX(Products!$C$2:$C$71,MATCH($C561,Products!$A$2:$A$71,0))</f>
        <v>Mugs</v>
      </c>
      <c r="M561" s="84" t="n">
        <f aca="false">INDEX(Products!$D$2:$D$71,MATCH($C561,Products!$A$2:$A$71,0))</f>
        <v>387</v>
      </c>
      <c r="N561" s="84" t="n">
        <f aca="false">$D561*$M561</f>
        <v>774</v>
      </c>
      <c r="O561" s="46" t="str">
        <f aca="false">INDEX(Customers!$C$2:$C$101,MATCH($B561,Customers!$A$2:$A$101,0))</f>
        <v>Danapur</v>
      </c>
      <c r="P561" s="46" t="str">
        <f aca="false">INDEX(Customers!$F$2:$F$101,MATCH($B561,Customers!$A$2:$A$101,0))</f>
        <v>Male</v>
      </c>
      <c r="Q561" s="46" t="str">
        <f aca="false">INDEX(Customers!$B$2:$B$101,MATCH($B561,Customers!$A$2:$A$101,0))</f>
        <v>Amira Sengupta</v>
      </c>
      <c r="R561" s="46" t="n">
        <f aca="false">MONTH($E561)</f>
        <v>8</v>
      </c>
      <c r="S561" s="46" t="str">
        <f aca="false">INDEX(Lists!$B$2:$B$13,$R561)</f>
        <v>August</v>
      </c>
      <c r="T561" s="46" t="n">
        <f aca="false">HOUR($F561)</f>
        <v>12</v>
      </c>
      <c r="U561" s="46" t="n">
        <f aca="false">WEEKDAY($E561,2)</f>
        <v>5</v>
      </c>
      <c r="V561" s="46" t="str">
        <f aca="false">INDEX(Lists!$F$2:$F$8,$U561)</f>
        <v>Friday</v>
      </c>
      <c r="W561" s="85" t="n">
        <f aca="false">($G561+$H561)-($E561+$F561)</f>
        <v>4.87399305555556</v>
      </c>
      <c r="X561" s="46" t="str">
        <f aca="false">LOOKUP($M561,Lists!$G$2:$G$5,Lists!$H$2:$H$5)</f>
        <v>₹0 - 499</v>
      </c>
      <c r="Y561" s="46" t="str">
        <f aca="false">LOOKUP($W561,Lists!$I$2:$I$7,Lists!$J$2:$J$7)</f>
        <v>4 - 6 days</v>
      </c>
    </row>
    <row r="562" customFormat="false" ht="15" hidden="false" customHeight="false" outlineLevel="0" collapsed="false">
      <c r="A562" s="7" t="n">
        <v>561</v>
      </c>
      <c r="B562" s="7" t="s">
        <v>390</v>
      </c>
      <c r="C562" s="7" t="n">
        <v>49</v>
      </c>
      <c r="D562" s="7" t="n">
        <v>5</v>
      </c>
      <c r="E562" s="77" t="n">
        <v>44969</v>
      </c>
      <c r="F562" s="78" t="n">
        <v>0.517071759259259</v>
      </c>
      <c r="G562" s="77" t="n">
        <v>44978</v>
      </c>
      <c r="H562" s="78" t="n">
        <v>0.724699074074074</v>
      </c>
      <c r="I562" s="7" t="s">
        <v>387</v>
      </c>
      <c r="J562" s="7" t="s">
        <v>179</v>
      </c>
      <c r="K562" s="79" t="str">
        <f aca="false">INDEX(Products!$B$2:$B$71,MATCH($C562,Products!$A$2:$A$71,0))</f>
        <v>Voluptate Pack</v>
      </c>
      <c r="L562" s="79" t="str">
        <f aca="false">INDEX(Products!$C$2:$C$71,MATCH($C562,Products!$A$2:$A$71,0))</f>
        <v>Colors</v>
      </c>
      <c r="M562" s="80" t="n">
        <f aca="false">INDEX(Products!$D$2:$D$71,MATCH($C562,Products!$A$2:$A$71,0))</f>
        <v>903</v>
      </c>
      <c r="N562" s="80" t="n">
        <f aca="false">$D562*$M562</f>
        <v>4515</v>
      </c>
      <c r="O562" s="79" t="str">
        <f aca="false">INDEX(Customers!$C$2:$C$101,MATCH($B562,Customers!$A$2:$A$101,0))</f>
        <v>Dhanbad</v>
      </c>
      <c r="P562" s="79" t="str">
        <f aca="false">INDEX(Customers!$F$2:$F$101,MATCH($B562,Customers!$A$2:$A$101,0))</f>
        <v>Female</v>
      </c>
      <c r="Q562" s="79" t="str">
        <f aca="false">INDEX(Customers!$B$2:$B$101,MATCH($B562,Customers!$A$2:$A$101,0))</f>
        <v>Ranbir Loyal</v>
      </c>
      <c r="R562" s="79" t="n">
        <f aca="false">MONTH($E562)</f>
        <v>2</v>
      </c>
      <c r="S562" s="79" t="str">
        <f aca="false">INDEX(Lists!$B$2:$B$13,$R562)</f>
        <v>February</v>
      </c>
      <c r="T562" s="79" t="n">
        <f aca="false">HOUR($F562)</f>
        <v>12</v>
      </c>
      <c r="U562" s="79" t="n">
        <f aca="false">WEEKDAY($E562,2)</f>
        <v>7</v>
      </c>
      <c r="V562" s="79" t="str">
        <f aca="false">INDEX(Lists!$F$2:$F$8,$U562)</f>
        <v>Sunday</v>
      </c>
      <c r="W562" s="81" t="n">
        <f aca="false">($G562+$H562)-($E562+$F562)</f>
        <v>9.20762731481482</v>
      </c>
      <c r="X562" s="79" t="str">
        <f aca="false">LOOKUP($M562,Lists!$G$2:$G$5,Lists!$H$2:$H$5)</f>
        <v>₹500 - 999</v>
      </c>
      <c r="Y562" s="79" t="str">
        <f aca="false">LOOKUP($W562,Lists!$I$2:$I$7,Lists!$J$2:$J$7)</f>
        <v>8 - 10 days</v>
      </c>
    </row>
    <row r="563" customFormat="false" ht="15" hidden="false" customHeight="false" outlineLevel="0" collapsed="false">
      <c r="A563" s="2" t="n">
        <v>562</v>
      </c>
      <c r="B563" s="2" t="s">
        <v>300</v>
      </c>
      <c r="C563" s="2" t="n">
        <v>24</v>
      </c>
      <c r="D563" s="2" t="n">
        <v>4</v>
      </c>
      <c r="E563" s="82" t="n">
        <v>45147</v>
      </c>
      <c r="F563" s="83" t="n">
        <v>0.387731481481482</v>
      </c>
      <c r="G563" s="82" t="n">
        <v>45154</v>
      </c>
      <c r="H563" s="83" t="n">
        <v>0.0653587962962963</v>
      </c>
      <c r="I563" s="2" t="s">
        <v>544</v>
      </c>
      <c r="J563" s="2" t="s">
        <v>31</v>
      </c>
      <c r="K563" s="46" t="str">
        <f aca="false">INDEX(Products!$B$2:$B$71,MATCH($C563,Products!$A$2:$A$71,0))</f>
        <v>Ad Box</v>
      </c>
      <c r="L563" s="46" t="str">
        <f aca="false">INDEX(Products!$C$2:$C$71,MATCH($C563,Products!$A$2:$A$71,0))</f>
        <v>Mugs</v>
      </c>
      <c r="M563" s="84" t="n">
        <f aca="false">INDEX(Products!$D$2:$D$71,MATCH($C563,Products!$A$2:$A$71,0))</f>
        <v>535</v>
      </c>
      <c r="N563" s="84" t="n">
        <f aca="false">$D563*$M563</f>
        <v>2140</v>
      </c>
      <c r="O563" s="46" t="str">
        <f aca="false">INDEX(Customers!$C$2:$C$101,MATCH($B563,Customers!$A$2:$A$101,0))</f>
        <v>Malegaon</v>
      </c>
      <c r="P563" s="46" t="str">
        <f aca="false">INDEX(Customers!$F$2:$F$101,MATCH($B563,Customers!$A$2:$A$101,0))</f>
        <v>Female</v>
      </c>
      <c r="Q563" s="46" t="str">
        <f aca="false">INDEX(Customers!$B$2:$B$101,MATCH($B563,Customers!$A$2:$A$101,0))</f>
        <v>Eshani Buch</v>
      </c>
      <c r="R563" s="46" t="n">
        <f aca="false">MONTH($E563)</f>
        <v>8</v>
      </c>
      <c r="S563" s="46" t="str">
        <f aca="false">INDEX(Lists!$B$2:$B$13,$R563)</f>
        <v>August</v>
      </c>
      <c r="T563" s="46" t="n">
        <f aca="false">HOUR($F563)</f>
        <v>9</v>
      </c>
      <c r="U563" s="46" t="n">
        <f aca="false">WEEKDAY($E563,2)</f>
        <v>3</v>
      </c>
      <c r="V563" s="46" t="str">
        <f aca="false">INDEX(Lists!$F$2:$F$8,$U563)</f>
        <v>Wednesday</v>
      </c>
      <c r="W563" s="85" t="n">
        <f aca="false">($G563+$H563)-($E563+$F563)</f>
        <v>6.67762731481481</v>
      </c>
      <c r="X563" s="46" t="str">
        <f aca="false">LOOKUP($M563,Lists!$G$2:$G$5,Lists!$H$2:$H$5)</f>
        <v>₹500 - 999</v>
      </c>
      <c r="Y563" s="46" t="str">
        <f aca="false">LOOKUP($W563,Lists!$I$2:$I$7,Lists!$J$2:$J$7)</f>
        <v>6 - 8 days</v>
      </c>
    </row>
    <row r="564" customFormat="false" ht="15" hidden="false" customHeight="false" outlineLevel="0" collapsed="false">
      <c r="A564" s="7" t="n">
        <v>563</v>
      </c>
      <c r="B564" s="7" t="s">
        <v>331</v>
      </c>
      <c r="C564" s="7" t="n">
        <v>58</v>
      </c>
      <c r="D564" s="7" t="n">
        <v>5</v>
      </c>
      <c r="E564" s="77" t="n">
        <v>44968</v>
      </c>
      <c r="F564" s="78" t="n">
        <v>0.488402777777778</v>
      </c>
      <c r="G564" s="77" t="n">
        <v>44976</v>
      </c>
      <c r="H564" s="78" t="n">
        <v>0.211446759259259</v>
      </c>
      <c r="I564" s="7" t="s">
        <v>442</v>
      </c>
      <c r="J564" s="7" t="s">
        <v>179</v>
      </c>
      <c r="K564" s="79" t="str">
        <f aca="false">INDEX(Products!$B$2:$B$71,MATCH($C564,Products!$A$2:$A$71,0))</f>
        <v>Sed Pack</v>
      </c>
      <c r="L564" s="79" t="str">
        <f aca="false">INDEX(Products!$C$2:$C$71,MATCH($C564,Products!$A$2:$A$71,0))</f>
        <v>Cake</v>
      </c>
      <c r="M564" s="80" t="n">
        <f aca="false">INDEX(Products!$D$2:$D$71,MATCH($C564,Products!$A$2:$A$71,0))</f>
        <v>1492</v>
      </c>
      <c r="N564" s="80" t="n">
        <f aca="false">$D564*$M564</f>
        <v>7460</v>
      </c>
      <c r="O564" s="79" t="str">
        <f aca="false">INDEX(Customers!$C$2:$C$101,MATCH($B564,Customers!$A$2:$A$101,0))</f>
        <v>Panchkula</v>
      </c>
      <c r="P564" s="79" t="str">
        <f aca="false">INDEX(Customers!$F$2:$F$101,MATCH($B564,Customers!$A$2:$A$101,0))</f>
        <v>Female</v>
      </c>
      <c r="Q564" s="79" t="str">
        <f aca="false">INDEX(Customers!$B$2:$B$101,MATCH($B564,Customers!$A$2:$A$101,0))</f>
        <v>Gokul Ahluwalia</v>
      </c>
      <c r="R564" s="79" t="n">
        <f aca="false">MONTH($E564)</f>
        <v>2</v>
      </c>
      <c r="S564" s="79" t="str">
        <f aca="false">INDEX(Lists!$B$2:$B$13,$R564)</f>
        <v>February</v>
      </c>
      <c r="T564" s="79" t="n">
        <f aca="false">HOUR($F564)</f>
        <v>11</v>
      </c>
      <c r="U564" s="79" t="n">
        <f aca="false">WEEKDAY($E564,2)</f>
        <v>6</v>
      </c>
      <c r="V564" s="79" t="str">
        <f aca="false">INDEX(Lists!$F$2:$F$8,$U564)</f>
        <v>Saturday</v>
      </c>
      <c r="W564" s="81" t="n">
        <f aca="false">($G564+$H564)-($E564+$F564)</f>
        <v>7.72304398148148</v>
      </c>
      <c r="X564" s="79" t="str">
        <f aca="false">LOOKUP($M564,Lists!$G$2:$G$5,Lists!$H$2:$H$5)</f>
        <v>₹1,000 - 1,499</v>
      </c>
      <c r="Y564" s="79" t="str">
        <f aca="false">LOOKUP($W564,Lists!$I$2:$I$7,Lists!$J$2:$J$7)</f>
        <v>6 - 8 days</v>
      </c>
    </row>
    <row r="565" customFormat="false" ht="15" hidden="false" customHeight="false" outlineLevel="0" collapsed="false">
      <c r="A565" s="2" t="n">
        <v>564</v>
      </c>
      <c r="B565" s="2" t="s">
        <v>142</v>
      </c>
      <c r="C565" s="2" t="n">
        <v>40</v>
      </c>
      <c r="D565" s="2" t="n">
        <v>1</v>
      </c>
      <c r="E565" s="82" t="n">
        <v>45023</v>
      </c>
      <c r="F565" s="83" t="n">
        <v>0.0280092592592593</v>
      </c>
      <c r="G565" s="82" t="n">
        <v>45031</v>
      </c>
      <c r="H565" s="83" t="n">
        <v>0.254826388888889</v>
      </c>
      <c r="I565" s="2" t="s">
        <v>378</v>
      </c>
      <c r="J565" s="2" t="s">
        <v>168</v>
      </c>
      <c r="K565" s="46" t="str">
        <f aca="false">INDEX(Products!$B$2:$B$71,MATCH($C565,Products!$A$2:$A$71,0))</f>
        <v>Provident Pack</v>
      </c>
      <c r="L565" s="46" t="str">
        <f aca="false">INDEX(Products!$C$2:$C$71,MATCH($C565,Products!$A$2:$A$71,0))</f>
        <v>Sweets</v>
      </c>
      <c r="M565" s="84" t="n">
        <f aca="false">INDEX(Products!$D$2:$D$71,MATCH($C565,Products!$A$2:$A$71,0))</f>
        <v>1923</v>
      </c>
      <c r="N565" s="84" t="n">
        <f aca="false">$D565*$M565</f>
        <v>1923</v>
      </c>
      <c r="O565" s="46" t="str">
        <f aca="false">INDEX(Customers!$C$2:$C$101,MATCH($B565,Customers!$A$2:$A$101,0))</f>
        <v>Berhampore</v>
      </c>
      <c r="P565" s="46" t="str">
        <f aca="false">INDEX(Customers!$F$2:$F$101,MATCH($B565,Customers!$A$2:$A$101,0))</f>
        <v>Male</v>
      </c>
      <c r="Q565" s="46" t="str">
        <f aca="false">INDEX(Customers!$B$2:$B$101,MATCH($B565,Customers!$A$2:$A$101,0))</f>
        <v>Jayant Kamdar</v>
      </c>
      <c r="R565" s="46" t="n">
        <f aca="false">MONTH($E565)</f>
        <v>4</v>
      </c>
      <c r="S565" s="46" t="str">
        <f aca="false">INDEX(Lists!$B$2:$B$13,$R565)</f>
        <v>April</v>
      </c>
      <c r="T565" s="46" t="n">
        <f aca="false">HOUR($F565)</f>
        <v>0</v>
      </c>
      <c r="U565" s="46" t="n">
        <f aca="false">WEEKDAY($E565,2)</f>
        <v>5</v>
      </c>
      <c r="V565" s="46" t="str">
        <f aca="false">INDEX(Lists!$F$2:$F$8,$U565)</f>
        <v>Friday</v>
      </c>
      <c r="W565" s="85" t="n">
        <f aca="false">($G565+$H565)-($E565+$F565)</f>
        <v>8.22681712962963</v>
      </c>
      <c r="X565" s="46" t="str">
        <f aca="false">LOOKUP($M565,Lists!$G$2:$G$5,Lists!$H$2:$H$5)</f>
        <v>₹1,500 - 2,000</v>
      </c>
      <c r="Y565" s="46" t="str">
        <f aca="false">LOOKUP($W565,Lists!$I$2:$I$7,Lists!$J$2:$J$7)</f>
        <v>8 - 10 days</v>
      </c>
    </row>
    <row r="566" customFormat="false" ht="15" hidden="false" customHeight="false" outlineLevel="0" collapsed="false">
      <c r="A566" s="7" t="n">
        <v>565</v>
      </c>
      <c r="B566" s="7" t="s">
        <v>154</v>
      </c>
      <c r="C566" s="7" t="n">
        <v>50</v>
      </c>
      <c r="D566" s="7" t="n">
        <v>3</v>
      </c>
      <c r="E566" s="77" t="n">
        <v>44991</v>
      </c>
      <c r="F566" s="78" t="n">
        <v>0.727962962962963</v>
      </c>
      <c r="G566" s="77" t="n">
        <v>44999</v>
      </c>
      <c r="H566" s="78" t="n">
        <v>0.550543981481482</v>
      </c>
      <c r="I566" s="7" t="s">
        <v>488</v>
      </c>
      <c r="J566" s="7" t="s">
        <v>33</v>
      </c>
      <c r="K566" s="79" t="str">
        <f aca="false">INDEX(Products!$B$2:$B$71,MATCH($C566,Products!$A$2:$A$71,0))</f>
        <v>Eligendi Set</v>
      </c>
      <c r="L566" s="79" t="str">
        <f aca="false">INDEX(Products!$C$2:$C$71,MATCH($C566,Products!$A$2:$A$71,0))</f>
        <v>Plants</v>
      </c>
      <c r="M566" s="80" t="n">
        <f aca="false">INDEX(Products!$D$2:$D$71,MATCH($C566,Products!$A$2:$A$71,0))</f>
        <v>422</v>
      </c>
      <c r="N566" s="80" t="n">
        <f aca="false">$D566*$M566</f>
        <v>1266</v>
      </c>
      <c r="O566" s="79" t="str">
        <f aca="false">INDEX(Customers!$C$2:$C$101,MATCH($B566,Customers!$A$2:$A$101,0))</f>
        <v>Orai</v>
      </c>
      <c r="P566" s="79" t="str">
        <f aca="false">INDEX(Customers!$F$2:$F$101,MATCH($B566,Customers!$A$2:$A$101,0))</f>
        <v>Female</v>
      </c>
      <c r="Q566" s="79" t="str">
        <f aca="false">INDEX(Customers!$B$2:$B$101,MATCH($B566,Customers!$A$2:$A$101,0))</f>
        <v>Lagan Kapoor</v>
      </c>
      <c r="R566" s="79" t="n">
        <f aca="false">MONTH($E566)</f>
        <v>3</v>
      </c>
      <c r="S566" s="79" t="str">
        <f aca="false">INDEX(Lists!$B$2:$B$13,$R566)</f>
        <v>March</v>
      </c>
      <c r="T566" s="79" t="n">
        <f aca="false">HOUR($F566)</f>
        <v>17</v>
      </c>
      <c r="U566" s="79" t="n">
        <f aca="false">WEEKDAY($E566,2)</f>
        <v>1</v>
      </c>
      <c r="V566" s="79" t="str">
        <f aca="false">INDEX(Lists!$F$2:$F$8,$U566)</f>
        <v>Monday</v>
      </c>
      <c r="W566" s="81" t="n">
        <f aca="false">($G566+$H566)-($E566+$F566)</f>
        <v>7.82258101851852</v>
      </c>
      <c r="X566" s="79" t="str">
        <f aca="false">LOOKUP($M566,Lists!$G$2:$G$5,Lists!$H$2:$H$5)</f>
        <v>₹0 - 499</v>
      </c>
      <c r="Y566" s="79" t="str">
        <f aca="false">LOOKUP($W566,Lists!$I$2:$I$7,Lists!$J$2:$J$7)</f>
        <v>6 - 8 days</v>
      </c>
    </row>
    <row r="567" customFormat="false" ht="15" hidden="false" customHeight="false" outlineLevel="0" collapsed="false">
      <c r="A567" s="2" t="n">
        <v>566</v>
      </c>
      <c r="B567" s="2" t="s">
        <v>266</v>
      </c>
      <c r="C567" s="2" t="n">
        <v>42</v>
      </c>
      <c r="D567" s="2" t="n">
        <v>4</v>
      </c>
      <c r="E567" s="82" t="n">
        <v>45058</v>
      </c>
      <c r="F567" s="83" t="n">
        <v>0.533368055555556</v>
      </c>
      <c r="G567" s="82" t="n">
        <v>45060</v>
      </c>
      <c r="H567" s="83" t="n">
        <v>0.858703703703704</v>
      </c>
      <c r="I567" s="2" t="s">
        <v>525</v>
      </c>
      <c r="J567" s="2" t="s">
        <v>165</v>
      </c>
      <c r="K567" s="46" t="str">
        <f aca="false">INDEX(Products!$B$2:$B$71,MATCH($C567,Products!$A$2:$A$71,0))</f>
        <v>Expedita Gift</v>
      </c>
      <c r="L567" s="46" t="str">
        <f aca="false">INDEX(Products!$C$2:$C$71,MATCH($C567,Products!$A$2:$A$71,0))</f>
        <v>Sweets</v>
      </c>
      <c r="M567" s="84" t="n">
        <f aca="false">INDEX(Products!$D$2:$D$71,MATCH($C567,Products!$A$2:$A$71,0))</f>
        <v>1744</v>
      </c>
      <c r="N567" s="84" t="n">
        <f aca="false">$D567*$M567</f>
        <v>6976</v>
      </c>
      <c r="O567" s="46" t="str">
        <f aca="false">INDEX(Customers!$C$2:$C$101,MATCH($B567,Customers!$A$2:$A$101,0))</f>
        <v>Bidhannagar</v>
      </c>
      <c r="P567" s="46" t="str">
        <f aca="false">INDEX(Customers!$F$2:$F$101,MATCH($B567,Customers!$A$2:$A$101,0))</f>
        <v>Female</v>
      </c>
      <c r="Q567" s="46" t="str">
        <f aca="false">INDEX(Customers!$B$2:$B$101,MATCH($B567,Customers!$A$2:$A$101,0))</f>
        <v>Umang Ahuja</v>
      </c>
      <c r="R567" s="46" t="n">
        <f aca="false">MONTH($E567)</f>
        <v>5</v>
      </c>
      <c r="S567" s="46" t="str">
        <f aca="false">INDEX(Lists!$B$2:$B$13,$R567)</f>
        <v>May</v>
      </c>
      <c r="T567" s="46" t="n">
        <f aca="false">HOUR($F567)</f>
        <v>12</v>
      </c>
      <c r="U567" s="46" t="n">
        <f aca="false">WEEKDAY($E567,2)</f>
        <v>5</v>
      </c>
      <c r="V567" s="46" t="str">
        <f aca="false">INDEX(Lists!$F$2:$F$8,$U567)</f>
        <v>Friday</v>
      </c>
      <c r="W567" s="85" t="n">
        <f aca="false">($G567+$H567)-($E567+$F567)</f>
        <v>2.32533564814815</v>
      </c>
      <c r="X567" s="46" t="str">
        <f aca="false">LOOKUP($M567,Lists!$G$2:$G$5,Lists!$H$2:$H$5)</f>
        <v>₹1,500 - 2,000</v>
      </c>
      <c r="Y567" s="46" t="str">
        <f aca="false">LOOKUP($W567,Lists!$I$2:$I$7,Lists!$J$2:$J$7)</f>
        <v>2 - 4 days</v>
      </c>
    </row>
    <row r="568" customFormat="false" ht="15" hidden="false" customHeight="false" outlineLevel="0" collapsed="false">
      <c r="A568" s="7" t="n">
        <v>567</v>
      </c>
      <c r="B568" s="7" t="s">
        <v>366</v>
      </c>
      <c r="C568" s="7" t="n">
        <v>66</v>
      </c>
      <c r="D568" s="7" t="n">
        <v>1</v>
      </c>
      <c r="E568" s="77" t="n">
        <v>44991</v>
      </c>
      <c r="F568" s="78" t="n">
        <v>0.258321759259259</v>
      </c>
      <c r="G568" s="77" t="n">
        <v>45000</v>
      </c>
      <c r="H568" s="78" t="n">
        <v>0.78962962962963</v>
      </c>
      <c r="I568" s="7" t="s">
        <v>602</v>
      </c>
      <c r="J568" s="7" t="s">
        <v>33</v>
      </c>
      <c r="K568" s="79" t="str">
        <f aca="false">INDEX(Products!$B$2:$B$71,MATCH($C568,Products!$A$2:$A$71,0))</f>
        <v>Quas Box</v>
      </c>
      <c r="L568" s="79" t="str">
        <f aca="false">INDEX(Products!$C$2:$C$71,MATCH($C568,Products!$A$2:$A$71,0))</f>
        <v>Colors</v>
      </c>
      <c r="M568" s="80" t="n">
        <f aca="false">INDEX(Products!$D$2:$D$71,MATCH($C568,Products!$A$2:$A$71,0))</f>
        <v>610</v>
      </c>
      <c r="N568" s="80" t="n">
        <f aca="false">$D568*$M568</f>
        <v>610</v>
      </c>
      <c r="O568" s="79" t="str">
        <f aca="false">INDEX(Customers!$C$2:$C$101,MATCH($B568,Customers!$A$2:$A$101,0))</f>
        <v>Anantapuram</v>
      </c>
      <c r="P568" s="79" t="str">
        <f aca="false">INDEX(Customers!$F$2:$F$101,MATCH($B568,Customers!$A$2:$A$101,0))</f>
        <v>Female</v>
      </c>
      <c r="Q568" s="79" t="str">
        <f aca="false">INDEX(Customers!$B$2:$B$101,MATCH($B568,Customers!$A$2:$A$101,0))</f>
        <v>Drishya De</v>
      </c>
      <c r="R568" s="79" t="n">
        <f aca="false">MONTH($E568)</f>
        <v>3</v>
      </c>
      <c r="S568" s="79" t="str">
        <f aca="false">INDEX(Lists!$B$2:$B$13,$R568)</f>
        <v>March</v>
      </c>
      <c r="T568" s="79" t="n">
        <f aca="false">HOUR($F568)</f>
        <v>6</v>
      </c>
      <c r="U568" s="79" t="n">
        <f aca="false">WEEKDAY($E568,2)</f>
        <v>1</v>
      </c>
      <c r="V568" s="79" t="str">
        <f aca="false">INDEX(Lists!$F$2:$F$8,$U568)</f>
        <v>Monday</v>
      </c>
      <c r="W568" s="81" t="n">
        <f aca="false">($G568+$H568)-($E568+$F568)</f>
        <v>9.53130787037037</v>
      </c>
      <c r="X568" s="79" t="str">
        <f aca="false">LOOKUP($M568,Lists!$G$2:$G$5,Lists!$H$2:$H$5)</f>
        <v>₹500 - 999</v>
      </c>
      <c r="Y568" s="79" t="str">
        <f aca="false">LOOKUP($W568,Lists!$I$2:$I$7,Lists!$J$2:$J$7)</f>
        <v>8 - 10 days</v>
      </c>
    </row>
    <row r="569" customFormat="false" ht="15" hidden="false" customHeight="false" outlineLevel="0" collapsed="false">
      <c r="A569" s="2" t="n">
        <v>568</v>
      </c>
      <c r="B569" s="2" t="s">
        <v>272</v>
      </c>
      <c r="C569" s="2" t="n">
        <v>10</v>
      </c>
      <c r="D569" s="2" t="n">
        <v>1</v>
      </c>
      <c r="E569" s="82" t="n">
        <v>45106</v>
      </c>
      <c r="F569" s="83" t="n">
        <v>0.871979166666667</v>
      </c>
      <c r="G569" s="82" t="n">
        <v>45115</v>
      </c>
      <c r="H569" s="83" t="n">
        <v>0.552939814814815</v>
      </c>
      <c r="I569" s="2" t="s">
        <v>262</v>
      </c>
      <c r="J569" s="2" t="s">
        <v>31</v>
      </c>
      <c r="K569" s="46" t="str">
        <f aca="false">INDEX(Products!$B$2:$B$71,MATCH($C569,Products!$A$2:$A$71,0))</f>
        <v>Accusantium Gift</v>
      </c>
      <c r="L569" s="46" t="str">
        <f aca="false">INDEX(Products!$C$2:$C$71,MATCH($C569,Products!$A$2:$A$71,0))</f>
        <v>Cake</v>
      </c>
      <c r="M569" s="84" t="n">
        <f aca="false">INDEX(Products!$D$2:$D$71,MATCH($C569,Products!$A$2:$A$71,0))</f>
        <v>259</v>
      </c>
      <c r="N569" s="84" t="n">
        <f aca="false">$D569*$M569</f>
        <v>259</v>
      </c>
      <c r="O569" s="46" t="str">
        <f aca="false">INDEX(Customers!$C$2:$C$101,MATCH($B569,Customers!$A$2:$A$101,0))</f>
        <v>Haridwar</v>
      </c>
      <c r="P569" s="46" t="str">
        <f aca="false">INDEX(Customers!$F$2:$F$101,MATCH($B569,Customers!$A$2:$A$101,0))</f>
        <v>Male</v>
      </c>
      <c r="Q569" s="46" t="str">
        <f aca="false">INDEX(Customers!$B$2:$B$101,MATCH($B569,Customers!$A$2:$A$101,0))</f>
        <v>Pihu Choudhury</v>
      </c>
      <c r="R569" s="46" t="n">
        <f aca="false">MONTH($E569)</f>
        <v>6</v>
      </c>
      <c r="S569" s="46" t="str">
        <f aca="false">INDEX(Lists!$B$2:$B$13,$R569)</f>
        <v>June</v>
      </c>
      <c r="T569" s="46" t="n">
        <f aca="false">HOUR($F569)</f>
        <v>20</v>
      </c>
      <c r="U569" s="46" t="n">
        <f aca="false">WEEKDAY($E569,2)</f>
        <v>4</v>
      </c>
      <c r="V569" s="46" t="str">
        <f aca="false">INDEX(Lists!$F$2:$F$8,$U569)</f>
        <v>Thursday</v>
      </c>
      <c r="W569" s="85" t="n">
        <f aca="false">($G569+$H569)-($E569+$F569)</f>
        <v>8.68096064814815</v>
      </c>
      <c r="X569" s="46" t="str">
        <f aca="false">LOOKUP($M569,Lists!$G$2:$G$5,Lists!$H$2:$H$5)</f>
        <v>₹0 - 499</v>
      </c>
      <c r="Y569" s="46" t="str">
        <f aca="false">LOOKUP($W569,Lists!$I$2:$I$7,Lists!$J$2:$J$7)</f>
        <v>8 - 10 days</v>
      </c>
    </row>
    <row r="570" customFormat="false" ht="15" hidden="false" customHeight="false" outlineLevel="0" collapsed="false">
      <c r="A570" s="7" t="n">
        <v>569</v>
      </c>
      <c r="B570" s="7" t="s">
        <v>192</v>
      </c>
      <c r="C570" s="7" t="n">
        <v>53</v>
      </c>
      <c r="D570" s="7" t="n">
        <v>2</v>
      </c>
      <c r="E570" s="77" t="n">
        <v>45166</v>
      </c>
      <c r="F570" s="78" t="n">
        <v>0.583831018518519</v>
      </c>
      <c r="G570" s="77" t="n">
        <v>45173</v>
      </c>
      <c r="H570" s="78" t="n">
        <v>0.747476851851852</v>
      </c>
      <c r="I570" s="7" t="s">
        <v>533</v>
      </c>
      <c r="J570" s="7" t="s">
        <v>40</v>
      </c>
      <c r="K570" s="79" t="str">
        <f aca="false">INDEX(Products!$B$2:$B$71,MATCH($C570,Products!$A$2:$A$71,0))</f>
        <v>Ipsam Set</v>
      </c>
      <c r="L570" s="79" t="str">
        <f aca="false">INDEX(Products!$C$2:$C$71,MATCH($C570,Products!$A$2:$A$71,0))</f>
        <v>Sweets</v>
      </c>
      <c r="M570" s="80" t="n">
        <f aca="false">INDEX(Products!$D$2:$D$71,MATCH($C570,Products!$A$2:$A$71,0))</f>
        <v>1672</v>
      </c>
      <c r="N570" s="80" t="n">
        <f aca="false">$D570*$M570</f>
        <v>3344</v>
      </c>
      <c r="O570" s="79" t="str">
        <f aca="false">INDEX(Customers!$C$2:$C$101,MATCH($B570,Customers!$A$2:$A$101,0))</f>
        <v>Serampore</v>
      </c>
      <c r="P570" s="79" t="str">
        <f aca="false">INDEX(Customers!$F$2:$F$101,MATCH($B570,Customers!$A$2:$A$101,0))</f>
        <v>Female</v>
      </c>
      <c r="Q570" s="79" t="str">
        <f aca="false">INDEX(Customers!$B$2:$B$101,MATCH($B570,Customers!$A$2:$A$101,0))</f>
        <v>Kashvi Sur</v>
      </c>
      <c r="R570" s="79" t="n">
        <f aca="false">MONTH($E570)</f>
        <v>8</v>
      </c>
      <c r="S570" s="79" t="str">
        <f aca="false">INDEX(Lists!$B$2:$B$13,$R570)</f>
        <v>August</v>
      </c>
      <c r="T570" s="79" t="n">
        <f aca="false">HOUR($F570)</f>
        <v>14</v>
      </c>
      <c r="U570" s="79" t="n">
        <f aca="false">WEEKDAY($E570,2)</f>
        <v>1</v>
      </c>
      <c r="V570" s="79" t="str">
        <f aca="false">INDEX(Lists!$F$2:$F$8,$U570)</f>
        <v>Monday</v>
      </c>
      <c r="W570" s="81" t="n">
        <f aca="false">($G570+$H570)-($E570+$F570)</f>
        <v>7.16364583333333</v>
      </c>
      <c r="X570" s="79" t="str">
        <f aca="false">LOOKUP($M570,Lists!$G$2:$G$5,Lists!$H$2:$H$5)</f>
        <v>₹1,500 - 2,000</v>
      </c>
      <c r="Y570" s="79" t="str">
        <f aca="false">LOOKUP($W570,Lists!$I$2:$I$7,Lists!$J$2:$J$7)</f>
        <v>6 - 8 days</v>
      </c>
    </row>
    <row r="571" customFormat="false" ht="15" hidden="false" customHeight="false" outlineLevel="0" collapsed="false">
      <c r="A571" s="2" t="n">
        <v>570</v>
      </c>
      <c r="B571" s="2" t="s">
        <v>272</v>
      </c>
      <c r="C571" s="2" t="n">
        <v>69</v>
      </c>
      <c r="D571" s="2" t="n">
        <v>3</v>
      </c>
      <c r="E571" s="82" t="n">
        <v>44985</v>
      </c>
      <c r="F571" s="83" t="n">
        <v>0.475740740740741</v>
      </c>
      <c r="G571" s="82" t="n">
        <v>44994</v>
      </c>
      <c r="H571" s="83" t="n">
        <v>0.0374421296296296</v>
      </c>
      <c r="I571" s="2" t="s">
        <v>559</v>
      </c>
      <c r="J571" s="2" t="s">
        <v>33</v>
      </c>
      <c r="K571" s="46" t="str">
        <f aca="false">INDEX(Products!$B$2:$B$71,MATCH($C571,Products!$A$2:$A$71,0))</f>
        <v>Id Box</v>
      </c>
      <c r="L571" s="46" t="str">
        <f aca="false">INDEX(Products!$C$2:$C$71,MATCH($C571,Products!$A$2:$A$71,0))</f>
        <v>Cake</v>
      </c>
      <c r="M571" s="84" t="n">
        <f aca="false">INDEX(Products!$D$2:$D$71,MATCH($C571,Products!$A$2:$A$71,0))</f>
        <v>998</v>
      </c>
      <c r="N571" s="84" t="n">
        <f aca="false">$D571*$M571</f>
        <v>2994</v>
      </c>
      <c r="O571" s="46" t="str">
        <f aca="false">INDEX(Customers!$C$2:$C$101,MATCH($B571,Customers!$A$2:$A$101,0))</f>
        <v>Haridwar</v>
      </c>
      <c r="P571" s="46" t="str">
        <f aca="false">INDEX(Customers!$F$2:$F$101,MATCH($B571,Customers!$A$2:$A$101,0))</f>
        <v>Male</v>
      </c>
      <c r="Q571" s="46" t="str">
        <f aca="false">INDEX(Customers!$B$2:$B$101,MATCH($B571,Customers!$A$2:$A$101,0))</f>
        <v>Pihu Choudhury</v>
      </c>
      <c r="R571" s="46" t="n">
        <f aca="false">MONTH($E571)</f>
        <v>2</v>
      </c>
      <c r="S571" s="46" t="str">
        <f aca="false">INDEX(Lists!$B$2:$B$13,$R571)</f>
        <v>February</v>
      </c>
      <c r="T571" s="46" t="n">
        <f aca="false">HOUR($F571)</f>
        <v>11</v>
      </c>
      <c r="U571" s="46" t="n">
        <f aca="false">WEEKDAY($E571,2)</f>
        <v>2</v>
      </c>
      <c r="V571" s="46" t="str">
        <f aca="false">INDEX(Lists!$F$2:$F$8,$U571)</f>
        <v>Tuesday</v>
      </c>
      <c r="W571" s="85" t="n">
        <f aca="false">($G571+$H571)-($E571+$F571)</f>
        <v>8.56170138888889</v>
      </c>
      <c r="X571" s="46" t="str">
        <f aca="false">LOOKUP($M571,Lists!$G$2:$G$5,Lists!$H$2:$H$5)</f>
        <v>₹500 - 999</v>
      </c>
      <c r="Y571" s="46" t="str">
        <f aca="false">LOOKUP($W571,Lists!$I$2:$I$7,Lists!$J$2:$J$7)</f>
        <v>8 - 10 days</v>
      </c>
    </row>
    <row r="572" customFormat="false" ht="15" hidden="false" customHeight="false" outlineLevel="0" collapsed="false">
      <c r="A572" s="7" t="n">
        <v>571</v>
      </c>
      <c r="B572" s="7" t="s">
        <v>242</v>
      </c>
      <c r="C572" s="7" t="n">
        <v>6</v>
      </c>
      <c r="D572" s="7" t="n">
        <v>1</v>
      </c>
      <c r="E572" s="77" t="n">
        <v>44985</v>
      </c>
      <c r="F572" s="78" t="n">
        <v>0.401678240740741</v>
      </c>
      <c r="G572" s="77" t="n">
        <v>44994</v>
      </c>
      <c r="H572" s="78" t="n">
        <v>0.184733796296296</v>
      </c>
      <c r="I572" s="7" t="s">
        <v>235</v>
      </c>
      <c r="J572" s="7" t="s">
        <v>33</v>
      </c>
      <c r="K572" s="79" t="str">
        <f aca="false">INDEX(Products!$B$2:$B$71,MATCH($C572,Products!$A$2:$A$71,0))</f>
        <v>Quos Box</v>
      </c>
      <c r="L572" s="79" t="str">
        <f aca="false">INDEX(Products!$C$2:$C$71,MATCH($C572,Products!$A$2:$A$71,0))</f>
        <v>Cake</v>
      </c>
      <c r="M572" s="80" t="n">
        <f aca="false">INDEX(Products!$D$2:$D$71,MATCH($C572,Products!$A$2:$A$71,0))</f>
        <v>1112</v>
      </c>
      <c r="N572" s="80" t="n">
        <f aca="false">$D572*$M572</f>
        <v>1112</v>
      </c>
      <c r="O572" s="79" t="str">
        <f aca="false">INDEX(Customers!$C$2:$C$101,MATCH($B572,Customers!$A$2:$A$101,0))</f>
        <v>Guna</v>
      </c>
      <c r="P572" s="79" t="str">
        <f aca="false">INDEX(Customers!$F$2:$F$101,MATCH($B572,Customers!$A$2:$A$101,0))</f>
        <v>Male</v>
      </c>
      <c r="Q572" s="79" t="str">
        <f aca="false">INDEX(Customers!$B$2:$B$101,MATCH($B572,Customers!$A$2:$A$101,0))</f>
        <v>Tara Kannan</v>
      </c>
      <c r="R572" s="79" t="n">
        <f aca="false">MONTH($E572)</f>
        <v>2</v>
      </c>
      <c r="S572" s="79" t="str">
        <f aca="false">INDEX(Lists!$B$2:$B$13,$R572)</f>
        <v>February</v>
      </c>
      <c r="T572" s="79" t="n">
        <f aca="false">HOUR($F572)</f>
        <v>9</v>
      </c>
      <c r="U572" s="79" t="n">
        <f aca="false">WEEKDAY($E572,2)</f>
        <v>2</v>
      </c>
      <c r="V572" s="79" t="str">
        <f aca="false">INDEX(Lists!$F$2:$F$8,$U572)</f>
        <v>Tuesday</v>
      </c>
      <c r="W572" s="81" t="n">
        <f aca="false">($G572+$H572)-($E572+$F572)</f>
        <v>8.78305555555556</v>
      </c>
      <c r="X572" s="79" t="str">
        <f aca="false">LOOKUP($M572,Lists!$G$2:$G$5,Lists!$H$2:$H$5)</f>
        <v>₹1,000 - 1,499</v>
      </c>
      <c r="Y572" s="79" t="str">
        <f aca="false">LOOKUP($W572,Lists!$I$2:$I$7,Lists!$J$2:$J$7)</f>
        <v>8 - 10 days</v>
      </c>
    </row>
    <row r="573" customFormat="false" ht="15" hidden="false" customHeight="false" outlineLevel="0" collapsed="false">
      <c r="A573" s="2" t="n">
        <v>572</v>
      </c>
      <c r="B573" s="2" t="s">
        <v>283</v>
      </c>
      <c r="C573" s="2" t="n">
        <v>25</v>
      </c>
      <c r="D573" s="2" t="n">
        <v>5</v>
      </c>
      <c r="E573" s="82" t="n">
        <v>45081</v>
      </c>
      <c r="F573" s="83" t="n">
        <v>0.658761574074074</v>
      </c>
      <c r="G573" s="82" t="n">
        <v>45087</v>
      </c>
      <c r="H573" s="83" t="n">
        <v>0.424861111111111</v>
      </c>
      <c r="I573" s="2" t="s">
        <v>447</v>
      </c>
      <c r="J573" s="2" t="s">
        <v>168</v>
      </c>
      <c r="K573" s="46" t="str">
        <f aca="false">INDEX(Products!$B$2:$B$71,MATCH($C573,Products!$A$2:$A$71,0))</f>
        <v>Qui Gift</v>
      </c>
      <c r="L573" s="46" t="str">
        <f aca="false">INDEX(Products!$C$2:$C$71,MATCH($C573,Products!$A$2:$A$71,0))</f>
        <v>Plants</v>
      </c>
      <c r="M573" s="84" t="n">
        <f aca="false">INDEX(Products!$D$2:$D$71,MATCH($C573,Products!$A$2:$A$71,0))</f>
        <v>1202</v>
      </c>
      <c r="N573" s="84" t="n">
        <f aca="false">$D573*$M573</f>
        <v>6010</v>
      </c>
      <c r="O573" s="46" t="str">
        <f aca="false">INDEX(Customers!$C$2:$C$101,MATCH($B573,Customers!$A$2:$A$101,0))</f>
        <v>Satara</v>
      </c>
      <c r="P573" s="46" t="str">
        <f aca="false">INDEX(Customers!$F$2:$F$101,MATCH($B573,Customers!$A$2:$A$101,0))</f>
        <v>Male</v>
      </c>
      <c r="Q573" s="46" t="str">
        <f aca="false">INDEX(Customers!$B$2:$B$101,MATCH($B573,Customers!$A$2:$A$101,0))</f>
        <v>Riya Wagle</v>
      </c>
      <c r="R573" s="46" t="n">
        <f aca="false">MONTH($E573)</f>
        <v>6</v>
      </c>
      <c r="S573" s="46" t="str">
        <f aca="false">INDEX(Lists!$B$2:$B$13,$R573)</f>
        <v>June</v>
      </c>
      <c r="T573" s="46" t="n">
        <f aca="false">HOUR($F573)</f>
        <v>15</v>
      </c>
      <c r="U573" s="46" t="n">
        <f aca="false">WEEKDAY($E573,2)</f>
        <v>7</v>
      </c>
      <c r="V573" s="46" t="str">
        <f aca="false">INDEX(Lists!$F$2:$F$8,$U573)</f>
        <v>Sunday</v>
      </c>
      <c r="W573" s="85" t="n">
        <f aca="false">($G573+$H573)-($E573+$F573)</f>
        <v>5.76609953703704</v>
      </c>
      <c r="X573" s="46" t="str">
        <f aca="false">LOOKUP($M573,Lists!$G$2:$G$5,Lists!$H$2:$H$5)</f>
        <v>₹1,000 - 1,499</v>
      </c>
      <c r="Y573" s="46" t="str">
        <f aca="false">LOOKUP($W573,Lists!$I$2:$I$7,Lists!$J$2:$J$7)</f>
        <v>4 - 6 days</v>
      </c>
    </row>
    <row r="574" customFormat="false" ht="15" hidden="false" customHeight="false" outlineLevel="0" collapsed="false">
      <c r="A574" s="7" t="n">
        <v>573</v>
      </c>
      <c r="B574" s="7" t="s">
        <v>224</v>
      </c>
      <c r="C574" s="7" t="n">
        <v>3</v>
      </c>
      <c r="D574" s="7" t="n">
        <v>5</v>
      </c>
      <c r="E574" s="77" t="n">
        <v>44965</v>
      </c>
      <c r="F574" s="78" t="n">
        <v>0.119513888888889</v>
      </c>
      <c r="G574" s="77" t="n">
        <v>44971</v>
      </c>
      <c r="H574" s="78" t="n">
        <v>0.122986111111111</v>
      </c>
      <c r="I574" s="7" t="s">
        <v>586</v>
      </c>
      <c r="J574" s="7" t="s">
        <v>179</v>
      </c>
      <c r="K574" s="79" t="str">
        <f aca="false">INDEX(Products!$B$2:$B$71,MATCH($C574,Products!$A$2:$A$71,0))</f>
        <v>Eius Gift</v>
      </c>
      <c r="L574" s="79" t="str">
        <f aca="false">INDEX(Products!$C$2:$C$71,MATCH($C574,Products!$A$2:$A$71,0))</f>
        <v>Colors</v>
      </c>
      <c r="M574" s="80" t="n">
        <f aca="false">INDEX(Products!$D$2:$D$71,MATCH($C574,Products!$A$2:$A$71,0))</f>
        <v>1534</v>
      </c>
      <c r="N574" s="80" t="n">
        <f aca="false">$D574*$M574</f>
        <v>7670</v>
      </c>
      <c r="O574" s="79" t="str">
        <f aca="false">INDEX(Customers!$C$2:$C$101,MATCH($B574,Customers!$A$2:$A$101,0))</f>
        <v>Pallavaram</v>
      </c>
      <c r="P574" s="79" t="str">
        <f aca="false">INDEX(Customers!$F$2:$F$101,MATCH($B574,Customers!$A$2:$A$101,0))</f>
        <v>Female</v>
      </c>
      <c r="Q574" s="79" t="str">
        <f aca="false">INDEX(Customers!$B$2:$B$101,MATCH($B574,Customers!$A$2:$A$101,0))</f>
        <v>Hazel Mangat</v>
      </c>
      <c r="R574" s="79" t="n">
        <f aca="false">MONTH($E574)</f>
        <v>2</v>
      </c>
      <c r="S574" s="79" t="str">
        <f aca="false">INDEX(Lists!$B$2:$B$13,$R574)</f>
        <v>February</v>
      </c>
      <c r="T574" s="79" t="n">
        <f aca="false">HOUR($F574)</f>
        <v>2</v>
      </c>
      <c r="U574" s="79" t="n">
        <f aca="false">WEEKDAY($E574,2)</f>
        <v>3</v>
      </c>
      <c r="V574" s="79" t="str">
        <f aca="false">INDEX(Lists!$F$2:$F$8,$U574)</f>
        <v>Wednesday</v>
      </c>
      <c r="W574" s="81" t="n">
        <f aca="false">($G574+$H574)-($E574+$F574)</f>
        <v>6.00347222222222</v>
      </c>
      <c r="X574" s="79" t="str">
        <f aca="false">LOOKUP($M574,Lists!$G$2:$G$5,Lists!$H$2:$H$5)</f>
        <v>₹1,500 - 2,000</v>
      </c>
      <c r="Y574" s="79" t="str">
        <f aca="false">LOOKUP($W574,Lists!$I$2:$I$7,Lists!$J$2:$J$7)</f>
        <v>6 - 8 days</v>
      </c>
    </row>
    <row r="575" customFormat="false" ht="15" hidden="false" customHeight="false" outlineLevel="0" collapsed="false">
      <c r="A575" s="2" t="n">
        <v>574</v>
      </c>
      <c r="B575" s="2" t="s">
        <v>294</v>
      </c>
      <c r="C575" s="2" t="n">
        <v>29</v>
      </c>
      <c r="D575" s="2" t="n">
        <v>3</v>
      </c>
      <c r="E575" s="82" t="n">
        <v>44987</v>
      </c>
      <c r="F575" s="83" t="n">
        <v>0.997986111111111</v>
      </c>
      <c r="G575" s="82" t="n">
        <v>44991</v>
      </c>
      <c r="H575" s="83" t="n">
        <v>0.906388888888889</v>
      </c>
      <c r="I575" s="2" t="s">
        <v>467</v>
      </c>
      <c r="J575" s="2" t="s">
        <v>33</v>
      </c>
      <c r="K575" s="46" t="str">
        <f aca="false">INDEX(Products!$B$2:$B$71,MATCH($C575,Products!$A$2:$A$71,0))</f>
        <v>In Set</v>
      </c>
      <c r="L575" s="46" t="str">
        <f aca="false">INDEX(Products!$C$2:$C$71,MATCH($C575,Products!$A$2:$A$71,0))</f>
        <v>Colors</v>
      </c>
      <c r="M575" s="84" t="n">
        <f aca="false">INDEX(Products!$D$2:$D$71,MATCH($C575,Products!$A$2:$A$71,0))</f>
        <v>1252</v>
      </c>
      <c r="N575" s="84" t="n">
        <f aca="false">$D575*$M575</f>
        <v>3756</v>
      </c>
      <c r="O575" s="46" t="str">
        <f aca="false">INDEX(Customers!$C$2:$C$101,MATCH($B575,Customers!$A$2:$A$101,0))</f>
        <v>Srikakulam</v>
      </c>
      <c r="P575" s="46" t="str">
        <f aca="false">INDEX(Customers!$F$2:$F$101,MATCH($B575,Customers!$A$2:$A$101,0))</f>
        <v>Male</v>
      </c>
      <c r="Q575" s="46" t="str">
        <f aca="false">INDEX(Customers!$B$2:$B$101,MATCH($B575,Customers!$A$2:$A$101,0))</f>
        <v>Indrajit Kale</v>
      </c>
      <c r="R575" s="46" t="n">
        <f aca="false">MONTH($E575)</f>
        <v>3</v>
      </c>
      <c r="S575" s="46" t="str">
        <f aca="false">INDEX(Lists!$B$2:$B$13,$R575)</f>
        <v>March</v>
      </c>
      <c r="T575" s="46" t="n">
        <f aca="false">HOUR($F575)</f>
        <v>23</v>
      </c>
      <c r="U575" s="46" t="n">
        <f aca="false">WEEKDAY($E575,2)</f>
        <v>4</v>
      </c>
      <c r="V575" s="46" t="str">
        <f aca="false">INDEX(Lists!$F$2:$F$8,$U575)</f>
        <v>Thursday</v>
      </c>
      <c r="W575" s="85" t="n">
        <f aca="false">($G575+$H575)-($E575+$F575)</f>
        <v>3.90840277777778</v>
      </c>
      <c r="X575" s="46" t="str">
        <f aca="false">LOOKUP($M575,Lists!$G$2:$G$5,Lists!$H$2:$H$5)</f>
        <v>₹1,000 - 1,499</v>
      </c>
      <c r="Y575" s="46" t="str">
        <f aca="false">LOOKUP($W575,Lists!$I$2:$I$7,Lists!$J$2:$J$7)</f>
        <v>2 - 4 days</v>
      </c>
    </row>
    <row r="576" customFormat="false" ht="15" hidden="false" customHeight="false" outlineLevel="0" collapsed="false">
      <c r="A576" s="7" t="n">
        <v>575</v>
      </c>
      <c r="B576" s="7" t="s">
        <v>328</v>
      </c>
      <c r="C576" s="7" t="n">
        <v>49</v>
      </c>
      <c r="D576" s="7" t="n">
        <v>2</v>
      </c>
      <c r="E576" s="77" t="n">
        <v>44963</v>
      </c>
      <c r="F576" s="78" t="n">
        <v>0.558703703703704</v>
      </c>
      <c r="G576" s="77" t="n">
        <v>44966</v>
      </c>
      <c r="H576" s="78" t="n">
        <v>0.62162037037037</v>
      </c>
      <c r="I576" s="7" t="s">
        <v>465</v>
      </c>
      <c r="J576" s="7" t="s">
        <v>179</v>
      </c>
      <c r="K576" s="79" t="str">
        <f aca="false">INDEX(Products!$B$2:$B$71,MATCH($C576,Products!$A$2:$A$71,0))</f>
        <v>Voluptate Pack</v>
      </c>
      <c r="L576" s="79" t="str">
        <f aca="false">INDEX(Products!$C$2:$C$71,MATCH($C576,Products!$A$2:$A$71,0))</f>
        <v>Colors</v>
      </c>
      <c r="M576" s="80" t="n">
        <f aca="false">INDEX(Products!$D$2:$D$71,MATCH($C576,Products!$A$2:$A$71,0))</f>
        <v>903</v>
      </c>
      <c r="N576" s="80" t="n">
        <f aca="false">$D576*$M576</f>
        <v>1806</v>
      </c>
      <c r="O576" s="79" t="str">
        <f aca="false">INDEX(Customers!$C$2:$C$101,MATCH($B576,Customers!$A$2:$A$101,0))</f>
        <v>Gaya</v>
      </c>
      <c r="P576" s="79" t="str">
        <f aca="false">INDEX(Customers!$F$2:$F$101,MATCH($B576,Customers!$A$2:$A$101,0))</f>
        <v>Female</v>
      </c>
      <c r="Q576" s="79" t="str">
        <f aca="false">INDEX(Customers!$B$2:$B$101,MATCH($B576,Customers!$A$2:$A$101,0))</f>
        <v>Oorja Dayal</v>
      </c>
      <c r="R576" s="79" t="n">
        <f aca="false">MONTH($E576)</f>
        <v>2</v>
      </c>
      <c r="S576" s="79" t="str">
        <f aca="false">INDEX(Lists!$B$2:$B$13,$R576)</f>
        <v>February</v>
      </c>
      <c r="T576" s="79" t="n">
        <f aca="false">HOUR($F576)</f>
        <v>13</v>
      </c>
      <c r="U576" s="79" t="n">
        <f aca="false">WEEKDAY($E576,2)</f>
        <v>1</v>
      </c>
      <c r="V576" s="79" t="str">
        <f aca="false">INDEX(Lists!$F$2:$F$8,$U576)</f>
        <v>Monday</v>
      </c>
      <c r="W576" s="81" t="n">
        <f aca="false">($G576+$H576)-($E576+$F576)</f>
        <v>3.06291666666667</v>
      </c>
      <c r="X576" s="79" t="str">
        <f aca="false">LOOKUP($M576,Lists!$G$2:$G$5,Lists!$H$2:$H$5)</f>
        <v>₹500 - 999</v>
      </c>
      <c r="Y576" s="79" t="str">
        <f aca="false">LOOKUP($W576,Lists!$I$2:$I$7,Lists!$J$2:$J$7)</f>
        <v>2 - 4 days</v>
      </c>
    </row>
    <row r="577" customFormat="false" ht="15" hidden="false" customHeight="false" outlineLevel="0" collapsed="false">
      <c r="A577" s="2" t="n">
        <v>576</v>
      </c>
      <c r="B577" s="2" t="s">
        <v>322</v>
      </c>
      <c r="C577" s="2" t="n">
        <v>53</v>
      </c>
      <c r="D577" s="2" t="n">
        <v>4</v>
      </c>
      <c r="E577" s="82" t="n">
        <v>45158</v>
      </c>
      <c r="F577" s="83" t="n">
        <v>0.294872685185185</v>
      </c>
      <c r="G577" s="82" t="n">
        <v>45164</v>
      </c>
      <c r="H577" s="83" t="n">
        <v>0.334710648148148</v>
      </c>
      <c r="I577" s="2" t="s">
        <v>187</v>
      </c>
      <c r="J577" s="2" t="s">
        <v>40</v>
      </c>
      <c r="K577" s="46" t="str">
        <f aca="false">INDEX(Products!$B$2:$B$71,MATCH($C577,Products!$A$2:$A$71,0))</f>
        <v>Ipsam Set</v>
      </c>
      <c r="L577" s="46" t="str">
        <f aca="false">INDEX(Products!$C$2:$C$71,MATCH($C577,Products!$A$2:$A$71,0))</f>
        <v>Sweets</v>
      </c>
      <c r="M577" s="84" t="n">
        <f aca="false">INDEX(Products!$D$2:$D$71,MATCH($C577,Products!$A$2:$A$71,0))</f>
        <v>1672</v>
      </c>
      <c r="N577" s="84" t="n">
        <f aca="false">$D577*$M577</f>
        <v>6688</v>
      </c>
      <c r="O577" s="46" t="str">
        <f aca="false">INDEX(Customers!$C$2:$C$101,MATCH($B577,Customers!$A$2:$A$101,0))</f>
        <v>Sultan Pur Majra</v>
      </c>
      <c r="P577" s="46" t="str">
        <f aca="false">INDEX(Customers!$F$2:$F$101,MATCH($B577,Customers!$A$2:$A$101,0))</f>
        <v>Female</v>
      </c>
      <c r="Q577" s="46" t="str">
        <f aca="false">INDEX(Customers!$B$2:$B$101,MATCH($B577,Customers!$A$2:$A$101,0))</f>
        <v>Vanya Apte</v>
      </c>
      <c r="R577" s="46" t="n">
        <f aca="false">MONTH($E577)</f>
        <v>8</v>
      </c>
      <c r="S577" s="46" t="str">
        <f aca="false">INDEX(Lists!$B$2:$B$13,$R577)</f>
        <v>August</v>
      </c>
      <c r="T577" s="46" t="n">
        <f aca="false">HOUR($F577)</f>
        <v>7</v>
      </c>
      <c r="U577" s="46" t="n">
        <f aca="false">WEEKDAY($E577,2)</f>
        <v>7</v>
      </c>
      <c r="V577" s="46" t="str">
        <f aca="false">INDEX(Lists!$F$2:$F$8,$U577)</f>
        <v>Sunday</v>
      </c>
      <c r="W577" s="85" t="n">
        <f aca="false">($G577+$H577)-($E577+$F577)</f>
        <v>6.03983796296296</v>
      </c>
      <c r="X577" s="46" t="str">
        <f aca="false">LOOKUP($M577,Lists!$G$2:$G$5,Lists!$H$2:$H$5)</f>
        <v>₹1,500 - 2,000</v>
      </c>
      <c r="Y577" s="46" t="str">
        <f aca="false">LOOKUP($W577,Lists!$I$2:$I$7,Lists!$J$2:$J$7)</f>
        <v>6 - 8 days</v>
      </c>
    </row>
    <row r="578" customFormat="false" ht="15" hidden="false" customHeight="false" outlineLevel="0" collapsed="false">
      <c r="A578" s="7" t="n">
        <v>577</v>
      </c>
      <c r="B578" s="7" t="s">
        <v>145</v>
      </c>
      <c r="C578" s="7" t="n">
        <v>20</v>
      </c>
      <c r="D578" s="7" t="n">
        <v>4</v>
      </c>
      <c r="E578" s="77" t="n">
        <v>45227</v>
      </c>
      <c r="F578" s="78" t="n">
        <v>0.619050925925926</v>
      </c>
      <c r="G578" s="77" t="n">
        <v>45235</v>
      </c>
      <c r="H578" s="78" t="n">
        <v>0.785243055555556</v>
      </c>
      <c r="I578" s="7" t="s">
        <v>408</v>
      </c>
      <c r="J578" s="7" t="s">
        <v>168</v>
      </c>
      <c r="K578" s="79" t="str">
        <f aca="false">INDEX(Products!$B$2:$B$71,MATCH($C578,Products!$A$2:$A$71,0))</f>
        <v>Reiciendis Box</v>
      </c>
      <c r="L578" s="79" t="str">
        <f aca="false">INDEX(Products!$C$2:$C$71,MATCH($C578,Products!$A$2:$A$71,0))</f>
        <v>Colors</v>
      </c>
      <c r="M578" s="80" t="n">
        <f aca="false">INDEX(Products!$D$2:$D$71,MATCH($C578,Products!$A$2:$A$71,0))</f>
        <v>697</v>
      </c>
      <c r="N578" s="80" t="n">
        <f aca="false">$D578*$M578</f>
        <v>2788</v>
      </c>
      <c r="O578" s="79" t="str">
        <f aca="false">INDEX(Customers!$C$2:$C$101,MATCH($B578,Customers!$A$2:$A$101,0))</f>
        <v>Chinsurah</v>
      </c>
      <c r="P578" s="79" t="str">
        <f aca="false">INDEX(Customers!$F$2:$F$101,MATCH($B578,Customers!$A$2:$A$101,0))</f>
        <v>Female</v>
      </c>
      <c r="Q578" s="79" t="str">
        <f aca="false">INDEX(Customers!$B$2:$B$101,MATCH($B578,Customers!$A$2:$A$101,0))</f>
        <v>Veer Ray</v>
      </c>
      <c r="R578" s="79" t="n">
        <f aca="false">MONTH($E578)</f>
        <v>10</v>
      </c>
      <c r="S578" s="79" t="str">
        <f aca="false">INDEX(Lists!$B$2:$B$13,$R578)</f>
        <v>October</v>
      </c>
      <c r="T578" s="79" t="n">
        <f aca="false">HOUR($F578)</f>
        <v>14</v>
      </c>
      <c r="U578" s="79" t="n">
        <f aca="false">WEEKDAY($E578,2)</f>
        <v>6</v>
      </c>
      <c r="V578" s="79" t="str">
        <f aca="false">INDEX(Lists!$F$2:$F$8,$U578)</f>
        <v>Saturday</v>
      </c>
      <c r="W578" s="81" t="n">
        <f aca="false">($G578+$H578)-($E578+$F578)</f>
        <v>8.16619212962963</v>
      </c>
      <c r="X578" s="79" t="str">
        <f aca="false">LOOKUP($M578,Lists!$G$2:$G$5,Lists!$H$2:$H$5)</f>
        <v>₹500 - 999</v>
      </c>
      <c r="Y578" s="79" t="str">
        <f aca="false">LOOKUP($W578,Lists!$I$2:$I$7,Lists!$J$2:$J$7)</f>
        <v>8 - 10 days</v>
      </c>
    </row>
    <row r="579" customFormat="false" ht="15" hidden="false" customHeight="false" outlineLevel="0" collapsed="false">
      <c r="A579" s="2" t="n">
        <v>578</v>
      </c>
      <c r="B579" s="2" t="s">
        <v>145</v>
      </c>
      <c r="C579" s="2" t="n">
        <v>18</v>
      </c>
      <c r="D579" s="2" t="n">
        <v>4</v>
      </c>
      <c r="E579" s="82" t="n">
        <v>45138</v>
      </c>
      <c r="F579" s="83" t="n">
        <v>0.769212962962963</v>
      </c>
      <c r="G579" s="82" t="n">
        <v>45144</v>
      </c>
      <c r="H579" s="83" t="n">
        <v>0.69681712962963</v>
      </c>
      <c r="I579" s="2" t="s">
        <v>609</v>
      </c>
      <c r="J579" s="2" t="s">
        <v>31</v>
      </c>
      <c r="K579" s="46" t="str">
        <f aca="false">INDEX(Products!$B$2:$B$71,MATCH($C579,Products!$A$2:$A$71,0))</f>
        <v>Nemo Set</v>
      </c>
      <c r="L579" s="46" t="str">
        <f aca="false">INDEX(Products!$C$2:$C$71,MATCH($C579,Products!$A$2:$A$71,0))</f>
        <v>Plants</v>
      </c>
      <c r="M579" s="84" t="n">
        <f aca="false">INDEX(Products!$D$2:$D$71,MATCH($C579,Products!$A$2:$A$71,0))</f>
        <v>781</v>
      </c>
      <c r="N579" s="84" t="n">
        <f aca="false">$D579*$M579</f>
        <v>3124</v>
      </c>
      <c r="O579" s="46" t="str">
        <f aca="false">INDEX(Customers!$C$2:$C$101,MATCH($B579,Customers!$A$2:$A$101,0))</f>
        <v>Chinsurah</v>
      </c>
      <c r="P579" s="46" t="str">
        <f aca="false">INDEX(Customers!$F$2:$F$101,MATCH($B579,Customers!$A$2:$A$101,0))</f>
        <v>Female</v>
      </c>
      <c r="Q579" s="46" t="str">
        <f aca="false">INDEX(Customers!$B$2:$B$101,MATCH($B579,Customers!$A$2:$A$101,0))</f>
        <v>Veer Ray</v>
      </c>
      <c r="R579" s="46" t="n">
        <f aca="false">MONTH($E579)</f>
        <v>7</v>
      </c>
      <c r="S579" s="46" t="str">
        <f aca="false">INDEX(Lists!$B$2:$B$13,$R579)</f>
        <v>July</v>
      </c>
      <c r="T579" s="46" t="n">
        <f aca="false">HOUR($F579)</f>
        <v>18</v>
      </c>
      <c r="U579" s="46" t="n">
        <f aca="false">WEEKDAY($E579,2)</f>
        <v>1</v>
      </c>
      <c r="V579" s="46" t="str">
        <f aca="false">INDEX(Lists!$F$2:$F$8,$U579)</f>
        <v>Monday</v>
      </c>
      <c r="W579" s="85" t="n">
        <f aca="false">($G579+$H579)-($E579+$F579)</f>
        <v>5.92760416666667</v>
      </c>
      <c r="X579" s="46" t="str">
        <f aca="false">LOOKUP($M579,Lists!$G$2:$G$5,Lists!$H$2:$H$5)</f>
        <v>₹500 - 999</v>
      </c>
      <c r="Y579" s="46" t="str">
        <f aca="false">LOOKUP($W579,Lists!$I$2:$I$7,Lists!$J$2:$J$7)</f>
        <v>4 - 6 days</v>
      </c>
    </row>
    <row r="580" customFormat="false" ht="15" hidden="false" customHeight="false" outlineLevel="0" collapsed="false">
      <c r="A580" s="7" t="n">
        <v>579</v>
      </c>
      <c r="B580" s="7" t="s">
        <v>372</v>
      </c>
      <c r="C580" s="7" t="n">
        <v>29</v>
      </c>
      <c r="D580" s="7" t="n">
        <v>2</v>
      </c>
      <c r="E580" s="77" t="n">
        <v>44992</v>
      </c>
      <c r="F580" s="78" t="n">
        <v>0.901851851851852</v>
      </c>
      <c r="G580" s="77" t="n">
        <v>44999</v>
      </c>
      <c r="H580" s="78" t="n">
        <v>0.447986111111111</v>
      </c>
      <c r="I580" s="7" t="s">
        <v>479</v>
      </c>
      <c r="J580" s="7" t="s">
        <v>33</v>
      </c>
      <c r="K580" s="79" t="str">
        <f aca="false">INDEX(Products!$B$2:$B$71,MATCH($C580,Products!$A$2:$A$71,0))</f>
        <v>In Set</v>
      </c>
      <c r="L580" s="79" t="str">
        <f aca="false">INDEX(Products!$C$2:$C$71,MATCH($C580,Products!$A$2:$A$71,0))</f>
        <v>Colors</v>
      </c>
      <c r="M580" s="80" t="n">
        <f aca="false">INDEX(Products!$D$2:$D$71,MATCH($C580,Products!$A$2:$A$71,0))</f>
        <v>1252</v>
      </c>
      <c r="N580" s="80" t="n">
        <f aca="false">$D580*$M580</f>
        <v>2504</v>
      </c>
      <c r="O580" s="79" t="str">
        <f aca="false">INDEX(Customers!$C$2:$C$101,MATCH($B580,Customers!$A$2:$A$101,0))</f>
        <v>Dibrugarh</v>
      </c>
      <c r="P580" s="79" t="str">
        <f aca="false">INDEX(Customers!$F$2:$F$101,MATCH($B580,Customers!$A$2:$A$101,0))</f>
        <v>Male</v>
      </c>
      <c r="Q580" s="79" t="str">
        <f aca="false">INDEX(Customers!$B$2:$B$101,MATCH($B580,Customers!$A$2:$A$101,0))</f>
        <v>Zoya Mani</v>
      </c>
      <c r="R580" s="79" t="n">
        <f aca="false">MONTH($E580)</f>
        <v>3</v>
      </c>
      <c r="S580" s="79" t="str">
        <f aca="false">INDEX(Lists!$B$2:$B$13,$R580)</f>
        <v>March</v>
      </c>
      <c r="T580" s="79" t="n">
        <f aca="false">HOUR($F580)</f>
        <v>21</v>
      </c>
      <c r="U580" s="79" t="n">
        <f aca="false">WEEKDAY($E580,2)</f>
        <v>2</v>
      </c>
      <c r="V580" s="79" t="str">
        <f aca="false">INDEX(Lists!$F$2:$F$8,$U580)</f>
        <v>Tuesday</v>
      </c>
      <c r="W580" s="81" t="n">
        <f aca="false">($G580+$H580)-($E580+$F580)</f>
        <v>6.54613425925926</v>
      </c>
      <c r="X580" s="79" t="str">
        <f aca="false">LOOKUP($M580,Lists!$G$2:$G$5,Lists!$H$2:$H$5)</f>
        <v>₹1,000 - 1,499</v>
      </c>
      <c r="Y580" s="79" t="str">
        <f aca="false">LOOKUP($W580,Lists!$I$2:$I$7,Lists!$J$2:$J$7)</f>
        <v>6 - 8 days</v>
      </c>
    </row>
    <row r="581" customFormat="false" ht="15" hidden="false" customHeight="false" outlineLevel="0" collapsed="false">
      <c r="A581" s="2" t="n">
        <v>580</v>
      </c>
      <c r="B581" s="2" t="s">
        <v>375</v>
      </c>
      <c r="C581" s="2" t="n">
        <v>24</v>
      </c>
      <c r="D581" s="2" t="n">
        <v>4</v>
      </c>
      <c r="E581" s="82" t="n">
        <v>45093</v>
      </c>
      <c r="F581" s="83" t="n">
        <v>0.918888888888889</v>
      </c>
      <c r="G581" s="82" t="n">
        <v>45097</v>
      </c>
      <c r="H581" s="83" t="n">
        <v>0.517847222222222</v>
      </c>
      <c r="I581" s="2" t="s">
        <v>235</v>
      </c>
      <c r="J581" s="2" t="s">
        <v>31</v>
      </c>
      <c r="K581" s="46" t="str">
        <f aca="false">INDEX(Products!$B$2:$B$71,MATCH($C581,Products!$A$2:$A$71,0))</f>
        <v>Ad Box</v>
      </c>
      <c r="L581" s="46" t="str">
        <f aca="false">INDEX(Products!$C$2:$C$71,MATCH($C581,Products!$A$2:$A$71,0))</f>
        <v>Mugs</v>
      </c>
      <c r="M581" s="84" t="n">
        <f aca="false">INDEX(Products!$D$2:$D$71,MATCH($C581,Products!$A$2:$A$71,0))</f>
        <v>535</v>
      </c>
      <c r="N581" s="84" t="n">
        <f aca="false">$D581*$M581</f>
        <v>2140</v>
      </c>
      <c r="O581" s="46" t="str">
        <f aca="false">INDEX(Customers!$C$2:$C$101,MATCH($B581,Customers!$A$2:$A$101,0))</f>
        <v>Tumkur</v>
      </c>
      <c r="P581" s="46" t="str">
        <f aca="false">INDEX(Customers!$F$2:$F$101,MATCH($B581,Customers!$A$2:$A$101,0))</f>
        <v>Male</v>
      </c>
      <c r="Q581" s="46" t="str">
        <f aca="false">INDEX(Customers!$B$2:$B$101,MATCH($B581,Customers!$A$2:$A$101,0))</f>
        <v>Mamooty Bawa</v>
      </c>
      <c r="R581" s="46" t="n">
        <f aca="false">MONTH($E581)</f>
        <v>6</v>
      </c>
      <c r="S581" s="46" t="str">
        <f aca="false">INDEX(Lists!$B$2:$B$13,$R581)</f>
        <v>June</v>
      </c>
      <c r="T581" s="46" t="n">
        <f aca="false">HOUR($F581)</f>
        <v>22</v>
      </c>
      <c r="U581" s="46" t="n">
        <f aca="false">WEEKDAY($E581,2)</f>
        <v>5</v>
      </c>
      <c r="V581" s="46" t="str">
        <f aca="false">INDEX(Lists!$F$2:$F$8,$U581)</f>
        <v>Friday</v>
      </c>
      <c r="W581" s="85" t="n">
        <f aca="false">($G581+$H581)-($E581+$F581)</f>
        <v>3.59895833333333</v>
      </c>
      <c r="X581" s="46" t="str">
        <f aca="false">LOOKUP($M581,Lists!$G$2:$G$5,Lists!$H$2:$H$5)</f>
        <v>₹500 - 999</v>
      </c>
      <c r="Y581" s="46" t="str">
        <f aca="false">LOOKUP($W581,Lists!$I$2:$I$7,Lists!$J$2:$J$7)</f>
        <v>2 - 4 days</v>
      </c>
    </row>
    <row r="582" customFormat="false" ht="15" hidden="false" customHeight="false" outlineLevel="0" collapsed="false">
      <c r="A582" s="7" t="n">
        <v>581</v>
      </c>
      <c r="B582" s="7" t="s">
        <v>344</v>
      </c>
      <c r="C582" s="7" t="n">
        <v>18</v>
      </c>
      <c r="D582" s="7" t="n">
        <v>2</v>
      </c>
      <c r="E582" s="77" t="n">
        <v>45109</v>
      </c>
      <c r="F582" s="78" t="n">
        <v>0.0891550925925926</v>
      </c>
      <c r="G582" s="77" t="n">
        <v>45118</v>
      </c>
      <c r="H582" s="78" t="n">
        <v>0.622905092592593</v>
      </c>
      <c r="I582" s="7" t="s">
        <v>175</v>
      </c>
      <c r="J582" s="7" t="s">
        <v>31</v>
      </c>
      <c r="K582" s="79" t="str">
        <f aca="false">INDEX(Products!$B$2:$B$71,MATCH($C582,Products!$A$2:$A$71,0))</f>
        <v>Nemo Set</v>
      </c>
      <c r="L582" s="79" t="str">
        <f aca="false">INDEX(Products!$C$2:$C$71,MATCH($C582,Products!$A$2:$A$71,0))</f>
        <v>Plants</v>
      </c>
      <c r="M582" s="80" t="n">
        <f aca="false">INDEX(Products!$D$2:$D$71,MATCH($C582,Products!$A$2:$A$71,0))</f>
        <v>781</v>
      </c>
      <c r="N582" s="80" t="n">
        <f aca="false">$D582*$M582</f>
        <v>1562</v>
      </c>
      <c r="O582" s="79" t="str">
        <f aca="false">INDEX(Customers!$C$2:$C$101,MATCH($B582,Customers!$A$2:$A$101,0))</f>
        <v>Ahmednagar</v>
      </c>
      <c r="P582" s="79" t="str">
        <f aca="false">INDEX(Customers!$F$2:$F$101,MATCH($B582,Customers!$A$2:$A$101,0))</f>
        <v>Female</v>
      </c>
      <c r="Q582" s="79" t="str">
        <f aca="false">INDEX(Customers!$B$2:$B$101,MATCH($B582,Customers!$A$2:$A$101,0))</f>
        <v>Anya Chaudhari</v>
      </c>
      <c r="R582" s="79" t="n">
        <f aca="false">MONTH($E582)</f>
        <v>7</v>
      </c>
      <c r="S582" s="79" t="str">
        <f aca="false">INDEX(Lists!$B$2:$B$13,$R582)</f>
        <v>July</v>
      </c>
      <c r="T582" s="79" t="n">
        <f aca="false">HOUR($F582)</f>
        <v>2</v>
      </c>
      <c r="U582" s="79" t="n">
        <f aca="false">WEEKDAY($E582,2)</f>
        <v>7</v>
      </c>
      <c r="V582" s="79" t="str">
        <f aca="false">INDEX(Lists!$F$2:$F$8,$U582)</f>
        <v>Sunday</v>
      </c>
      <c r="W582" s="81" t="n">
        <f aca="false">($G582+$H582)-($E582+$F582)</f>
        <v>9.53375</v>
      </c>
      <c r="X582" s="79" t="str">
        <f aca="false">LOOKUP($M582,Lists!$G$2:$G$5,Lists!$H$2:$H$5)</f>
        <v>₹500 - 999</v>
      </c>
      <c r="Y582" s="79" t="str">
        <f aca="false">LOOKUP($W582,Lists!$I$2:$I$7,Lists!$J$2:$J$7)</f>
        <v>8 - 10 days</v>
      </c>
    </row>
    <row r="583" customFormat="false" ht="15" hidden="false" customHeight="false" outlineLevel="0" collapsed="false">
      <c r="A583" s="2" t="n">
        <v>582</v>
      </c>
      <c r="B583" s="2" t="s">
        <v>174</v>
      </c>
      <c r="C583" s="2" t="n">
        <v>3</v>
      </c>
      <c r="D583" s="2" t="n">
        <v>4</v>
      </c>
      <c r="E583" s="82" t="n">
        <v>44961</v>
      </c>
      <c r="F583" s="83" t="n">
        <v>0.77119212962963</v>
      </c>
      <c r="G583" s="82" t="n">
        <v>44962</v>
      </c>
      <c r="H583" s="83" t="n">
        <v>0.803252314814815</v>
      </c>
      <c r="I583" s="2" t="s">
        <v>471</v>
      </c>
      <c r="J583" s="2" t="s">
        <v>179</v>
      </c>
      <c r="K583" s="46" t="str">
        <f aca="false">INDEX(Products!$B$2:$B$71,MATCH($C583,Products!$A$2:$A$71,0))</f>
        <v>Eius Gift</v>
      </c>
      <c r="L583" s="46" t="str">
        <f aca="false">INDEX(Products!$C$2:$C$71,MATCH($C583,Products!$A$2:$A$71,0))</f>
        <v>Colors</v>
      </c>
      <c r="M583" s="84" t="n">
        <f aca="false">INDEX(Products!$D$2:$D$71,MATCH($C583,Products!$A$2:$A$71,0))</f>
        <v>1534</v>
      </c>
      <c r="N583" s="84" t="n">
        <f aca="false">$D583*$M583</f>
        <v>6136</v>
      </c>
      <c r="O583" s="46" t="str">
        <f aca="false">INDEX(Customers!$C$2:$C$101,MATCH($B583,Customers!$A$2:$A$101,0))</f>
        <v>Danapur</v>
      </c>
      <c r="P583" s="46" t="str">
        <f aca="false">INDEX(Customers!$F$2:$F$101,MATCH($B583,Customers!$A$2:$A$101,0))</f>
        <v>Male</v>
      </c>
      <c r="Q583" s="46" t="str">
        <f aca="false">INDEX(Customers!$B$2:$B$101,MATCH($B583,Customers!$A$2:$A$101,0))</f>
        <v>Amira Sengupta</v>
      </c>
      <c r="R583" s="46" t="n">
        <f aca="false">MONTH($E583)</f>
        <v>2</v>
      </c>
      <c r="S583" s="46" t="str">
        <f aca="false">INDEX(Lists!$B$2:$B$13,$R583)</f>
        <v>February</v>
      </c>
      <c r="T583" s="46" t="n">
        <f aca="false">HOUR($F583)</f>
        <v>18</v>
      </c>
      <c r="U583" s="46" t="n">
        <f aca="false">WEEKDAY($E583,2)</f>
        <v>6</v>
      </c>
      <c r="V583" s="46" t="str">
        <f aca="false">INDEX(Lists!$F$2:$F$8,$U583)</f>
        <v>Saturday</v>
      </c>
      <c r="W583" s="85" t="n">
        <f aca="false">($G583+$H583)-($E583+$F583)</f>
        <v>1.03206018518519</v>
      </c>
      <c r="X583" s="46" t="str">
        <f aca="false">LOOKUP($M583,Lists!$G$2:$G$5,Lists!$H$2:$H$5)</f>
        <v>₹1,500 - 2,000</v>
      </c>
      <c r="Y583" s="46" t="str">
        <f aca="false">LOOKUP($W583,Lists!$I$2:$I$7,Lists!$J$2:$J$7)</f>
        <v>0 - 2 days</v>
      </c>
    </row>
    <row r="584" customFormat="false" ht="15" hidden="false" customHeight="false" outlineLevel="0" collapsed="false">
      <c r="A584" s="7" t="n">
        <v>583</v>
      </c>
      <c r="B584" s="7" t="s">
        <v>188</v>
      </c>
      <c r="C584" s="7" t="n">
        <v>56</v>
      </c>
      <c r="D584" s="7" t="n">
        <v>4</v>
      </c>
      <c r="E584" s="77" t="n">
        <v>45187</v>
      </c>
      <c r="F584" s="78" t="n">
        <v>0.699594907407407</v>
      </c>
      <c r="G584" s="77" t="n">
        <v>45191</v>
      </c>
      <c r="H584" s="78" t="n">
        <v>0.832326388888889</v>
      </c>
      <c r="I584" s="7" t="s">
        <v>414</v>
      </c>
      <c r="J584" s="7" t="s">
        <v>168</v>
      </c>
      <c r="K584" s="79" t="str">
        <f aca="false">INDEX(Products!$B$2:$B$71,MATCH($C584,Products!$A$2:$A$71,0))</f>
        <v>Quia Gift</v>
      </c>
      <c r="L584" s="79" t="str">
        <f aca="false">INDEX(Products!$C$2:$C$71,MATCH($C584,Products!$A$2:$A$71,0))</f>
        <v>Raksha Bandhan</v>
      </c>
      <c r="M584" s="80" t="n">
        <f aca="false">INDEX(Products!$D$2:$D$71,MATCH($C584,Products!$A$2:$A$71,0))</f>
        <v>1272</v>
      </c>
      <c r="N584" s="80" t="n">
        <f aca="false">$D584*$M584</f>
        <v>5088</v>
      </c>
      <c r="O584" s="79" t="str">
        <f aca="false">INDEX(Customers!$C$2:$C$101,MATCH($B584,Customers!$A$2:$A$101,0))</f>
        <v>Singrauli</v>
      </c>
      <c r="P584" s="79" t="str">
        <f aca="false">INDEX(Customers!$F$2:$F$101,MATCH($B584,Customers!$A$2:$A$101,0))</f>
        <v>Female</v>
      </c>
      <c r="Q584" s="79" t="str">
        <f aca="false">INDEX(Customers!$B$2:$B$101,MATCH($B584,Customers!$A$2:$A$101,0))</f>
        <v>Ira Bava</v>
      </c>
      <c r="R584" s="79" t="n">
        <f aca="false">MONTH($E584)</f>
        <v>9</v>
      </c>
      <c r="S584" s="79" t="str">
        <f aca="false">INDEX(Lists!$B$2:$B$13,$R584)</f>
        <v>September</v>
      </c>
      <c r="T584" s="79" t="n">
        <f aca="false">HOUR($F584)</f>
        <v>16</v>
      </c>
      <c r="U584" s="79" t="n">
        <f aca="false">WEEKDAY($E584,2)</f>
        <v>1</v>
      </c>
      <c r="V584" s="79" t="str">
        <f aca="false">INDEX(Lists!$F$2:$F$8,$U584)</f>
        <v>Monday</v>
      </c>
      <c r="W584" s="81" t="n">
        <f aca="false">($G584+$H584)-($E584+$F584)</f>
        <v>4.13273148148148</v>
      </c>
      <c r="X584" s="79" t="str">
        <f aca="false">LOOKUP($M584,Lists!$G$2:$G$5,Lists!$H$2:$H$5)</f>
        <v>₹1,000 - 1,499</v>
      </c>
      <c r="Y584" s="79" t="str">
        <f aca="false">LOOKUP($W584,Lists!$I$2:$I$7,Lists!$J$2:$J$7)</f>
        <v>4 - 6 days</v>
      </c>
    </row>
    <row r="585" customFormat="false" ht="15" hidden="false" customHeight="false" outlineLevel="0" collapsed="false">
      <c r="A585" s="2" t="n">
        <v>584</v>
      </c>
      <c r="B585" s="2" t="s">
        <v>363</v>
      </c>
      <c r="C585" s="2" t="n">
        <v>34</v>
      </c>
      <c r="D585" s="2" t="n">
        <v>2</v>
      </c>
      <c r="E585" s="82" t="n">
        <v>45161</v>
      </c>
      <c r="F585" s="83" t="n">
        <v>0.319097222222222</v>
      </c>
      <c r="G585" s="82" t="n">
        <v>45165</v>
      </c>
      <c r="H585" s="83" t="n">
        <v>0.673935185185185</v>
      </c>
      <c r="I585" s="2" t="s">
        <v>359</v>
      </c>
      <c r="J585" s="2" t="s">
        <v>40</v>
      </c>
      <c r="K585" s="46" t="str">
        <f aca="false">INDEX(Products!$B$2:$B$71,MATCH($C585,Products!$A$2:$A$71,0))</f>
        <v>Placeat Pack</v>
      </c>
      <c r="L585" s="46" t="str">
        <f aca="false">INDEX(Products!$C$2:$C$71,MATCH($C585,Products!$A$2:$A$71,0))</f>
        <v>Soft Toys</v>
      </c>
      <c r="M585" s="84" t="n">
        <f aca="false">INDEX(Products!$D$2:$D$71,MATCH($C585,Products!$A$2:$A$71,0))</f>
        <v>1335</v>
      </c>
      <c r="N585" s="84" t="n">
        <f aca="false">$D585*$M585</f>
        <v>2670</v>
      </c>
      <c r="O585" s="46" t="str">
        <f aca="false">INDEX(Customers!$C$2:$C$101,MATCH($B585,Customers!$A$2:$A$101,0))</f>
        <v>Nellore</v>
      </c>
      <c r="P585" s="46" t="str">
        <f aca="false">INDEX(Customers!$F$2:$F$101,MATCH($B585,Customers!$A$2:$A$101,0))</f>
        <v>Female</v>
      </c>
      <c r="Q585" s="46" t="str">
        <f aca="false">INDEX(Customers!$B$2:$B$101,MATCH($B585,Customers!$A$2:$A$101,0))</f>
        <v>Oorja Dey</v>
      </c>
      <c r="R585" s="46" t="n">
        <f aca="false">MONTH($E585)</f>
        <v>8</v>
      </c>
      <c r="S585" s="46" t="str">
        <f aca="false">INDEX(Lists!$B$2:$B$13,$R585)</f>
        <v>August</v>
      </c>
      <c r="T585" s="46" t="n">
        <f aca="false">HOUR($F585)</f>
        <v>7</v>
      </c>
      <c r="U585" s="46" t="n">
        <f aca="false">WEEKDAY($E585,2)</f>
        <v>3</v>
      </c>
      <c r="V585" s="46" t="str">
        <f aca="false">INDEX(Lists!$F$2:$F$8,$U585)</f>
        <v>Wednesday</v>
      </c>
      <c r="W585" s="85" t="n">
        <f aca="false">($G585+$H585)-($E585+$F585)</f>
        <v>4.35483796296296</v>
      </c>
      <c r="X585" s="46" t="str">
        <f aca="false">LOOKUP($M585,Lists!$G$2:$G$5,Lists!$H$2:$H$5)</f>
        <v>₹1,000 - 1,499</v>
      </c>
      <c r="Y585" s="46" t="str">
        <f aca="false">LOOKUP($W585,Lists!$I$2:$I$7,Lists!$J$2:$J$7)</f>
        <v>4 - 6 days</v>
      </c>
    </row>
    <row r="586" customFormat="false" ht="15" hidden="false" customHeight="false" outlineLevel="0" collapsed="false">
      <c r="A586" s="7" t="n">
        <v>585</v>
      </c>
      <c r="B586" s="7" t="s">
        <v>159</v>
      </c>
      <c r="C586" s="7" t="n">
        <v>63</v>
      </c>
      <c r="D586" s="7" t="n">
        <v>5</v>
      </c>
      <c r="E586" s="77" t="n">
        <v>45042</v>
      </c>
      <c r="F586" s="78" t="n">
        <v>0.772696759259259</v>
      </c>
      <c r="G586" s="77" t="n">
        <v>45047</v>
      </c>
      <c r="H586" s="78" t="n">
        <v>0.0778472222222222</v>
      </c>
      <c r="I586" s="7" t="s">
        <v>262</v>
      </c>
      <c r="J586" s="7" t="s">
        <v>165</v>
      </c>
      <c r="K586" s="79" t="str">
        <f aca="false">INDEX(Products!$B$2:$B$71,MATCH($C586,Products!$A$2:$A$71,0))</f>
        <v>Adipisci Set</v>
      </c>
      <c r="L586" s="79" t="str">
        <f aca="false">INDEX(Products!$C$2:$C$71,MATCH($C586,Products!$A$2:$A$71,0))</f>
        <v>Sweets</v>
      </c>
      <c r="M586" s="80" t="n">
        <f aca="false">INDEX(Products!$D$2:$D$71,MATCH($C586,Products!$A$2:$A$71,0))</f>
        <v>1348</v>
      </c>
      <c r="N586" s="80" t="n">
        <f aca="false">$D586*$M586</f>
        <v>6740</v>
      </c>
      <c r="O586" s="79" t="str">
        <f aca="false">INDEX(Customers!$C$2:$C$101,MATCH($B586,Customers!$A$2:$A$101,0))</f>
        <v>Mangalore</v>
      </c>
      <c r="P586" s="79" t="str">
        <f aca="false">INDEX(Customers!$F$2:$F$101,MATCH($B586,Customers!$A$2:$A$101,0))</f>
        <v>Female</v>
      </c>
      <c r="Q586" s="79" t="str">
        <f aca="false">INDEX(Customers!$B$2:$B$101,MATCH($B586,Customers!$A$2:$A$101,0))</f>
        <v>Manikya Goswami</v>
      </c>
      <c r="R586" s="79" t="n">
        <f aca="false">MONTH($E586)</f>
        <v>4</v>
      </c>
      <c r="S586" s="79" t="str">
        <f aca="false">INDEX(Lists!$B$2:$B$13,$R586)</f>
        <v>April</v>
      </c>
      <c r="T586" s="79" t="n">
        <f aca="false">HOUR($F586)</f>
        <v>18</v>
      </c>
      <c r="U586" s="79" t="n">
        <f aca="false">WEEKDAY($E586,2)</f>
        <v>3</v>
      </c>
      <c r="V586" s="79" t="str">
        <f aca="false">INDEX(Lists!$F$2:$F$8,$U586)</f>
        <v>Wednesday</v>
      </c>
      <c r="W586" s="81" t="n">
        <f aca="false">($G586+$H586)-($E586+$F586)</f>
        <v>4.30515046296296</v>
      </c>
      <c r="X586" s="79" t="str">
        <f aca="false">LOOKUP($M586,Lists!$G$2:$G$5,Lists!$H$2:$H$5)</f>
        <v>₹1,000 - 1,499</v>
      </c>
      <c r="Y586" s="79" t="str">
        <f aca="false">LOOKUP($W586,Lists!$I$2:$I$7,Lists!$J$2:$J$7)</f>
        <v>4 - 6 days</v>
      </c>
    </row>
    <row r="587" customFormat="false" ht="15" hidden="false" customHeight="false" outlineLevel="0" collapsed="false">
      <c r="A587" s="2" t="n">
        <v>586</v>
      </c>
      <c r="B587" s="2" t="s">
        <v>306</v>
      </c>
      <c r="C587" s="2" t="n">
        <v>64</v>
      </c>
      <c r="D587" s="2" t="n">
        <v>5</v>
      </c>
      <c r="E587" s="82" t="n">
        <v>45165</v>
      </c>
      <c r="F587" s="83" t="n">
        <v>0.878217592592593</v>
      </c>
      <c r="G587" s="82" t="n">
        <v>45173</v>
      </c>
      <c r="H587" s="83" t="n">
        <v>0.687951388888889</v>
      </c>
      <c r="I587" s="2" t="s">
        <v>282</v>
      </c>
      <c r="J587" s="2" t="s">
        <v>40</v>
      </c>
      <c r="K587" s="46" t="str">
        <f aca="false">INDEX(Products!$B$2:$B$71,MATCH($C587,Products!$A$2:$A$71,0))</f>
        <v>Nostrum Box</v>
      </c>
      <c r="L587" s="46" t="str">
        <f aca="false">INDEX(Products!$C$2:$C$71,MATCH($C587,Products!$A$2:$A$71,0))</f>
        <v>Soft Toys</v>
      </c>
      <c r="M587" s="84" t="n">
        <f aca="false">INDEX(Products!$D$2:$D$71,MATCH($C587,Products!$A$2:$A$71,0))</f>
        <v>1878</v>
      </c>
      <c r="N587" s="84" t="n">
        <f aca="false">$D587*$M587</f>
        <v>9390</v>
      </c>
      <c r="O587" s="46" t="str">
        <f aca="false">INDEX(Customers!$C$2:$C$101,MATCH($B587,Customers!$A$2:$A$101,0))</f>
        <v>Kalyan-Dombivli</v>
      </c>
      <c r="P587" s="46" t="str">
        <f aca="false">INDEX(Customers!$F$2:$F$101,MATCH($B587,Customers!$A$2:$A$101,0))</f>
        <v>Male</v>
      </c>
      <c r="Q587" s="46" t="str">
        <f aca="false">INDEX(Customers!$B$2:$B$101,MATCH($B587,Customers!$A$2:$A$101,0))</f>
        <v>Ritvik Garde</v>
      </c>
      <c r="R587" s="46" t="n">
        <f aca="false">MONTH($E587)</f>
        <v>8</v>
      </c>
      <c r="S587" s="46" t="str">
        <f aca="false">INDEX(Lists!$B$2:$B$13,$R587)</f>
        <v>August</v>
      </c>
      <c r="T587" s="46" t="n">
        <f aca="false">HOUR($F587)</f>
        <v>21</v>
      </c>
      <c r="U587" s="46" t="n">
        <f aca="false">WEEKDAY($E587,2)</f>
        <v>7</v>
      </c>
      <c r="V587" s="46" t="str">
        <f aca="false">INDEX(Lists!$F$2:$F$8,$U587)</f>
        <v>Sunday</v>
      </c>
      <c r="W587" s="85" t="n">
        <f aca="false">($G587+$H587)-($E587+$F587)</f>
        <v>7.8097337962963</v>
      </c>
      <c r="X587" s="46" t="str">
        <f aca="false">LOOKUP($M587,Lists!$G$2:$G$5,Lists!$H$2:$H$5)</f>
        <v>₹1,500 - 2,000</v>
      </c>
      <c r="Y587" s="46" t="str">
        <f aca="false">LOOKUP($W587,Lists!$I$2:$I$7,Lists!$J$2:$J$7)</f>
        <v>6 - 8 days</v>
      </c>
    </row>
    <row r="588" customFormat="false" ht="15" hidden="false" customHeight="false" outlineLevel="0" collapsed="false">
      <c r="A588" s="7" t="n">
        <v>587</v>
      </c>
      <c r="B588" s="7" t="s">
        <v>172</v>
      </c>
      <c r="C588" s="7" t="n">
        <v>43</v>
      </c>
      <c r="D588" s="7" t="n">
        <v>1</v>
      </c>
      <c r="E588" s="77" t="n">
        <v>45232</v>
      </c>
      <c r="F588" s="78" t="n">
        <v>0.0356944444444445</v>
      </c>
      <c r="G588" s="77" t="n">
        <v>45233</v>
      </c>
      <c r="H588" s="78" t="n">
        <v>0.445208333333333</v>
      </c>
      <c r="I588" s="7" t="s">
        <v>519</v>
      </c>
      <c r="J588" s="7" t="s">
        <v>32</v>
      </c>
      <c r="K588" s="79" t="str">
        <f aca="false">INDEX(Products!$B$2:$B$71,MATCH($C588,Products!$A$2:$A$71,0))</f>
        <v>Quisquam Pack</v>
      </c>
      <c r="L588" s="79" t="str">
        <f aca="false">INDEX(Products!$C$2:$C$71,MATCH($C588,Products!$A$2:$A$71,0))</f>
        <v>Raksha Bandhan</v>
      </c>
      <c r="M588" s="80" t="n">
        <f aca="false">INDEX(Products!$D$2:$D$71,MATCH($C588,Products!$A$2:$A$71,0))</f>
        <v>750</v>
      </c>
      <c r="N588" s="80" t="n">
        <f aca="false">$D588*$M588</f>
        <v>750</v>
      </c>
      <c r="O588" s="79" t="str">
        <f aca="false">INDEX(Customers!$C$2:$C$101,MATCH($B588,Customers!$A$2:$A$101,0))</f>
        <v>Nizamabad</v>
      </c>
      <c r="P588" s="79" t="str">
        <f aca="false">INDEX(Customers!$F$2:$F$101,MATCH($B588,Customers!$A$2:$A$101,0))</f>
        <v>Male</v>
      </c>
      <c r="Q588" s="79" t="str">
        <f aca="false">INDEX(Customers!$B$2:$B$101,MATCH($B588,Customers!$A$2:$A$101,0))</f>
        <v>Eva Vaidya</v>
      </c>
      <c r="R588" s="79" t="n">
        <f aca="false">MONTH($E588)</f>
        <v>11</v>
      </c>
      <c r="S588" s="79" t="str">
        <f aca="false">INDEX(Lists!$B$2:$B$13,$R588)</f>
        <v>November</v>
      </c>
      <c r="T588" s="79" t="n">
        <f aca="false">HOUR($F588)</f>
        <v>0</v>
      </c>
      <c r="U588" s="79" t="n">
        <f aca="false">WEEKDAY($E588,2)</f>
        <v>4</v>
      </c>
      <c r="V588" s="79" t="str">
        <f aca="false">INDEX(Lists!$F$2:$F$8,$U588)</f>
        <v>Thursday</v>
      </c>
      <c r="W588" s="81" t="n">
        <f aca="false">($G588+$H588)-($E588+$F588)</f>
        <v>1.40951388888889</v>
      </c>
      <c r="X588" s="79" t="str">
        <f aca="false">LOOKUP($M588,Lists!$G$2:$G$5,Lists!$H$2:$H$5)</f>
        <v>₹500 - 999</v>
      </c>
      <c r="Y588" s="79" t="str">
        <f aca="false">LOOKUP($W588,Lists!$I$2:$I$7,Lists!$J$2:$J$7)</f>
        <v>0 - 2 days</v>
      </c>
    </row>
    <row r="589" customFormat="false" ht="15" hidden="false" customHeight="false" outlineLevel="0" collapsed="false">
      <c r="A589" s="2" t="n">
        <v>588</v>
      </c>
      <c r="B589" s="2" t="s">
        <v>272</v>
      </c>
      <c r="C589" s="2" t="n">
        <v>49</v>
      </c>
      <c r="D589" s="2" t="n">
        <v>5</v>
      </c>
      <c r="E589" s="82" t="n">
        <v>44961</v>
      </c>
      <c r="F589" s="83" t="n">
        <v>0.275694444444445</v>
      </c>
      <c r="G589" s="82" t="n">
        <v>44962</v>
      </c>
      <c r="H589" s="83" t="n">
        <v>0.890243055555556</v>
      </c>
      <c r="I589" s="2" t="s">
        <v>459</v>
      </c>
      <c r="J589" s="2" t="s">
        <v>179</v>
      </c>
      <c r="K589" s="46" t="str">
        <f aca="false">INDEX(Products!$B$2:$B$71,MATCH($C589,Products!$A$2:$A$71,0))</f>
        <v>Voluptate Pack</v>
      </c>
      <c r="L589" s="46" t="str">
        <f aca="false">INDEX(Products!$C$2:$C$71,MATCH($C589,Products!$A$2:$A$71,0))</f>
        <v>Colors</v>
      </c>
      <c r="M589" s="84" t="n">
        <f aca="false">INDEX(Products!$D$2:$D$71,MATCH($C589,Products!$A$2:$A$71,0))</f>
        <v>903</v>
      </c>
      <c r="N589" s="84" t="n">
        <f aca="false">$D589*$M589</f>
        <v>4515</v>
      </c>
      <c r="O589" s="46" t="str">
        <f aca="false">INDEX(Customers!$C$2:$C$101,MATCH($B589,Customers!$A$2:$A$101,0))</f>
        <v>Haridwar</v>
      </c>
      <c r="P589" s="46" t="str">
        <f aca="false">INDEX(Customers!$F$2:$F$101,MATCH($B589,Customers!$A$2:$A$101,0))</f>
        <v>Male</v>
      </c>
      <c r="Q589" s="46" t="str">
        <f aca="false">INDEX(Customers!$B$2:$B$101,MATCH($B589,Customers!$A$2:$A$101,0))</f>
        <v>Pihu Choudhury</v>
      </c>
      <c r="R589" s="46" t="n">
        <f aca="false">MONTH($E589)</f>
        <v>2</v>
      </c>
      <c r="S589" s="46" t="str">
        <f aca="false">INDEX(Lists!$B$2:$B$13,$R589)</f>
        <v>February</v>
      </c>
      <c r="T589" s="46" t="n">
        <f aca="false">HOUR($F589)</f>
        <v>6</v>
      </c>
      <c r="U589" s="46" t="n">
        <f aca="false">WEEKDAY($E589,2)</f>
        <v>6</v>
      </c>
      <c r="V589" s="46" t="str">
        <f aca="false">INDEX(Lists!$F$2:$F$8,$U589)</f>
        <v>Saturday</v>
      </c>
      <c r="W589" s="85" t="n">
        <f aca="false">($G589+$H589)-($E589+$F589)</f>
        <v>1.61454861111111</v>
      </c>
      <c r="X589" s="46" t="str">
        <f aca="false">LOOKUP($M589,Lists!$G$2:$G$5,Lists!$H$2:$H$5)</f>
        <v>₹500 - 999</v>
      </c>
      <c r="Y589" s="46" t="str">
        <f aca="false">LOOKUP($W589,Lists!$I$2:$I$7,Lists!$J$2:$J$7)</f>
        <v>0 - 2 days</v>
      </c>
    </row>
    <row r="590" customFormat="false" ht="15" hidden="false" customHeight="false" outlineLevel="0" collapsed="false">
      <c r="A590" s="7" t="n">
        <v>589</v>
      </c>
      <c r="B590" s="7" t="s">
        <v>375</v>
      </c>
      <c r="C590" s="7" t="n">
        <v>40</v>
      </c>
      <c r="D590" s="7" t="n">
        <v>3</v>
      </c>
      <c r="E590" s="77" t="n">
        <v>45269</v>
      </c>
      <c r="F590" s="78" t="n">
        <v>0.891168981481482</v>
      </c>
      <c r="G590" s="77" t="n">
        <v>45279</v>
      </c>
      <c r="H590" s="78" t="n">
        <v>0.0566435185185185</v>
      </c>
      <c r="I590" s="7" t="s">
        <v>473</v>
      </c>
      <c r="J590" s="7" t="s">
        <v>168</v>
      </c>
      <c r="K590" s="79" t="str">
        <f aca="false">INDEX(Products!$B$2:$B$71,MATCH($C590,Products!$A$2:$A$71,0))</f>
        <v>Provident Pack</v>
      </c>
      <c r="L590" s="79" t="str">
        <f aca="false">INDEX(Products!$C$2:$C$71,MATCH($C590,Products!$A$2:$A$71,0))</f>
        <v>Sweets</v>
      </c>
      <c r="M590" s="80" t="n">
        <f aca="false">INDEX(Products!$D$2:$D$71,MATCH($C590,Products!$A$2:$A$71,0))</f>
        <v>1923</v>
      </c>
      <c r="N590" s="80" t="n">
        <f aca="false">$D590*$M590</f>
        <v>5769</v>
      </c>
      <c r="O590" s="79" t="str">
        <f aca="false">INDEX(Customers!$C$2:$C$101,MATCH($B590,Customers!$A$2:$A$101,0))</f>
        <v>Tumkur</v>
      </c>
      <c r="P590" s="79" t="str">
        <f aca="false">INDEX(Customers!$F$2:$F$101,MATCH($B590,Customers!$A$2:$A$101,0))</f>
        <v>Male</v>
      </c>
      <c r="Q590" s="79" t="str">
        <f aca="false">INDEX(Customers!$B$2:$B$101,MATCH($B590,Customers!$A$2:$A$101,0))</f>
        <v>Mamooty Bawa</v>
      </c>
      <c r="R590" s="79" t="n">
        <f aca="false">MONTH($E590)</f>
        <v>12</v>
      </c>
      <c r="S590" s="79" t="str">
        <f aca="false">INDEX(Lists!$B$2:$B$13,$R590)</f>
        <v>December</v>
      </c>
      <c r="T590" s="79" t="n">
        <f aca="false">HOUR($F590)</f>
        <v>21</v>
      </c>
      <c r="U590" s="79" t="n">
        <f aca="false">WEEKDAY($E590,2)</f>
        <v>6</v>
      </c>
      <c r="V590" s="79" t="str">
        <f aca="false">INDEX(Lists!$F$2:$F$8,$U590)</f>
        <v>Saturday</v>
      </c>
      <c r="W590" s="81" t="n">
        <f aca="false">($G590+$H590)-($E590+$F590)</f>
        <v>9.16547453703704</v>
      </c>
      <c r="X590" s="79" t="str">
        <f aca="false">LOOKUP($M590,Lists!$G$2:$G$5,Lists!$H$2:$H$5)</f>
        <v>₹1,500 - 2,000</v>
      </c>
      <c r="Y590" s="79" t="str">
        <f aca="false">LOOKUP($W590,Lists!$I$2:$I$7,Lists!$J$2:$J$7)</f>
        <v>8 - 10 days</v>
      </c>
    </row>
    <row r="591" customFormat="false" ht="15" hidden="false" customHeight="false" outlineLevel="0" collapsed="false">
      <c r="A591" s="2" t="n">
        <v>590</v>
      </c>
      <c r="B591" s="2" t="s">
        <v>139</v>
      </c>
      <c r="C591" s="2" t="n">
        <v>23</v>
      </c>
      <c r="D591" s="2" t="n">
        <v>2</v>
      </c>
      <c r="E591" s="82" t="n">
        <v>44945</v>
      </c>
      <c r="F591" s="83" t="n">
        <v>0.900243055555556</v>
      </c>
      <c r="G591" s="82" t="n">
        <v>44949</v>
      </c>
      <c r="H591" s="83" t="n">
        <v>0.245717592592593</v>
      </c>
      <c r="I591" s="2" t="s">
        <v>354</v>
      </c>
      <c r="J591" s="2" t="s">
        <v>168</v>
      </c>
      <c r="K591" s="46" t="str">
        <f aca="false">INDEX(Products!$B$2:$B$71,MATCH($C591,Products!$A$2:$A$71,0))</f>
        <v>Dignissimos Pack</v>
      </c>
      <c r="L591" s="46" t="str">
        <f aca="false">INDEX(Products!$C$2:$C$71,MATCH($C591,Products!$A$2:$A$71,0))</f>
        <v>Sweets</v>
      </c>
      <c r="M591" s="84" t="n">
        <f aca="false">INDEX(Products!$D$2:$D$71,MATCH($C591,Products!$A$2:$A$71,0))</f>
        <v>1098</v>
      </c>
      <c r="N591" s="84" t="n">
        <f aca="false">$D591*$M591</f>
        <v>2196</v>
      </c>
      <c r="O591" s="46" t="str">
        <f aca="false">INDEX(Customers!$C$2:$C$101,MATCH($B591,Customers!$A$2:$A$101,0))</f>
        <v>Karimnagar</v>
      </c>
      <c r="P591" s="46" t="str">
        <f aca="false">INDEX(Customers!$F$2:$F$101,MATCH($B591,Customers!$A$2:$A$101,0))</f>
        <v>Female</v>
      </c>
      <c r="Q591" s="46" t="str">
        <f aca="false">INDEX(Customers!$B$2:$B$101,MATCH($B591,Customers!$A$2:$A$101,0))</f>
        <v>Rania Mann</v>
      </c>
      <c r="R591" s="46" t="n">
        <f aca="false">MONTH($E591)</f>
        <v>1</v>
      </c>
      <c r="S591" s="46" t="str">
        <f aca="false">INDEX(Lists!$B$2:$B$13,$R591)</f>
        <v>January</v>
      </c>
      <c r="T591" s="46" t="n">
        <f aca="false">HOUR($F591)</f>
        <v>21</v>
      </c>
      <c r="U591" s="46" t="n">
        <f aca="false">WEEKDAY($E591,2)</f>
        <v>4</v>
      </c>
      <c r="V591" s="46" t="str">
        <f aca="false">INDEX(Lists!$F$2:$F$8,$U591)</f>
        <v>Thursday</v>
      </c>
      <c r="W591" s="85" t="n">
        <f aca="false">($G591+$H591)-($E591+$F591)</f>
        <v>3.34547453703704</v>
      </c>
      <c r="X591" s="46" t="str">
        <f aca="false">LOOKUP($M591,Lists!$G$2:$G$5,Lists!$H$2:$H$5)</f>
        <v>₹1,000 - 1,499</v>
      </c>
      <c r="Y591" s="46" t="str">
        <f aca="false">LOOKUP($W591,Lists!$I$2:$I$7,Lists!$J$2:$J$7)</f>
        <v>2 - 4 days</v>
      </c>
    </row>
    <row r="592" customFormat="false" ht="15" hidden="false" customHeight="false" outlineLevel="0" collapsed="false">
      <c r="A592" s="7" t="n">
        <v>591</v>
      </c>
      <c r="B592" s="7" t="s">
        <v>127</v>
      </c>
      <c r="C592" s="7" t="n">
        <v>31</v>
      </c>
      <c r="D592" s="7" t="n">
        <v>3</v>
      </c>
      <c r="E592" s="77" t="n">
        <v>45113</v>
      </c>
      <c r="F592" s="78" t="n">
        <v>0.538888888888889</v>
      </c>
      <c r="G592" s="77" t="n">
        <v>45121</v>
      </c>
      <c r="H592" s="78" t="n">
        <v>0.000590277777777778</v>
      </c>
      <c r="I592" s="7" t="s">
        <v>579</v>
      </c>
      <c r="J592" s="7" t="s">
        <v>165</v>
      </c>
      <c r="K592" s="79" t="str">
        <f aca="false">INDEX(Products!$B$2:$B$71,MATCH($C592,Products!$A$2:$A$71,0))</f>
        <v>Nihil Box</v>
      </c>
      <c r="L592" s="79" t="str">
        <f aca="false">INDEX(Products!$C$2:$C$71,MATCH($C592,Products!$A$2:$A$71,0))</f>
        <v>Colors</v>
      </c>
      <c r="M592" s="80" t="n">
        <f aca="false">INDEX(Products!$D$2:$D$71,MATCH($C592,Products!$A$2:$A$71,0))</f>
        <v>1804</v>
      </c>
      <c r="N592" s="80" t="n">
        <f aca="false">$D592*$M592</f>
        <v>5412</v>
      </c>
      <c r="O592" s="79" t="str">
        <f aca="false">INDEX(Customers!$C$2:$C$101,MATCH($B592,Customers!$A$2:$A$101,0))</f>
        <v>Bulandshahr</v>
      </c>
      <c r="P592" s="79" t="str">
        <f aca="false">INDEX(Customers!$F$2:$F$101,MATCH($B592,Customers!$A$2:$A$101,0))</f>
        <v>Female</v>
      </c>
      <c r="Q592" s="79" t="str">
        <f aca="false">INDEX(Customers!$B$2:$B$101,MATCH($B592,Customers!$A$2:$A$101,0))</f>
        <v>Myra Edwin</v>
      </c>
      <c r="R592" s="79" t="n">
        <f aca="false">MONTH($E592)</f>
        <v>7</v>
      </c>
      <c r="S592" s="79" t="str">
        <f aca="false">INDEX(Lists!$B$2:$B$13,$R592)</f>
        <v>July</v>
      </c>
      <c r="T592" s="79" t="n">
        <f aca="false">HOUR($F592)</f>
        <v>12</v>
      </c>
      <c r="U592" s="79" t="n">
        <f aca="false">WEEKDAY($E592,2)</f>
        <v>4</v>
      </c>
      <c r="V592" s="79" t="str">
        <f aca="false">INDEX(Lists!$F$2:$F$8,$U592)</f>
        <v>Thursday</v>
      </c>
      <c r="W592" s="81" t="n">
        <f aca="false">($G592+$H592)-($E592+$F592)</f>
        <v>7.46170138888889</v>
      </c>
      <c r="X592" s="79" t="str">
        <f aca="false">LOOKUP($M592,Lists!$G$2:$G$5,Lists!$H$2:$H$5)</f>
        <v>₹1,500 - 2,000</v>
      </c>
      <c r="Y592" s="79" t="str">
        <f aca="false">LOOKUP($W592,Lists!$I$2:$I$7,Lists!$J$2:$J$7)</f>
        <v>6 - 8 days</v>
      </c>
    </row>
    <row r="593" customFormat="false" ht="15" hidden="false" customHeight="false" outlineLevel="0" collapsed="false">
      <c r="A593" s="2" t="n">
        <v>592</v>
      </c>
      <c r="B593" s="2" t="s">
        <v>142</v>
      </c>
      <c r="C593" s="2" t="n">
        <v>47</v>
      </c>
      <c r="D593" s="2" t="n">
        <v>5</v>
      </c>
      <c r="E593" s="82" t="n">
        <v>44992</v>
      </c>
      <c r="F593" s="83" t="n">
        <v>0.143784722222222</v>
      </c>
      <c r="G593" s="82" t="n">
        <v>44996</v>
      </c>
      <c r="H593" s="83" t="n">
        <v>0.903738425925926</v>
      </c>
      <c r="I593" s="2" t="s">
        <v>527</v>
      </c>
      <c r="J593" s="2" t="s">
        <v>33</v>
      </c>
      <c r="K593" s="46" t="str">
        <f aca="false">INDEX(Products!$B$2:$B$71,MATCH($C593,Products!$A$2:$A$71,0))</f>
        <v>Harum Pack</v>
      </c>
      <c r="L593" s="46" t="str">
        <f aca="false">INDEX(Products!$C$2:$C$71,MATCH($C593,Products!$A$2:$A$71,0))</f>
        <v>Colors</v>
      </c>
      <c r="M593" s="84" t="n">
        <f aca="false">INDEX(Products!$D$2:$D$71,MATCH($C593,Products!$A$2:$A$71,0))</f>
        <v>1638</v>
      </c>
      <c r="N593" s="84" t="n">
        <f aca="false">$D593*$M593</f>
        <v>8190</v>
      </c>
      <c r="O593" s="46" t="str">
        <f aca="false">INDEX(Customers!$C$2:$C$101,MATCH($B593,Customers!$A$2:$A$101,0))</f>
        <v>Berhampore</v>
      </c>
      <c r="P593" s="46" t="str">
        <f aca="false">INDEX(Customers!$F$2:$F$101,MATCH($B593,Customers!$A$2:$A$101,0))</f>
        <v>Male</v>
      </c>
      <c r="Q593" s="46" t="str">
        <f aca="false">INDEX(Customers!$B$2:$B$101,MATCH($B593,Customers!$A$2:$A$101,0))</f>
        <v>Jayant Kamdar</v>
      </c>
      <c r="R593" s="46" t="n">
        <f aca="false">MONTH($E593)</f>
        <v>3</v>
      </c>
      <c r="S593" s="46" t="str">
        <f aca="false">INDEX(Lists!$B$2:$B$13,$R593)</f>
        <v>March</v>
      </c>
      <c r="T593" s="46" t="n">
        <f aca="false">HOUR($F593)</f>
        <v>3</v>
      </c>
      <c r="U593" s="46" t="n">
        <f aca="false">WEEKDAY($E593,2)</f>
        <v>2</v>
      </c>
      <c r="V593" s="46" t="str">
        <f aca="false">INDEX(Lists!$F$2:$F$8,$U593)</f>
        <v>Tuesday</v>
      </c>
      <c r="W593" s="85" t="n">
        <f aca="false">($G593+$H593)-($E593+$F593)</f>
        <v>4.7599537037037</v>
      </c>
      <c r="X593" s="46" t="str">
        <f aca="false">LOOKUP($M593,Lists!$G$2:$G$5,Lists!$H$2:$H$5)</f>
        <v>₹1,500 - 2,000</v>
      </c>
      <c r="Y593" s="46" t="str">
        <f aca="false">LOOKUP($W593,Lists!$I$2:$I$7,Lists!$J$2:$J$7)</f>
        <v>4 - 6 days</v>
      </c>
    </row>
    <row r="594" customFormat="false" ht="15" hidden="false" customHeight="false" outlineLevel="0" collapsed="false">
      <c r="A594" s="7" t="n">
        <v>593</v>
      </c>
      <c r="B594" s="7" t="s">
        <v>167</v>
      </c>
      <c r="C594" s="7" t="n">
        <v>58</v>
      </c>
      <c r="D594" s="7" t="n">
        <v>3</v>
      </c>
      <c r="E594" s="77" t="n">
        <v>44962</v>
      </c>
      <c r="F594" s="78" t="n">
        <v>0.72962962962963</v>
      </c>
      <c r="G594" s="77" t="n">
        <v>44969</v>
      </c>
      <c r="H594" s="78" t="n">
        <v>0.398645833333333</v>
      </c>
      <c r="I594" s="7" t="s">
        <v>241</v>
      </c>
      <c r="J594" s="7" t="s">
        <v>179</v>
      </c>
      <c r="K594" s="79" t="str">
        <f aca="false">INDEX(Products!$B$2:$B$71,MATCH($C594,Products!$A$2:$A$71,0))</f>
        <v>Sed Pack</v>
      </c>
      <c r="L594" s="79" t="str">
        <f aca="false">INDEX(Products!$C$2:$C$71,MATCH($C594,Products!$A$2:$A$71,0))</f>
        <v>Cake</v>
      </c>
      <c r="M594" s="80" t="n">
        <f aca="false">INDEX(Products!$D$2:$D$71,MATCH($C594,Products!$A$2:$A$71,0))</f>
        <v>1492</v>
      </c>
      <c r="N594" s="80" t="n">
        <f aca="false">$D594*$M594</f>
        <v>4476</v>
      </c>
      <c r="O594" s="79" t="str">
        <f aca="false">INDEX(Customers!$C$2:$C$101,MATCH($B594,Customers!$A$2:$A$101,0))</f>
        <v>Tenali</v>
      </c>
      <c r="P594" s="79" t="str">
        <f aca="false">INDEX(Customers!$F$2:$F$101,MATCH($B594,Customers!$A$2:$A$101,0))</f>
        <v>Male</v>
      </c>
      <c r="Q594" s="79" t="str">
        <f aca="false">INDEX(Customers!$B$2:$B$101,MATCH($B594,Customers!$A$2:$A$101,0))</f>
        <v>Amani Ganesh</v>
      </c>
      <c r="R594" s="79" t="n">
        <f aca="false">MONTH($E594)</f>
        <v>2</v>
      </c>
      <c r="S594" s="79" t="str">
        <f aca="false">INDEX(Lists!$B$2:$B$13,$R594)</f>
        <v>February</v>
      </c>
      <c r="T594" s="79" t="n">
        <f aca="false">HOUR($F594)</f>
        <v>17</v>
      </c>
      <c r="U594" s="79" t="n">
        <f aca="false">WEEKDAY($E594,2)</f>
        <v>7</v>
      </c>
      <c r="V594" s="79" t="str">
        <f aca="false">INDEX(Lists!$F$2:$F$8,$U594)</f>
        <v>Sunday</v>
      </c>
      <c r="W594" s="81" t="n">
        <f aca="false">($G594+$H594)-($E594+$F594)</f>
        <v>6.6690162037037</v>
      </c>
      <c r="X594" s="79" t="str">
        <f aca="false">LOOKUP($M594,Lists!$G$2:$G$5,Lists!$H$2:$H$5)</f>
        <v>₹1,000 - 1,499</v>
      </c>
      <c r="Y594" s="79" t="str">
        <f aca="false">LOOKUP($W594,Lists!$I$2:$I$7,Lists!$J$2:$J$7)</f>
        <v>6 - 8 days</v>
      </c>
    </row>
    <row r="595" customFormat="false" ht="15" hidden="false" customHeight="false" outlineLevel="0" collapsed="false">
      <c r="A595" s="2" t="n">
        <v>594</v>
      </c>
      <c r="B595" s="2" t="s">
        <v>283</v>
      </c>
      <c r="C595" s="2" t="n">
        <v>20</v>
      </c>
      <c r="D595" s="2" t="n">
        <v>2</v>
      </c>
      <c r="E595" s="82" t="n">
        <v>45072</v>
      </c>
      <c r="F595" s="83" t="n">
        <v>0.893090277777778</v>
      </c>
      <c r="G595" s="82" t="n">
        <v>45078</v>
      </c>
      <c r="H595" s="83" t="n">
        <v>0.207962962962963</v>
      </c>
      <c r="I595" s="2" t="s">
        <v>603</v>
      </c>
      <c r="J595" s="2" t="s">
        <v>168</v>
      </c>
      <c r="K595" s="46" t="str">
        <f aca="false">INDEX(Products!$B$2:$B$71,MATCH($C595,Products!$A$2:$A$71,0))</f>
        <v>Reiciendis Box</v>
      </c>
      <c r="L595" s="46" t="str">
        <f aca="false">INDEX(Products!$C$2:$C$71,MATCH($C595,Products!$A$2:$A$71,0))</f>
        <v>Colors</v>
      </c>
      <c r="M595" s="84" t="n">
        <f aca="false">INDEX(Products!$D$2:$D$71,MATCH($C595,Products!$A$2:$A$71,0))</f>
        <v>697</v>
      </c>
      <c r="N595" s="84" t="n">
        <f aca="false">$D595*$M595</f>
        <v>1394</v>
      </c>
      <c r="O595" s="46" t="str">
        <f aca="false">INDEX(Customers!$C$2:$C$101,MATCH($B595,Customers!$A$2:$A$101,0))</f>
        <v>Satara</v>
      </c>
      <c r="P595" s="46" t="str">
        <f aca="false">INDEX(Customers!$F$2:$F$101,MATCH($B595,Customers!$A$2:$A$101,0))</f>
        <v>Male</v>
      </c>
      <c r="Q595" s="46" t="str">
        <f aca="false">INDEX(Customers!$B$2:$B$101,MATCH($B595,Customers!$A$2:$A$101,0))</f>
        <v>Riya Wagle</v>
      </c>
      <c r="R595" s="46" t="n">
        <f aca="false">MONTH($E595)</f>
        <v>5</v>
      </c>
      <c r="S595" s="46" t="str">
        <f aca="false">INDEX(Lists!$B$2:$B$13,$R595)</f>
        <v>May</v>
      </c>
      <c r="T595" s="46" t="n">
        <f aca="false">HOUR($F595)</f>
        <v>21</v>
      </c>
      <c r="U595" s="46" t="n">
        <f aca="false">WEEKDAY($E595,2)</f>
        <v>5</v>
      </c>
      <c r="V595" s="46" t="str">
        <f aca="false">INDEX(Lists!$F$2:$F$8,$U595)</f>
        <v>Friday</v>
      </c>
      <c r="W595" s="85" t="n">
        <f aca="false">($G595+$H595)-($E595+$F595)</f>
        <v>5.31487268518519</v>
      </c>
      <c r="X595" s="46" t="str">
        <f aca="false">LOOKUP($M595,Lists!$G$2:$G$5,Lists!$H$2:$H$5)</f>
        <v>₹500 - 999</v>
      </c>
      <c r="Y595" s="46" t="str">
        <f aca="false">LOOKUP($W595,Lists!$I$2:$I$7,Lists!$J$2:$J$7)</f>
        <v>4 - 6 days</v>
      </c>
    </row>
    <row r="596" customFormat="false" ht="15" hidden="false" customHeight="false" outlineLevel="0" collapsed="false">
      <c r="A596" s="7" t="n">
        <v>595</v>
      </c>
      <c r="B596" s="7" t="s">
        <v>181</v>
      </c>
      <c r="C596" s="7" t="n">
        <v>51</v>
      </c>
      <c r="D596" s="7" t="n">
        <v>4</v>
      </c>
      <c r="E596" s="77" t="n">
        <v>45238</v>
      </c>
      <c r="F596" s="78" t="n">
        <v>0.575914351851852</v>
      </c>
      <c r="G596" s="77" t="n">
        <v>45245</v>
      </c>
      <c r="H596" s="78" t="n">
        <v>0.17119212962963</v>
      </c>
      <c r="I596" s="7" t="s">
        <v>340</v>
      </c>
      <c r="J596" s="7" t="s">
        <v>165</v>
      </c>
      <c r="K596" s="79" t="str">
        <f aca="false">INDEX(Products!$B$2:$B$71,MATCH($C596,Products!$A$2:$A$71,0))</f>
        <v>Fugit Set</v>
      </c>
      <c r="L596" s="79" t="str">
        <f aca="false">INDEX(Products!$C$2:$C$71,MATCH($C596,Products!$A$2:$A$71,0))</f>
        <v>Soft Toys</v>
      </c>
      <c r="M596" s="80" t="n">
        <f aca="false">INDEX(Products!$D$2:$D$71,MATCH($C596,Products!$A$2:$A$71,0))</f>
        <v>1084</v>
      </c>
      <c r="N596" s="80" t="n">
        <f aca="false">$D596*$M596</f>
        <v>4336</v>
      </c>
      <c r="O596" s="79" t="str">
        <f aca="false">INDEX(Customers!$C$2:$C$101,MATCH($B596,Customers!$A$2:$A$101,0))</f>
        <v>Khandwa</v>
      </c>
      <c r="P596" s="79" t="str">
        <f aca="false">INDEX(Customers!$F$2:$F$101,MATCH($B596,Customers!$A$2:$A$101,0))</f>
        <v>Male</v>
      </c>
      <c r="Q596" s="79" t="str">
        <f aca="false">INDEX(Customers!$B$2:$B$101,MATCH($B596,Customers!$A$2:$A$101,0))</f>
        <v>Ivana Rout</v>
      </c>
      <c r="R596" s="79" t="n">
        <f aca="false">MONTH($E596)</f>
        <v>11</v>
      </c>
      <c r="S596" s="79" t="str">
        <f aca="false">INDEX(Lists!$B$2:$B$13,$R596)</f>
        <v>November</v>
      </c>
      <c r="T596" s="79" t="n">
        <f aca="false">HOUR($F596)</f>
        <v>13</v>
      </c>
      <c r="U596" s="79" t="n">
        <f aca="false">WEEKDAY($E596,2)</f>
        <v>3</v>
      </c>
      <c r="V596" s="79" t="str">
        <f aca="false">INDEX(Lists!$F$2:$F$8,$U596)</f>
        <v>Wednesday</v>
      </c>
      <c r="W596" s="81" t="n">
        <f aca="false">($G596+$H596)-($E596+$F596)</f>
        <v>6.59527777777778</v>
      </c>
      <c r="X596" s="79" t="str">
        <f aca="false">LOOKUP($M596,Lists!$G$2:$G$5,Lists!$H$2:$H$5)</f>
        <v>₹1,000 - 1,499</v>
      </c>
      <c r="Y596" s="79" t="str">
        <f aca="false">LOOKUP($W596,Lists!$I$2:$I$7,Lists!$J$2:$J$7)</f>
        <v>6 - 8 days</v>
      </c>
    </row>
    <row r="597" customFormat="false" ht="15" hidden="false" customHeight="false" outlineLevel="0" collapsed="false">
      <c r="A597" s="2" t="n">
        <v>596</v>
      </c>
      <c r="B597" s="2" t="s">
        <v>242</v>
      </c>
      <c r="C597" s="2" t="n">
        <v>50</v>
      </c>
      <c r="D597" s="2" t="n">
        <v>1</v>
      </c>
      <c r="E597" s="82" t="n">
        <v>44990</v>
      </c>
      <c r="F597" s="83" t="n">
        <v>0.623391203703704</v>
      </c>
      <c r="G597" s="82" t="n">
        <v>44999</v>
      </c>
      <c r="H597" s="83" t="n">
        <v>0.74912037037037</v>
      </c>
      <c r="I597" s="2" t="s">
        <v>594</v>
      </c>
      <c r="J597" s="2" t="s">
        <v>33</v>
      </c>
      <c r="K597" s="46" t="str">
        <f aca="false">INDEX(Products!$B$2:$B$71,MATCH($C597,Products!$A$2:$A$71,0))</f>
        <v>Eligendi Set</v>
      </c>
      <c r="L597" s="46" t="str">
        <f aca="false">INDEX(Products!$C$2:$C$71,MATCH($C597,Products!$A$2:$A$71,0))</f>
        <v>Plants</v>
      </c>
      <c r="M597" s="84" t="n">
        <f aca="false">INDEX(Products!$D$2:$D$71,MATCH($C597,Products!$A$2:$A$71,0))</f>
        <v>422</v>
      </c>
      <c r="N597" s="84" t="n">
        <f aca="false">$D597*$M597</f>
        <v>422</v>
      </c>
      <c r="O597" s="46" t="str">
        <f aca="false">INDEX(Customers!$C$2:$C$101,MATCH($B597,Customers!$A$2:$A$101,0))</f>
        <v>Guna</v>
      </c>
      <c r="P597" s="46" t="str">
        <f aca="false">INDEX(Customers!$F$2:$F$101,MATCH($B597,Customers!$A$2:$A$101,0))</f>
        <v>Male</v>
      </c>
      <c r="Q597" s="46" t="str">
        <f aca="false">INDEX(Customers!$B$2:$B$101,MATCH($B597,Customers!$A$2:$A$101,0))</f>
        <v>Tara Kannan</v>
      </c>
      <c r="R597" s="46" t="n">
        <f aca="false">MONTH($E597)</f>
        <v>3</v>
      </c>
      <c r="S597" s="46" t="str">
        <f aca="false">INDEX(Lists!$B$2:$B$13,$R597)</f>
        <v>March</v>
      </c>
      <c r="T597" s="46" t="n">
        <f aca="false">HOUR($F597)</f>
        <v>14</v>
      </c>
      <c r="U597" s="46" t="n">
        <f aca="false">WEEKDAY($E597,2)</f>
        <v>7</v>
      </c>
      <c r="V597" s="46" t="str">
        <f aca="false">INDEX(Lists!$F$2:$F$8,$U597)</f>
        <v>Sunday</v>
      </c>
      <c r="W597" s="85" t="n">
        <f aca="false">($G597+$H597)-($E597+$F597)</f>
        <v>9.12572916666667</v>
      </c>
      <c r="X597" s="46" t="str">
        <f aca="false">LOOKUP($M597,Lists!$G$2:$G$5,Lists!$H$2:$H$5)</f>
        <v>₹0 - 499</v>
      </c>
      <c r="Y597" s="46" t="str">
        <f aca="false">LOOKUP($W597,Lists!$I$2:$I$7,Lists!$J$2:$J$7)</f>
        <v>8 - 10 days</v>
      </c>
    </row>
    <row r="598" customFormat="false" ht="15" hidden="false" customHeight="false" outlineLevel="0" collapsed="false">
      <c r="A598" s="7" t="n">
        <v>597</v>
      </c>
      <c r="B598" s="7" t="s">
        <v>322</v>
      </c>
      <c r="C598" s="7" t="n">
        <v>16</v>
      </c>
      <c r="D598" s="7" t="n">
        <v>1</v>
      </c>
      <c r="E598" s="77" t="n">
        <v>44986</v>
      </c>
      <c r="F598" s="78" t="n">
        <v>0.0457523148148148</v>
      </c>
      <c r="G598" s="77" t="n">
        <v>44991</v>
      </c>
      <c r="H598" s="78" t="n">
        <v>0.11787037037037</v>
      </c>
      <c r="I598" s="7" t="s">
        <v>528</v>
      </c>
      <c r="J598" s="7" t="s">
        <v>33</v>
      </c>
      <c r="K598" s="79" t="str">
        <f aca="false">INDEX(Products!$B$2:$B$71,MATCH($C598,Products!$A$2:$A$71,0))</f>
        <v>Ut Pack</v>
      </c>
      <c r="L598" s="79" t="str">
        <f aca="false">INDEX(Products!$C$2:$C$71,MATCH($C598,Products!$A$2:$A$71,0))</f>
        <v>Sweets</v>
      </c>
      <c r="M598" s="80" t="n">
        <f aca="false">INDEX(Products!$D$2:$D$71,MATCH($C598,Products!$A$2:$A$71,0))</f>
        <v>1721</v>
      </c>
      <c r="N598" s="80" t="n">
        <f aca="false">$D598*$M598</f>
        <v>1721</v>
      </c>
      <c r="O598" s="79" t="str">
        <f aca="false">INDEX(Customers!$C$2:$C$101,MATCH($B598,Customers!$A$2:$A$101,0))</f>
        <v>Sultan Pur Majra</v>
      </c>
      <c r="P598" s="79" t="str">
        <f aca="false">INDEX(Customers!$F$2:$F$101,MATCH($B598,Customers!$A$2:$A$101,0))</f>
        <v>Female</v>
      </c>
      <c r="Q598" s="79" t="str">
        <f aca="false">INDEX(Customers!$B$2:$B$101,MATCH($B598,Customers!$A$2:$A$101,0))</f>
        <v>Vanya Apte</v>
      </c>
      <c r="R598" s="79" t="n">
        <f aca="false">MONTH($E598)</f>
        <v>3</v>
      </c>
      <c r="S598" s="79" t="str">
        <f aca="false">INDEX(Lists!$B$2:$B$13,$R598)</f>
        <v>March</v>
      </c>
      <c r="T598" s="79" t="n">
        <f aca="false">HOUR($F598)</f>
        <v>1</v>
      </c>
      <c r="U598" s="79" t="n">
        <f aca="false">WEEKDAY($E598,2)</f>
        <v>3</v>
      </c>
      <c r="V598" s="79" t="str">
        <f aca="false">INDEX(Lists!$F$2:$F$8,$U598)</f>
        <v>Wednesday</v>
      </c>
      <c r="W598" s="81" t="n">
        <f aca="false">($G598+$H598)-($E598+$F598)</f>
        <v>5.07211805555556</v>
      </c>
      <c r="X598" s="79" t="str">
        <f aca="false">LOOKUP($M598,Lists!$G$2:$G$5,Lists!$H$2:$H$5)</f>
        <v>₹1,500 - 2,000</v>
      </c>
      <c r="Y598" s="79" t="str">
        <f aca="false">LOOKUP($W598,Lists!$I$2:$I$7,Lists!$J$2:$J$7)</f>
        <v>4 - 6 days</v>
      </c>
    </row>
    <row r="599" customFormat="false" ht="15" hidden="false" customHeight="false" outlineLevel="0" collapsed="false">
      <c r="A599" s="2" t="n">
        <v>598</v>
      </c>
      <c r="B599" s="2" t="s">
        <v>266</v>
      </c>
      <c r="C599" s="2" t="n">
        <v>37</v>
      </c>
      <c r="D599" s="2" t="n">
        <v>3</v>
      </c>
      <c r="E599" s="82" t="n">
        <v>45241</v>
      </c>
      <c r="F599" s="83" t="n">
        <v>0.119016203703704</v>
      </c>
      <c r="G599" s="82" t="n">
        <v>45248</v>
      </c>
      <c r="H599" s="83" t="n">
        <v>0.912118055555556</v>
      </c>
      <c r="I599" s="2" t="s">
        <v>545</v>
      </c>
      <c r="J599" s="2" t="s">
        <v>32</v>
      </c>
      <c r="K599" s="46" t="str">
        <f aca="false">INDEX(Products!$B$2:$B$71,MATCH($C599,Products!$A$2:$A$71,0))</f>
        <v>Officiis Pack</v>
      </c>
      <c r="L599" s="46" t="str">
        <f aca="false">INDEX(Products!$C$2:$C$71,MATCH($C599,Products!$A$2:$A$71,0))</f>
        <v>Colors</v>
      </c>
      <c r="M599" s="84" t="n">
        <f aca="false">INDEX(Products!$D$2:$D$71,MATCH($C599,Products!$A$2:$A$71,0))</f>
        <v>1428</v>
      </c>
      <c r="N599" s="84" t="n">
        <f aca="false">$D599*$M599</f>
        <v>4284</v>
      </c>
      <c r="O599" s="46" t="str">
        <f aca="false">INDEX(Customers!$C$2:$C$101,MATCH($B599,Customers!$A$2:$A$101,0))</f>
        <v>Bidhannagar</v>
      </c>
      <c r="P599" s="46" t="str">
        <f aca="false">INDEX(Customers!$F$2:$F$101,MATCH($B599,Customers!$A$2:$A$101,0))</f>
        <v>Female</v>
      </c>
      <c r="Q599" s="46" t="str">
        <f aca="false">INDEX(Customers!$B$2:$B$101,MATCH($B599,Customers!$A$2:$A$101,0))</f>
        <v>Umang Ahuja</v>
      </c>
      <c r="R599" s="46" t="n">
        <f aca="false">MONTH($E599)</f>
        <v>11</v>
      </c>
      <c r="S599" s="46" t="str">
        <f aca="false">INDEX(Lists!$B$2:$B$13,$R599)</f>
        <v>November</v>
      </c>
      <c r="T599" s="46" t="n">
        <f aca="false">HOUR($F599)</f>
        <v>2</v>
      </c>
      <c r="U599" s="46" t="n">
        <f aca="false">WEEKDAY($E599,2)</f>
        <v>6</v>
      </c>
      <c r="V599" s="46" t="str">
        <f aca="false">INDEX(Lists!$F$2:$F$8,$U599)</f>
        <v>Saturday</v>
      </c>
      <c r="W599" s="85" t="n">
        <f aca="false">($G599+$H599)-($E599+$F599)</f>
        <v>7.79310185185185</v>
      </c>
      <c r="X599" s="46" t="str">
        <f aca="false">LOOKUP($M599,Lists!$G$2:$G$5,Lists!$H$2:$H$5)</f>
        <v>₹1,000 - 1,499</v>
      </c>
      <c r="Y599" s="46" t="str">
        <f aca="false">LOOKUP($W599,Lists!$I$2:$I$7,Lists!$J$2:$J$7)</f>
        <v>6 - 8 days</v>
      </c>
    </row>
    <row r="600" customFormat="false" ht="15" hidden="false" customHeight="false" outlineLevel="0" collapsed="false">
      <c r="A600" s="7" t="n">
        <v>599</v>
      </c>
      <c r="B600" s="7" t="s">
        <v>133</v>
      </c>
      <c r="C600" s="7" t="n">
        <v>34</v>
      </c>
      <c r="D600" s="7" t="n">
        <v>1</v>
      </c>
      <c r="E600" s="77" t="n">
        <v>45159</v>
      </c>
      <c r="F600" s="78" t="n">
        <v>0.814166666666667</v>
      </c>
      <c r="G600" s="77" t="n">
        <v>45162</v>
      </c>
      <c r="H600" s="78" t="n">
        <v>0.50962962962963</v>
      </c>
      <c r="I600" s="7" t="s">
        <v>502</v>
      </c>
      <c r="J600" s="7" t="s">
        <v>40</v>
      </c>
      <c r="K600" s="79" t="str">
        <f aca="false">INDEX(Products!$B$2:$B$71,MATCH($C600,Products!$A$2:$A$71,0))</f>
        <v>Placeat Pack</v>
      </c>
      <c r="L600" s="79" t="str">
        <f aca="false">INDEX(Products!$C$2:$C$71,MATCH($C600,Products!$A$2:$A$71,0))</f>
        <v>Soft Toys</v>
      </c>
      <c r="M600" s="80" t="n">
        <f aca="false">INDEX(Products!$D$2:$D$71,MATCH($C600,Products!$A$2:$A$71,0))</f>
        <v>1335</v>
      </c>
      <c r="N600" s="80" t="n">
        <f aca="false">$D600*$M600</f>
        <v>1335</v>
      </c>
      <c r="O600" s="79" t="str">
        <f aca="false">INDEX(Customers!$C$2:$C$101,MATCH($B600,Customers!$A$2:$A$101,0))</f>
        <v>Miryalaguda</v>
      </c>
      <c r="P600" s="79" t="str">
        <f aca="false">INDEX(Customers!$F$2:$F$101,MATCH($B600,Customers!$A$2:$A$101,0))</f>
        <v>Male</v>
      </c>
      <c r="Q600" s="79" t="str">
        <f aca="false">INDEX(Customers!$B$2:$B$101,MATCH($B600,Customers!$A$2:$A$101,0))</f>
        <v>Tarini Bava</v>
      </c>
      <c r="R600" s="79" t="n">
        <f aca="false">MONTH($E600)</f>
        <v>8</v>
      </c>
      <c r="S600" s="79" t="str">
        <f aca="false">INDEX(Lists!$B$2:$B$13,$R600)</f>
        <v>August</v>
      </c>
      <c r="T600" s="79" t="n">
        <f aca="false">HOUR($F600)</f>
        <v>19</v>
      </c>
      <c r="U600" s="79" t="n">
        <f aca="false">WEEKDAY($E600,2)</f>
        <v>1</v>
      </c>
      <c r="V600" s="79" t="str">
        <f aca="false">INDEX(Lists!$F$2:$F$8,$U600)</f>
        <v>Monday</v>
      </c>
      <c r="W600" s="81" t="n">
        <f aca="false">($G600+$H600)-($E600+$F600)</f>
        <v>2.69546296296296</v>
      </c>
      <c r="X600" s="79" t="str">
        <f aca="false">LOOKUP($M600,Lists!$G$2:$G$5,Lists!$H$2:$H$5)</f>
        <v>₹1,000 - 1,499</v>
      </c>
      <c r="Y600" s="79" t="str">
        <f aca="false">LOOKUP($W600,Lists!$I$2:$I$7,Lists!$J$2:$J$7)</f>
        <v>2 - 4 days</v>
      </c>
    </row>
    <row r="601" customFormat="false" ht="15" hidden="false" customHeight="false" outlineLevel="0" collapsed="false">
      <c r="A601" s="2" t="n">
        <v>600</v>
      </c>
      <c r="B601" s="2" t="s">
        <v>379</v>
      </c>
      <c r="C601" s="2" t="n">
        <v>47</v>
      </c>
      <c r="D601" s="2" t="n">
        <v>4</v>
      </c>
      <c r="E601" s="82" t="n">
        <v>44992</v>
      </c>
      <c r="F601" s="83" t="n">
        <v>0.892118055555556</v>
      </c>
      <c r="G601" s="82" t="n">
        <v>44994</v>
      </c>
      <c r="H601" s="83" t="n">
        <v>0.637025462962963</v>
      </c>
      <c r="I601" s="2" t="s">
        <v>563</v>
      </c>
      <c r="J601" s="2" t="s">
        <v>33</v>
      </c>
      <c r="K601" s="46" t="str">
        <f aca="false">INDEX(Products!$B$2:$B$71,MATCH($C601,Products!$A$2:$A$71,0))</f>
        <v>Harum Pack</v>
      </c>
      <c r="L601" s="46" t="str">
        <f aca="false">INDEX(Products!$C$2:$C$71,MATCH($C601,Products!$A$2:$A$71,0))</f>
        <v>Colors</v>
      </c>
      <c r="M601" s="84" t="n">
        <f aca="false">INDEX(Products!$D$2:$D$71,MATCH($C601,Products!$A$2:$A$71,0))</f>
        <v>1638</v>
      </c>
      <c r="N601" s="84" t="n">
        <f aca="false">$D601*$M601</f>
        <v>6552</v>
      </c>
      <c r="O601" s="46" t="str">
        <f aca="false">INDEX(Customers!$C$2:$C$101,MATCH($B601,Customers!$A$2:$A$101,0))</f>
        <v>Warangal</v>
      </c>
      <c r="P601" s="46" t="str">
        <f aca="false">INDEX(Customers!$F$2:$F$101,MATCH($B601,Customers!$A$2:$A$101,0))</f>
        <v>Female</v>
      </c>
      <c r="Q601" s="46" t="str">
        <f aca="false">INDEX(Customers!$B$2:$B$101,MATCH($B601,Customers!$A$2:$A$101,0))</f>
        <v>Mahika Cherian</v>
      </c>
      <c r="R601" s="46" t="n">
        <f aca="false">MONTH($E601)</f>
        <v>3</v>
      </c>
      <c r="S601" s="46" t="str">
        <f aca="false">INDEX(Lists!$B$2:$B$13,$R601)</f>
        <v>March</v>
      </c>
      <c r="T601" s="46" t="n">
        <f aca="false">HOUR($F601)</f>
        <v>21</v>
      </c>
      <c r="U601" s="46" t="n">
        <f aca="false">WEEKDAY($E601,2)</f>
        <v>2</v>
      </c>
      <c r="V601" s="46" t="str">
        <f aca="false">INDEX(Lists!$F$2:$F$8,$U601)</f>
        <v>Tuesday</v>
      </c>
      <c r="W601" s="85" t="n">
        <f aca="false">($G601+$H601)-($E601+$F601)</f>
        <v>1.74490740740741</v>
      </c>
      <c r="X601" s="46" t="str">
        <f aca="false">LOOKUP($M601,Lists!$G$2:$G$5,Lists!$H$2:$H$5)</f>
        <v>₹1,500 - 2,000</v>
      </c>
      <c r="Y601" s="46" t="str">
        <f aca="false">LOOKUP($W601,Lists!$I$2:$I$7,Lists!$J$2:$J$7)</f>
        <v>0 - 2 days</v>
      </c>
    </row>
    <row r="602" customFormat="false" ht="15" hidden="false" customHeight="false" outlineLevel="0" collapsed="false">
      <c r="A602" s="7" t="n">
        <v>601</v>
      </c>
      <c r="B602" s="7" t="s">
        <v>198</v>
      </c>
      <c r="C602" s="7" t="n">
        <v>1</v>
      </c>
      <c r="D602" s="7" t="n">
        <v>4</v>
      </c>
      <c r="E602" s="77" t="n">
        <v>44999</v>
      </c>
      <c r="F602" s="78" t="n">
        <v>0.109571759259259</v>
      </c>
      <c r="G602" s="77" t="n">
        <v>45003</v>
      </c>
      <c r="H602" s="78" t="n">
        <v>0.150833333333333</v>
      </c>
      <c r="I602" s="7" t="s">
        <v>546</v>
      </c>
      <c r="J602" s="7" t="s">
        <v>165</v>
      </c>
      <c r="K602" s="79" t="str">
        <f aca="false">INDEX(Products!$B$2:$B$71,MATCH($C602,Products!$A$2:$A$71,0))</f>
        <v>Magnam Set</v>
      </c>
      <c r="L602" s="79" t="str">
        <f aca="false">INDEX(Products!$C$2:$C$71,MATCH($C602,Products!$A$2:$A$71,0))</f>
        <v>Soft Toys</v>
      </c>
      <c r="M602" s="80" t="n">
        <f aca="false">INDEX(Products!$D$2:$D$71,MATCH($C602,Products!$A$2:$A$71,0))</f>
        <v>1935</v>
      </c>
      <c r="N602" s="80" t="n">
        <f aca="false">$D602*$M602</f>
        <v>7740</v>
      </c>
      <c r="O602" s="79" t="str">
        <f aca="false">INDEX(Customers!$C$2:$C$101,MATCH($B602,Customers!$A$2:$A$101,0))</f>
        <v>Sambhal</v>
      </c>
      <c r="P602" s="79" t="str">
        <f aca="false">INDEX(Customers!$F$2:$F$101,MATCH($B602,Customers!$A$2:$A$101,0))</f>
        <v>Male</v>
      </c>
      <c r="Q602" s="79" t="str">
        <f aca="false">INDEX(Customers!$B$2:$B$101,MATCH($B602,Customers!$A$2:$A$101,0))</f>
        <v>Vardaniya Contractor</v>
      </c>
      <c r="R602" s="79" t="n">
        <f aca="false">MONTH($E602)</f>
        <v>3</v>
      </c>
      <c r="S602" s="79" t="str">
        <f aca="false">INDEX(Lists!$B$2:$B$13,$R602)</f>
        <v>March</v>
      </c>
      <c r="T602" s="79" t="n">
        <f aca="false">HOUR($F602)</f>
        <v>2</v>
      </c>
      <c r="U602" s="79" t="n">
        <f aca="false">WEEKDAY($E602,2)</f>
        <v>2</v>
      </c>
      <c r="V602" s="79" t="str">
        <f aca="false">INDEX(Lists!$F$2:$F$8,$U602)</f>
        <v>Tuesday</v>
      </c>
      <c r="W602" s="81" t="n">
        <f aca="false">($G602+$H602)-($E602+$F602)</f>
        <v>4.04126157407407</v>
      </c>
      <c r="X602" s="79" t="str">
        <f aca="false">LOOKUP($M602,Lists!$G$2:$G$5,Lists!$H$2:$H$5)</f>
        <v>₹1,500 - 2,000</v>
      </c>
      <c r="Y602" s="79" t="str">
        <f aca="false">LOOKUP($W602,Lists!$I$2:$I$7,Lists!$J$2:$J$7)</f>
        <v>4 - 6 days</v>
      </c>
    </row>
    <row r="603" customFormat="false" ht="15" hidden="false" customHeight="false" outlineLevel="0" collapsed="false">
      <c r="A603" s="2" t="n">
        <v>602</v>
      </c>
      <c r="B603" s="2" t="s">
        <v>230</v>
      </c>
      <c r="C603" s="2" t="n">
        <v>43</v>
      </c>
      <c r="D603" s="2" t="n">
        <v>5</v>
      </c>
      <c r="E603" s="82" t="n">
        <v>45232</v>
      </c>
      <c r="F603" s="83" t="n">
        <v>0.428761574074074</v>
      </c>
      <c r="G603" s="82" t="n">
        <v>45241</v>
      </c>
      <c r="H603" s="83" t="n">
        <v>0.251388888888889</v>
      </c>
      <c r="I603" s="2" t="s">
        <v>296</v>
      </c>
      <c r="J603" s="2" t="s">
        <v>32</v>
      </c>
      <c r="K603" s="46" t="str">
        <f aca="false">INDEX(Products!$B$2:$B$71,MATCH($C603,Products!$A$2:$A$71,0))</f>
        <v>Quisquam Pack</v>
      </c>
      <c r="L603" s="46" t="str">
        <f aca="false">INDEX(Products!$C$2:$C$71,MATCH($C603,Products!$A$2:$A$71,0))</f>
        <v>Raksha Bandhan</v>
      </c>
      <c r="M603" s="84" t="n">
        <f aca="false">INDEX(Products!$D$2:$D$71,MATCH($C603,Products!$A$2:$A$71,0))</f>
        <v>750</v>
      </c>
      <c r="N603" s="84" t="n">
        <f aca="false">$D603*$M603</f>
        <v>3750</v>
      </c>
      <c r="O603" s="46" t="str">
        <f aca="false">INDEX(Customers!$C$2:$C$101,MATCH($B603,Customers!$A$2:$A$101,0))</f>
        <v>Ajmer</v>
      </c>
      <c r="P603" s="46" t="str">
        <f aca="false">INDEX(Customers!$F$2:$F$101,MATCH($B603,Customers!$A$2:$A$101,0))</f>
        <v>Male</v>
      </c>
      <c r="Q603" s="46" t="str">
        <f aca="false">INDEX(Customers!$B$2:$B$101,MATCH($B603,Customers!$A$2:$A$101,0))</f>
        <v>Eshani Sharma</v>
      </c>
      <c r="R603" s="46" t="n">
        <f aca="false">MONTH($E603)</f>
        <v>11</v>
      </c>
      <c r="S603" s="46" t="str">
        <f aca="false">INDEX(Lists!$B$2:$B$13,$R603)</f>
        <v>November</v>
      </c>
      <c r="T603" s="46" t="n">
        <f aca="false">HOUR($F603)</f>
        <v>10</v>
      </c>
      <c r="U603" s="46" t="n">
        <f aca="false">WEEKDAY($E603,2)</f>
        <v>4</v>
      </c>
      <c r="V603" s="46" t="str">
        <f aca="false">INDEX(Lists!$F$2:$F$8,$U603)</f>
        <v>Thursday</v>
      </c>
      <c r="W603" s="85" t="n">
        <f aca="false">($G603+$H603)-($E603+$F603)</f>
        <v>8.82262731481482</v>
      </c>
      <c r="X603" s="46" t="str">
        <f aca="false">LOOKUP($M603,Lists!$G$2:$G$5,Lists!$H$2:$H$5)</f>
        <v>₹500 - 999</v>
      </c>
      <c r="Y603" s="46" t="str">
        <f aca="false">LOOKUP($W603,Lists!$I$2:$I$7,Lists!$J$2:$J$7)</f>
        <v>8 - 10 days</v>
      </c>
    </row>
    <row r="604" customFormat="false" ht="15" hidden="false" customHeight="false" outlineLevel="0" collapsed="false">
      <c r="A604" s="7" t="n">
        <v>603</v>
      </c>
      <c r="B604" s="7" t="s">
        <v>336</v>
      </c>
      <c r="C604" s="7" t="n">
        <v>8</v>
      </c>
      <c r="D604" s="7" t="n">
        <v>3</v>
      </c>
      <c r="E604" s="77" t="n">
        <v>45075</v>
      </c>
      <c r="F604" s="78" t="n">
        <v>0.224965277777778</v>
      </c>
      <c r="G604" s="77" t="n">
        <v>45084</v>
      </c>
      <c r="H604" s="78" t="n">
        <v>0.635243055555556</v>
      </c>
      <c r="I604" s="7" t="s">
        <v>595</v>
      </c>
      <c r="J604" s="7" t="s">
        <v>168</v>
      </c>
      <c r="K604" s="79" t="str">
        <f aca="false">INDEX(Products!$B$2:$B$71,MATCH($C604,Products!$A$2:$A$71,0))</f>
        <v>Qui Box</v>
      </c>
      <c r="L604" s="79" t="str">
        <f aca="false">INDEX(Products!$C$2:$C$71,MATCH($C604,Products!$A$2:$A$71,0))</f>
        <v>Sweets</v>
      </c>
      <c r="M604" s="80" t="n">
        <f aca="false">INDEX(Products!$D$2:$D$71,MATCH($C604,Products!$A$2:$A$71,0))</f>
        <v>252</v>
      </c>
      <c r="N604" s="80" t="n">
        <f aca="false">$D604*$M604</f>
        <v>756</v>
      </c>
      <c r="O604" s="79" t="str">
        <f aca="false">INDEX(Customers!$C$2:$C$101,MATCH($B604,Customers!$A$2:$A$101,0))</f>
        <v>Bhilai</v>
      </c>
      <c r="P604" s="79" t="str">
        <f aca="false">INDEX(Customers!$F$2:$F$101,MATCH($B604,Customers!$A$2:$A$101,0))</f>
        <v>Female</v>
      </c>
      <c r="Q604" s="79" t="str">
        <f aca="false">INDEX(Customers!$B$2:$B$101,MATCH($B604,Customers!$A$2:$A$101,0))</f>
        <v>Vedika Sankaran</v>
      </c>
      <c r="R604" s="79" t="n">
        <f aca="false">MONTH($E604)</f>
        <v>5</v>
      </c>
      <c r="S604" s="79" t="str">
        <f aca="false">INDEX(Lists!$B$2:$B$13,$R604)</f>
        <v>May</v>
      </c>
      <c r="T604" s="79" t="n">
        <f aca="false">HOUR($F604)</f>
        <v>5</v>
      </c>
      <c r="U604" s="79" t="n">
        <f aca="false">WEEKDAY($E604,2)</f>
        <v>1</v>
      </c>
      <c r="V604" s="79" t="str">
        <f aca="false">INDEX(Lists!$F$2:$F$8,$U604)</f>
        <v>Monday</v>
      </c>
      <c r="W604" s="81" t="n">
        <f aca="false">($G604+$H604)-($E604+$F604)</f>
        <v>9.41027777777778</v>
      </c>
      <c r="X604" s="79" t="str">
        <f aca="false">LOOKUP($M604,Lists!$G$2:$G$5,Lists!$H$2:$H$5)</f>
        <v>₹0 - 499</v>
      </c>
      <c r="Y604" s="79" t="str">
        <f aca="false">LOOKUP($W604,Lists!$I$2:$I$7,Lists!$J$2:$J$7)</f>
        <v>8 - 10 days</v>
      </c>
    </row>
    <row r="605" customFormat="false" ht="15" hidden="false" customHeight="false" outlineLevel="0" collapsed="false">
      <c r="A605" s="2" t="n">
        <v>604</v>
      </c>
      <c r="B605" s="2" t="s">
        <v>309</v>
      </c>
      <c r="C605" s="2" t="n">
        <v>39</v>
      </c>
      <c r="D605" s="2" t="n">
        <v>3</v>
      </c>
      <c r="E605" s="82" t="n">
        <v>44957</v>
      </c>
      <c r="F605" s="83" t="n">
        <v>0.829814814814815</v>
      </c>
      <c r="G605" s="82" t="n">
        <v>44960</v>
      </c>
      <c r="H605" s="83" t="n">
        <v>0.892106481481482</v>
      </c>
      <c r="I605" s="2" t="s">
        <v>583</v>
      </c>
      <c r="J605" s="2" t="s">
        <v>165</v>
      </c>
      <c r="K605" s="46" t="str">
        <f aca="false">INDEX(Products!$B$2:$B$71,MATCH($C605,Products!$A$2:$A$71,0))</f>
        <v>Voluptate Set</v>
      </c>
      <c r="L605" s="46" t="str">
        <f aca="false">INDEX(Products!$C$2:$C$71,MATCH($C605,Products!$A$2:$A$71,0))</f>
        <v>Mugs</v>
      </c>
      <c r="M605" s="84" t="n">
        <f aca="false">INDEX(Products!$D$2:$D$71,MATCH($C605,Products!$A$2:$A$71,0))</f>
        <v>387</v>
      </c>
      <c r="N605" s="84" t="n">
        <f aca="false">$D605*$M605</f>
        <v>1161</v>
      </c>
      <c r="O605" s="46" t="str">
        <f aca="false">INDEX(Customers!$C$2:$C$101,MATCH($B605,Customers!$A$2:$A$101,0))</f>
        <v>Madhyamgram</v>
      </c>
      <c r="P605" s="46" t="str">
        <f aca="false">INDEX(Customers!$F$2:$F$101,MATCH($B605,Customers!$A$2:$A$101,0))</f>
        <v>Female</v>
      </c>
      <c r="Q605" s="46" t="str">
        <f aca="false">INDEX(Customers!$B$2:$B$101,MATCH($B605,Customers!$A$2:$A$101,0))</f>
        <v>Hunar Tripathi</v>
      </c>
      <c r="R605" s="46" t="n">
        <f aca="false">MONTH($E605)</f>
        <v>1</v>
      </c>
      <c r="S605" s="46" t="str">
        <f aca="false">INDEX(Lists!$B$2:$B$13,$R605)</f>
        <v>January</v>
      </c>
      <c r="T605" s="46" t="n">
        <f aca="false">HOUR($F605)</f>
        <v>19</v>
      </c>
      <c r="U605" s="46" t="n">
        <f aca="false">WEEKDAY($E605,2)</f>
        <v>2</v>
      </c>
      <c r="V605" s="46" t="str">
        <f aca="false">INDEX(Lists!$F$2:$F$8,$U605)</f>
        <v>Tuesday</v>
      </c>
      <c r="W605" s="85" t="n">
        <f aca="false">($G605+$H605)-($E605+$F605)</f>
        <v>3.06229166666667</v>
      </c>
      <c r="X605" s="46" t="str">
        <f aca="false">LOOKUP($M605,Lists!$G$2:$G$5,Lists!$H$2:$H$5)</f>
        <v>₹0 - 499</v>
      </c>
      <c r="Y605" s="46" t="str">
        <f aca="false">LOOKUP($W605,Lists!$I$2:$I$7,Lists!$J$2:$J$7)</f>
        <v>2 - 4 days</v>
      </c>
    </row>
    <row r="606" customFormat="false" ht="15" hidden="false" customHeight="false" outlineLevel="0" collapsed="false">
      <c r="A606" s="7" t="n">
        <v>605</v>
      </c>
      <c r="B606" s="7" t="s">
        <v>306</v>
      </c>
      <c r="C606" s="7" t="n">
        <v>45</v>
      </c>
      <c r="D606" s="7" t="n">
        <v>2</v>
      </c>
      <c r="E606" s="77" t="n">
        <v>45281</v>
      </c>
      <c r="F606" s="78" t="n">
        <v>0.931319444444445</v>
      </c>
      <c r="G606" s="77" t="n">
        <v>45285</v>
      </c>
      <c r="H606" s="78" t="n">
        <v>0.867743055555556</v>
      </c>
      <c r="I606" s="7" t="s">
        <v>445</v>
      </c>
      <c r="J606" s="7" t="s">
        <v>31</v>
      </c>
      <c r="K606" s="79" t="str">
        <f aca="false">INDEX(Products!$B$2:$B$71,MATCH($C606,Products!$A$2:$A$71,0))</f>
        <v>Iusto Set</v>
      </c>
      <c r="L606" s="79" t="str">
        <f aca="false">INDEX(Products!$C$2:$C$71,MATCH($C606,Products!$A$2:$A$71,0))</f>
        <v>Raksha Bandhan</v>
      </c>
      <c r="M606" s="80" t="n">
        <f aca="false">INDEX(Products!$D$2:$D$71,MATCH($C606,Products!$A$2:$A$71,0))</f>
        <v>722</v>
      </c>
      <c r="N606" s="80" t="n">
        <f aca="false">$D606*$M606</f>
        <v>1444</v>
      </c>
      <c r="O606" s="79" t="str">
        <f aca="false">INDEX(Customers!$C$2:$C$101,MATCH($B606,Customers!$A$2:$A$101,0))</f>
        <v>Kalyan-Dombivli</v>
      </c>
      <c r="P606" s="79" t="str">
        <f aca="false">INDEX(Customers!$F$2:$F$101,MATCH($B606,Customers!$A$2:$A$101,0))</f>
        <v>Male</v>
      </c>
      <c r="Q606" s="79" t="str">
        <f aca="false">INDEX(Customers!$B$2:$B$101,MATCH($B606,Customers!$A$2:$A$101,0))</f>
        <v>Ritvik Garde</v>
      </c>
      <c r="R606" s="79" t="n">
        <f aca="false">MONTH($E606)</f>
        <v>12</v>
      </c>
      <c r="S606" s="79" t="str">
        <f aca="false">INDEX(Lists!$B$2:$B$13,$R606)</f>
        <v>December</v>
      </c>
      <c r="T606" s="79" t="n">
        <f aca="false">HOUR($F606)</f>
        <v>22</v>
      </c>
      <c r="U606" s="79" t="n">
        <f aca="false">WEEKDAY($E606,2)</f>
        <v>4</v>
      </c>
      <c r="V606" s="79" t="str">
        <f aca="false">INDEX(Lists!$F$2:$F$8,$U606)</f>
        <v>Thursday</v>
      </c>
      <c r="W606" s="81" t="n">
        <f aca="false">($G606+$H606)-($E606+$F606)</f>
        <v>3.93642361111111</v>
      </c>
      <c r="X606" s="79" t="str">
        <f aca="false">LOOKUP($M606,Lists!$G$2:$G$5,Lists!$H$2:$H$5)</f>
        <v>₹500 - 999</v>
      </c>
      <c r="Y606" s="79" t="str">
        <f aca="false">LOOKUP($W606,Lists!$I$2:$I$7,Lists!$J$2:$J$7)</f>
        <v>2 - 4 days</v>
      </c>
    </row>
    <row r="607" customFormat="false" ht="15" hidden="false" customHeight="false" outlineLevel="0" collapsed="false">
      <c r="A607" s="2" t="n">
        <v>606</v>
      </c>
      <c r="B607" s="2" t="s">
        <v>245</v>
      </c>
      <c r="C607" s="2" t="n">
        <v>3</v>
      </c>
      <c r="D607" s="2" t="n">
        <v>5</v>
      </c>
      <c r="E607" s="82" t="n">
        <v>44965</v>
      </c>
      <c r="F607" s="83" t="n">
        <v>0.0925115740740741</v>
      </c>
      <c r="G607" s="82" t="n">
        <v>44974</v>
      </c>
      <c r="H607" s="83" t="n">
        <v>0.313564814814815</v>
      </c>
      <c r="I607" s="2" t="s">
        <v>554</v>
      </c>
      <c r="J607" s="2" t="s">
        <v>179</v>
      </c>
      <c r="K607" s="46" t="str">
        <f aca="false">INDEX(Products!$B$2:$B$71,MATCH($C607,Products!$A$2:$A$71,0))</f>
        <v>Eius Gift</v>
      </c>
      <c r="L607" s="46" t="str">
        <f aca="false">INDEX(Products!$C$2:$C$71,MATCH($C607,Products!$A$2:$A$71,0))</f>
        <v>Colors</v>
      </c>
      <c r="M607" s="84" t="n">
        <f aca="false">INDEX(Products!$D$2:$D$71,MATCH($C607,Products!$A$2:$A$71,0))</f>
        <v>1534</v>
      </c>
      <c r="N607" s="84" t="n">
        <f aca="false">$D607*$M607</f>
        <v>7670</v>
      </c>
      <c r="O607" s="46" t="str">
        <f aca="false">INDEX(Customers!$C$2:$C$101,MATCH($B607,Customers!$A$2:$A$101,0))</f>
        <v>Jorhat</v>
      </c>
      <c r="P607" s="46" t="str">
        <f aca="false">INDEX(Customers!$F$2:$F$101,MATCH($B607,Customers!$A$2:$A$101,0))</f>
        <v>Male</v>
      </c>
      <c r="Q607" s="46" t="str">
        <f aca="false">INDEX(Customers!$B$2:$B$101,MATCH($B607,Customers!$A$2:$A$101,0))</f>
        <v>Bhamini Ravi</v>
      </c>
      <c r="R607" s="46" t="n">
        <f aca="false">MONTH($E607)</f>
        <v>2</v>
      </c>
      <c r="S607" s="46" t="str">
        <f aca="false">INDEX(Lists!$B$2:$B$13,$R607)</f>
        <v>February</v>
      </c>
      <c r="T607" s="46" t="n">
        <f aca="false">HOUR($F607)</f>
        <v>2</v>
      </c>
      <c r="U607" s="46" t="n">
        <f aca="false">WEEKDAY($E607,2)</f>
        <v>3</v>
      </c>
      <c r="V607" s="46" t="str">
        <f aca="false">INDEX(Lists!$F$2:$F$8,$U607)</f>
        <v>Wednesday</v>
      </c>
      <c r="W607" s="85" t="n">
        <f aca="false">($G607+$H607)-($E607+$F607)</f>
        <v>9.22105324074074</v>
      </c>
      <c r="X607" s="46" t="str">
        <f aca="false">LOOKUP($M607,Lists!$G$2:$G$5,Lists!$H$2:$H$5)</f>
        <v>₹1,500 - 2,000</v>
      </c>
      <c r="Y607" s="46" t="str">
        <f aca="false">LOOKUP($W607,Lists!$I$2:$I$7,Lists!$J$2:$J$7)</f>
        <v>8 - 10 days</v>
      </c>
    </row>
    <row r="608" customFormat="false" ht="15" hidden="false" customHeight="false" outlineLevel="0" collapsed="false">
      <c r="A608" s="7" t="n">
        <v>607</v>
      </c>
      <c r="B608" s="7" t="s">
        <v>194</v>
      </c>
      <c r="C608" s="7" t="n">
        <v>50</v>
      </c>
      <c r="D608" s="7" t="n">
        <v>3</v>
      </c>
      <c r="E608" s="77" t="n">
        <v>44988</v>
      </c>
      <c r="F608" s="78" t="n">
        <v>0.0766782407407407</v>
      </c>
      <c r="G608" s="77" t="n">
        <v>44990</v>
      </c>
      <c r="H608" s="78" t="n">
        <v>0.411759259259259</v>
      </c>
      <c r="I608" s="7" t="s">
        <v>271</v>
      </c>
      <c r="J608" s="7" t="s">
        <v>33</v>
      </c>
      <c r="K608" s="79" t="str">
        <f aca="false">INDEX(Products!$B$2:$B$71,MATCH($C608,Products!$A$2:$A$71,0))</f>
        <v>Eligendi Set</v>
      </c>
      <c r="L608" s="79" t="str">
        <f aca="false">INDEX(Products!$C$2:$C$71,MATCH($C608,Products!$A$2:$A$71,0))</f>
        <v>Plants</v>
      </c>
      <c r="M608" s="80" t="n">
        <f aca="false">INDEX(Products!$D$2:$D$71,MATCH($C608,Products!$A$2:$A$71,0))</f>
        <v>422</v>
      </c>
      <c r="N608" s="80" t="n">
        <f aca="false">$D608*$M608</f>
        <v>1266</v>
      </c>
      <c r="O608" s="79" t="str">
        <f aca="false">INDEX(Customers!$C$2:$C$101,MATCH($B608,Customers!$A$2:$A$101,0))</f>
        <v>Noida</v>
      </c>
      <c r="P608" s="79" t="str">
        <f aca="false">INDEX(Customers!$F$2:$F$101,MATCH($B608,Customers!$A$2:$A$101,0))</f>
        <v>Female</v>
      </c>
      <c r="Q608" s="79" t="str">
        <f aca="false">INDEX(Customers!$B$2:$B$101,MATCH($B608,Customers!$A$2:$A$101,0))</f>
        <v>Hridaan Rajagopalan</v>
      </c>
      <c r="R608" s="79" t="n">
        <f aca="false">MONTH($E608)</f>
        <v>3</v>
      </c>
      <c r="S608" s="79" t="str">
        <f aca="false">INDEX(Lists!$B$2:$B$13,$R608)</f>
        <v>March</v>
      </c>
      <c r="T608" s="79" t="n">
        <f aca="false">HOUR($F608)</f>
        <v>1</v>
      </c>
      <c r="U608" s="79" t="n">
        <f aca="false">WEEKDAY($E608,2)</f>
        <v>5</v>
      </c>
      <c r="V608" s="79" t="str">
        <f aca="false">INDEX(Lists!$F$2:$F$8,$U608)</f>
        <v>Friday</v>
      </c>
      <c r="W608" s="81" t="n">
        <f aca="false">($G608+$H608)-($E608+$F608)</f>
        <v>2.33508101851852</v>
      </c>
      <c r="X608" s="79" t="str">
        <f aca="false">LOOKUP($M608,Lists!$G$2:$G$5,Lists!$H$2:$H$5)</f>
        <v>₹0 - 499</v>
      </c>
      <c r="Y608" s="79" t="str">
        <f aca="false">LOOKUP($W608,Lists!$I$2:$I$7,Lists!$J$2:$J$7)</f>
        <v>2 - 4 days</v>
      </c>
    </row>
    <row r="609" customFormat="false" ht="15" hidden="false" customHeight="false" outlineLevel="0" collapsed="false">
      <c r="A609" s="2" t="n">
        <v>608</v>
      </c>
      <c r="B609" s="2" t="s">
        <v>198</v>
      </c>
      <c r="C609" s="2" t="n">
        <v>55</v>
      </c>
      <c r="D609" s="2" t="n">
        <v>5</v>
      </c>
      <c r="E609" s="82" t="n">
        <v>45166</v>
      </c>
      <c r="F609" s="83" t="n">
        <v>0.854340277777778</v>
      </c>
      <c r="G609" s="82" t="n">
        <v>45170</v>
      </c>
      <c r="H609" s="83" t="n">
        <v>0.30162037037037</v>
      </c>
      <c r="I609" s="2" t="s">
        <v>365</v>
      </c>
      <c r="J609" s="2" t="s">
        <v>40</v>
      </c>
      <c r="K609" s="46" t="str">
        <f aca="false">INDEX(Products!$B$2:$B$71,MATCH($C609,Products!$A$2:$A$71,0))</f>
        <v>Dolores Gift</v>
      </c>
      <c r="L609" s="46" t="str">
        <f aca="false">INDEX(Products!$C$2:$C$71,MATCH($C609,Products!$A$2:$A$71,0))</f>
        <v>Soft Toys</v>
      </c>
      <c r="M609" s="84" t="n">
        <f aca="false">INDEX(Products!$D$2:$D$71,MATCH($C609,Products!$A$2:$A$71,0))</f>
        <v>1904</v>
      </c>
      <c r="N609" s="84" t="n">
        <f aca="false">$D609*$M609</f>
        <v>9520</v>
      </c>
      <c r="O609" s="46" t="str">
        <f aca="false">INDEX(Customers!$C$2:$C$101,MATCH($B609,Customers!$A$2:$A$101,0))</f>
        <v>Sambhal</v>
      </c>
      <c r="P609" s="46" t="str">
        <f aca="false">INDEX(Customers!$F$2:$F$101,MATCH($B609,Customers!$A$2:$A$101,0))</f>
        <v>Male</v>
      </c>
      <c r="Q609" s="46" t="str">
        <f aca="false">INDEX(Customers!$B$2:$B$101,MATCH($B609,Customers!$A$2:$A$101,0))</f>
        <v>Vardaniya Contractor</v>
      </c>
      <c r="R609" s="46" t="n">
        <f aca="false">MONTH($E609)</f>
        <v>8</v>
      </c>
      <c r="S609" s="46" t="str">
        <f aca="false">INDEX(Lists!$B$2:$B$13,$R609)</f>
        <v>August</v>
      </c>
      <c r="T609" s="46" t="n">
        <f aca="false">HOUR($F609)</f>
        <v>20</v>
      </c>
      <c r="U609" s="46" t="n">
        <f aca="false">WEEKDAY($E609,2)</f>
        <v>1</v>
      </c>
      <c r="V609" s="46" t="str">
        <f aca="false">INDEX(Lists!$F$2:$F$8,$U609)</f>
        <v>Monday</v>
      </c>
      <c r="W609" s="85" t="n">
        <f aca="false">($G609+$H609)-($E609+$F609)</f>
        <v>3.44728009259259</v>
      </c>
      <c r="X609" s="46" t="str">
        <f aca="false">LOOKUP($M609,Lists!$G$2:$G$5,Lists!$H$2:$H$5)</f>
        <v>₹1,500 - 2,000</v>
      </c>
      <c r="Y609" s="46" t="str">
        <f aca="false">LOOKUP($W609,Lists!$I$2:$I$7,Lists!$J$2:$J$7)</f>
        <v>2 - 4 days</v>
      </c>
    </row>
    <row r="610" customFormat="false" ht="15" hidden="false" customHeight="false" outlineLevel="0" collapsed="false">
      <c r="A610" s="7" t="n">
        <v>609</v>
      </c>
      <c r="B610" s="7" t="s">
        <v>185</v>
      </c>
      <c r="C610" s="7" t="n">
        <v>25</v>
      </c>
      <c r="D610" s="7" t="n">
        <v>5</v>
      </c>
      <c r="E610" s="77" t="n">
        <v>45226</v>
      </c>
      <c r="F610" s="78" t="n">
        <v>0.464537037037037</v>
      </c>
      <c r="G610" s="77" t="n">
        <v>45227</v>
      </c>
      <c r="H610" s="78" t="n">
        <v>0.990914351851852</v>
      </c>
      <c r="I610" s="7" t="s">
        <v>408</v>
      </c>
      <c r="J610" s="7" t="s">
        <v>168</v>
      </c>
      <c r="K610" s="79" t="str">
        <f aca="false">INDEX(Products!$B$2:$B$71,MATCH($C610,Products!$A$2:$A$71,0))</f>
        <v>Qui Gift</v>
      </c>
      <c r="L610" s="79" t="str">
        <f aca="false">INDEX(Products!$C$2:$C$71,MATCH($C610,Products!$A$2:$A$71,0))</f>
        <v>Plants</v>
      </c>
      <c r="M610" s="80" t="n">
        <f aca="false">INDEX(Products!$D$2:$D$71,MATCH($C610,Products!$A$2:$A$71,0))</f>
        <v>1202</v>
      </c>
      <c r="N610" s="80" t="n">
        <f aca="false">$D610*$M610</f>
        <v>6010</v>
      </c>
      <c r="O610" s="79" t="str">
        <f aca="false">INDEX(Customers!$C$2:$C$101,MATCH($B610,Customers!$A$2:$A$101,0))</f>
        <v>Kavali</v>
      </c>
      <c r="P610" s="79" t="str">
        <f aca="false">INDEX(Customers!$F$2:$F$101,MATCH($B610,Customers!$A$2:$A$101,0))</f>
        <v>Female</v>
      </c>
      <c r="Q610" s="79" t="str">
        <f aca="false">INDEX(Customers!$B$2:$B$101,MATCH($B610,Customers!$A$2:$A$101,0))</f>
        <v>Jhanvi Chowdhury</v>
      </c>
      <c r="R610" s="79" t="n">
        <f aca="false">MONTH($E610)</f>
        <v>10</v>
      </c>
      <c r="S610" s="79" t="str">
        <f aca="false">INDEX(Lists!$B$2:$B$13,$R610)</f>
        <v>October</v>
      </c>
      <c r="T610" s="79" t="n">
        <f aca="false">HOUR($F610)</f>
        <v>11</v>
      </c>
      <c r="U610" s="79" t="n">
        <f aca="false">WEEKDAY($E610,2)</f>
        <v>5</v>
      </c>
      <c r="V610" s="79" t="str">
        <f aca="false">INDEX(Lists!$F$2:$F$8,$U610)</f>
        <v>Friday</v>
      </c>
      <c r="W610" s="81" t="n">
        <f aca="false">($G610+$H610)-($E610+$F610)</f>
        <v>1.52637731481481</v>
      </c>
      <c r="X610" s="79" t="str">
        <f aca="false">LOOKUP($M610,Lists!$G$2:$G$5,Lists!$H$2:$H$5)</f>
        <v>₹1,000 - 1,499</v>
      </c>
      <c r="Y610" s="79" t="str">
        <f aca="false">LOOKUP($W610,Lists!$I$2:$I$7,Lists!$J$2:$J$7)</f>
        <v>0 - 2 days</v>
      </c>
    </row>
    <row r="611" customFormat="false" ht="15" hidden="false" customHeight="false" outlineLevel="0" collapsed="false">
      <c r="A611" s="2" t="n">
        <v>610</v>
      </c>
      <c r="B611" s="2" t="s">
        <v>306</v>
      </c>
      <c r="C611" s="2" t="n">
        <v>5</v>
      </c>
      <c r="D611" s="2" t="n">
        <v>3</v>
      </c>
      <c r="E611" s="82" t="n">
        <v>44929</v>
      </c>
      <c r="F611" s="83" t="n">
        <v>0.726168981481482</v>
      </c>
      <c r="G611" s="82" t="n">
        <v>44931</v>
      </c>
      <c r="H611" s="83" t="n">
        <v>0.00805555555555556</v>
      </c>
      <c r="I611" s="2" t="s">
        <v>570</v>
      </c>
      <c r="J611" s="2" t="s">
        <v>165</v>
      </c>
      <c r="K611" s="46" t="str">
        <f aca="false">INDEX(Products!$B$2:$B$71,MATCH($C611,Products!$A$2:$A$71,0))</f>
        <v>Natus Gift</v>
      </c>
      <c r="L611" s="46" t="str">
        <f aca="false">INDEX(Products!$C$2:$C$71,MATCH($C611,Products!$A$2:$A$71,0))</f>
        <v>Colors</v>
      </c>
      <c r="M611" s="84" t="n">
        <f aca="false">INDEX(Products!$D$2:$D$71,MATCH($C611,Products!$A$2:$A$71,0))</f>
        <v>1444</v>
      </c>
      <c r="N611" s="84" t="n">
        <f aca="false">$D611*$M611</f>
        <v>4332</v>
      </c>
      <c r="O611" s="46" t="str">
        <f aca="false">INDEX(Customers!$C$2:$C$101,MATCH($B611,Customers!$A$2:$A$101,0))</f>
        <v>Kalyan-Dombivli</v>
      </c>
      <c r="P611" s="46" t="str">
        <f aca="false">INDEX(Customers!$F$2:$F$101,MATCH($B611,Customers!$A$2:$A$101,0))</f>
        <v>Male</v>
      </c>
      <c r="Q611" s="46" t="str">
        <f aca="false">INDEX(Customers!$B$2:$B$101,MATCH($B611,Customers!$A$2:$A$101,0))</f>
        <v>Ritvik Garde</v>
      </c>
      <c r="R611" s="46" t="n">
        <f aca="false">MONTH($E611)</f>
        <v>1</v>
      </c>
      <c r="S611" s="46" t="str">
        <f aca="false">INDEX(Lists!$B$2:$B$13,$R611)</f>
        <v>January</v>
      </c>
      <c r="T611" s="46" t="n">
        <f aca="false">HOUR($F611)</f>
        <v>17</v>
      </c>
      <c r="U611" s="46" t="n">
        <f aca="false">WEEKDAY($E611,2)</f>
        <v>2</v>
      </c>
      <c r="V611" s="46" t="str">
        <f aca="false">INDEX(Lists!$F$2:$F$8,$U611)</f>
        <v>Tuesday</v>
      </c>
      <c r="W611" s="85" t="n">
        <f aca="false">($G611+$H611)-($E611+$F611)</f>
        <v>1.28188657407407</v>
      </c>
      <c r="X611" s="46" t="str">
        <f aca="false">LOOKUP($M611,Lists!$G$2:$G$5,Lists!$H$2:$H$5)</f>
        <v>₹1,000 - 1,499</v>
      </c>
      <c r="Y611" s="46" t="str">
        <f aca="false">LOOKUP($W611,Lists!$I$2:$I$7,Lists!$J$2:$J$7)</f>
        <v>0 - 2 days</v>
      </c>
    </row>
    <row r="612" customFormat="false" ht="15" hidden="false" customHeight="false" outlineLevel="0" collapsed="false">
      <c r="A612" s="7" t="n">
        <v>611</v>
      </c>
      <c r="B612" s="7" t="s">
        <v>272</v>
      </c>
      <c r="C612" s="7" t="n">
        <v>28</v>
      </c>
      <c r="D612" s="7" t="n">
        <v>2</v>
      </c>
      <c r="E612" s="77" t="n">
        <v>45160</v>
      </c>
      <c r="F612" s="78" t="n">
        <v>0.887384259259259</v>
      </c>
      <c r="G612" s="77" t="n">
        <v>45166</v>
      </c>
      <c r="H612" s="78" t="n">
        <v>0.144097222222222</v>
      </c>
      <c r="I612" s="7" t="s">
        <v>471</v>
      </c>
      <c r="J612" s="7" t="s">
        <v>40</v>
      </c>
      <c r="K612" s="79" t="str">
        <f aca="false">INDEX(Products!$B$2:$B$71,MATCH($C612,Products!$A$2:$A$71,0))</f>
        <v>Velit Set</v>
      </c>
      <c r="L612" s="79" t="str">
        <f aca="false">INDEX(Products!$C$2:$C$71,MATCH($C612,Products!$A$2:$A$71,0))</f>
        <v>Sweets</v>
      </c>
      <c r="M612" s="80" t="n">
        <f aca="false">INDEX(Products!$D$2:$D$71,MATCH($C612,Products!$A$2:$A$71,0))</f>
        <v>1778</v>
      </c>
      <c r="N612" s="80" t="n">
        <f aca="false">$D612*$M612</f>
        <v>3556</v>
      </c>
      <c r="O612" s="79" t="str">
        <f aca="false">INDEX(Customers!$C$2:$C$101,MATCH($B612,Customers!$A$2:$A$101,0))</f>
        <v>Haridwar</v>
      </c>
      <c r="P612" s="79" t="str">
        <f aca="false">INDEX(Customers!$F$2:$F$101,MATCH($B612,Customers!$A$2:$A$101,0))</f>
        <v>Male</v>
      </c>
      <c r="Q612" s="79" t="str">
        <f aca="false">INDEX(Customers!$B$2:$B$101,MATCH($B612,Customers!$A$2:$A$101,0))</f>
        <v>Pihu Choudhury</v>
      </c>
      <c r="R612" s="79" t="n">
        <f aca="false">MONTH($E612)</f>
        <v>8</v>
      </c>
      <c r="S612" s="79" t="str">
        <f aca="false">INDEX(Lists!$B$2:$B$13,$R612)</f>
        <v>August</v>
      </c>
      <c r="T612" s="79" t="n">
        <f aca="false">HOUR($F612)</f>
        <v>21</v>
      </c>
      <c r="U612" s="79" t="n">
        <f aca="false">WEEKDAY($E612,2)</f>
        <v>2</v>
      </c>
      <c r="V612" s="79" t="str">
        <f aca="false">INDEX(Lists!$F$2:$F$8,$U612)</f>
        <v>Tuesday</v>
      </c>
      <c r="W612" s="81" t="n">
        <f aca="false">($G612+$H612)-($E612+$F612)</f>
        <v>5.25671296296296</v>
      </c>
      <c r="X612" s="79" t="str">
        <f aca="false">LOOKUP($M612,Lists!$G$2:$G$5,Lists!$H$2:$H$5)</f>
        <v>₹1,500 - 2,000</v>
      </c>
      <c r="Y612" s="79" t="str">
        <f aca="false">LOOKUP($W612,Lists!$I$2:$I$7,Lists!$J$2:$J$7)</f>
        <v>4 - 6 days</v>
      </c>
    </row>
    <row r="613" customFormat="false" ht="15" hidden="false" customHeight="false" outlineLevel="0" collapsed="false">
      <c r="A613" s="2" t="n">
        <v>612</v>
      </c>
      <c r="B613" s="2" t="s">
        <v>325</v>
      </c>
      <c r="C613" s="2" t="n">
        <v>26</v>
      </c>
      <c r="D613" s="2" t="n">
        <v>1</v>
      </c>
      <c r="E613" s="82" t="n">
        <v>44987</v>
      </c>
      <c r="F613" s="83" t="n">
        <v>0.432233796296296</v>
      </c>
      <c r="G613" s="82" t="n">
        <v>44993</v>
      </c>
      <c r="H613" s="83" t="n">
        <v>0.527662037037037</v>
      </c>
      <c r="I613" s="2" t="s">
        <v>565</v>
      </c>
      <c r="J613" s="2" t="s">
        <v>33</v>
      </c>
      <c r="K613" s="46" t="str">
        <f aca="false">INDEX(Products!$B$2:$B$71,MATCH($C613,Products!$A$2:$A$71,0))</f>
        <v>Aliquam Box</v>
      </c>
      <c r="L613" s="46" t="str">
        <f aca="false">INDEX(Products!$C$2:$C$71,MATCH($C613,Products!$A$2:$A$71,0))</f>
        <v>Colors</v>
      </c>
      <c r="M613" s="84" t="n">
        <f aca="false">INDEX(Products!$D$2:$D$71,MATCH($C613,Products!$A$2:$A$71,0))</f>
        <v>289</v>
      </c>
      <c r="N613" s="84" t="n">
        <f aca="false">$D613*$M613</f>
        <v>289</v>
      </c>
      <c r="O613" s="46" t="str">
        <f aca="false">INDEX(Customers!$C$2:$C$101,MATCH($B613,Customers!$A$2:$A$101,0))</f>
        <v>Aligarh</v>
      </c>
      <c r="P613" s="46" t="str">
        <f aca="false">INDEX(Customers!$F$2:$F$101,MATCH($B613,Customers!$A$2:$A$101,0))</f>
        <v>Female</v>
      </c>
      <c r="Q613" s="46" t="str">
        <f aca="false">INDEX(Customers!$B$2:$B$101,MATCH($B613,Customers!$A$2:$A$101,0))</f>
        <v>Yashvi Bansal</v>
      </c>
      <c r="R613" s="46" t="n">
        <f aca="false">MONTH($E613)</f>
        <v>3</v>
      </c>
      <c r="S613" s="46" t="str">
        <f aca="false">INDEX(Lists!$B$2:$B$13,$R613)</f>
        <v>March</v>
      </c>
      <c r="T613" s="46" t="n">
        <f aca="false">HOUR($F613)</f>
        <v>10</v>
      </c>
      <c r="U613" s="46" t="n">
        <f aca="false">WEEKDAY($E613,2)</f>
        <v>4</v>
      </c>
      <c r="V613" s="46" t="str">
        <f aca="false">INDEX(Lists!$F$2:$F$8,$U613)</f>
        <v>Thursday</v>
      </c>
      <c r="W613" s="85" t="n">
        <f aca="false">($G613+$H613)-($E613+$F613)</f>
        <v>6.09542824074074</v>
      </c>
      <c r="X613" s="46" t="str">
        <f aca="false">LOOKUP($M613,Lists!$G$2:$G$5,Lists!$H$2:$H$5)</f>
        <v>₹0 - 499</v>
      </c>
      <c r="Y613" s="46" t="str">
        <f aca="false">LOOKUP($W613,Lists!$I$2:$I$7,Lists!$J$2:$J$7)</f>
        <v>6 - 8 days</v>
      </c>
    </row>
    <row r="614" customFormat="false" ht="15" hidden="false" customHeight="false" outlineLevel="0" collapsed="false">
      <c r="A614" s="7" t="n">
        <v>613</v>
      </c>
      <c r="B614" s="7" t="s">
        <v>291</v>
      </c>
      <c r="C614" s="7" t="n">
        <v>4</v>
      </c>
      <c r="D614" s="7" t="n">
        <v>5</v>
      </c>
      <c r="E614" s="77" t="n">
        <v>45240</v>
      </c>
      <c r="F614" s="78" t="n">
        <v>0.746226851851852</v>
      </c>
      <c r="G614" s="77" t="n">
        <v>45244</v>
      </c>
      <c r="H614" s="78" t="n">
        <v>0.804479166666667</v>
      </c>
      <c r="I614" s="7" t="s">
        <v>402</v>
      </c>
      <c r="J614" s="7" t="s">
        <v>32</v>
      </c>
      <c r="K614" s="79" t="str">
        <f aca="false">INDEX(Products!$B$2:$B$71,MATCH($C614,Products!$A$2:$A$71,0))</f>
        <v>Accusantium Set</v>
      </c>
      <c r="L614" s="79" t="str">
        <f aca="false">INDEX(Products!$C$2:$C$71,MATCH($C614,Products!$A$2:$A$71,0))</f>
        <v>Sweets</v>
      </c>
      <c r="M614" s="80" t="n">
        <f aca="false">INDEX(Products!$D$2:$D$71,MATCH($C614,Products!$A$2:$A$71,0))</f>
        <v>1199</v>
      </c>
      <c r="N614" s="80" t="n">
        <f aca="false">$D614*$M614</f>
        <v>5995</v>
      </c>
      <c r="O614" s="79" t="str">
        <f aca="false">INDEX(Customers!$C$2:$C$101,MATCH($B614,Customers!$A$2:$A$101,0))</f>
        <v>Jamnagar</v>
      </c>
      <c r="P614" s="79" t="str">
        <f aca="false">INDEX(Customers!$F$2:$F$101,MATCH($B614,Customers!$A$2:$A$101,0))</f>
        <v>Male</v>
      </c>
      <c r="Q614" s="79" t="str">
        <f aca="false">INDEX(Customers!$B$2:$B$101,MATCH($B614,Customers!$A$2:$A$101,0))</f>
        <v>Arhaan Ahluwalia</v>
      </c>
      <c r="R614" s="79" t="n">
        <f aca="false">MONTH($E614)</f>
        <v>11</v>
      </c>
      <c r="S614" s="79" t="str">
        <f aca="false">INDEX(Lists!$B$2:$B$13,$R614)</f>
        <v>November</v>
      </c>
      <c r="T614" s="79" t="n">
        <f aca="false">HOUR($F614)</f>
        <v>17</v>
      </c>
      <c r="U614" s="79" t="n">
        <f aca="false">WEEKDAY($E614,2)</f>
        <v>5</v>
      </c>
      <c r="V614" s="79" t="str">
        <f aca="false">INDEX(Lists!$F$2:$F$8,$U614)</f>
        <v>Friday</v>
      </c>
      <c r="W614" s="81" t="n">
        <f aca="false">($G614+$H614)-($E614+$F614)</f>
        <v>4.05825231481482</v>
      </c>
      <c r="X614" s="79" t="str">
        <f aca="false">LOOKUP($M614,Lists!$G$2:$G$5,Lists!$H$2:$H$5)</f>
        <v>₹1,000 - 1,499</v>
      </c>
      <c r="Y614" s="79" t="str">
        <f aca="false">LOOKUP($W614,Lists!$I$2:$I$7,Lists!$J$2:$J$7)</f>
        <v>4 - 6 days</v>
      </c>
    </row>
    <row r="615" customFormat="false" ht="15" hidden="false" customHeight="false" outlineLevel="0" collapsed="false">
      <c r="A615" s="2" t="n">
        <v>614</v>
      </c>
      <c r="B615" s="2" t="s">
        <v>363</v>
      </c>
      <c r="C615" s="2" t="n">
        <v>26</v>
      </c>
      <c r="D615" s="2" t="n">
        <v>1</v>
      </c>
      <c r="E615" s="82" t="n">
        <v>44988</v>
      </c>
      <c r="F615" s="83" t="n">
        <v>0.650150462962963</v>
      </c>
      <c r="G615" s="82" t="n">
        <v>44992</v>
      </c>
      <c r="H615" s="83" t="n">
        <v>0.785891203703704</v>
      </c>
      <c r="I615" s="2" t="s">
        <v>138</v>
      </c>
      <c r="J615" s="2" t="s">
        <v>33</v>
      </c>
      <c r="K615" s="46" t="str">
        <f aca="false">INDEX(Products!$B$2:$B$71,MATCH($C615,Products!$A$2:$A$71,0))</f>
        <v>Aliquam Box</v>
      </c>
      <c r="L615" s="46" t="str">
        <f aca="false">INDEX(Products!$C$2:$C$71,MATCH($C615,Products!$A$2:$A$71,0))</f>
        <v>Colors</v>
      </c>
      <c r="M615" s="84" t="n">
        <f aca="false">INDEX(Products!$D$2:$D$71,MATCH($C615,Products!$A$2:$A$71,0))</f>
        <v>289</v>
      </c>
      <c r="N615" s="84" t="n">
        <f aca="false">$D615*$M615</f>
        <v>289</v>
      </c>
      <c r="O615" s="46" t="str">
        <f aca="false">INDEX(Customers!$C$2:$C$101,MATCH($B615,Customers!$A$2:$A$101,0))</f>
        <v>Nellore</v>
      </c>
      <c r="P615" s="46" t="str">
        <f aca="false">INDEX(Customers!$F$2:$F$101,MATCH($B615,Customers!$A$2:$A$101,0))</f>
        <v>Female</v>
      </c>
      <c r="Q615" s="46" t="str">
        <f aca="false">INDEX(Customers!$B$2:$B$101,MATCH($B615,Customers!$A$2:$A$101,0))</f>
        <v>Oorja Dey</v>
      </c>
      <c r="R615" s="46" t="n">
        <f aca="false">MONTH($E615)</f>
        <v>3</v>
      </c>
      <c r="S615" s="46" t="str">
        <f aca="false">INDEX(Lists!$B$2:$B$13,$R615)</f>
        <v>March</v>
      </c>
      <c r="T615" s="46" t="n">
        <f aca="false">HOUR($F615)</f>
        <v>15</v>
      </c>
      <c r="U615" s="46" t="n">
        <f aca="false">WEEKDAY($E615,2)</f>
        <v>5</v>
      </c>
      <c r="V615" s="46" t="str">
        <f aca="false">INDEX(Lists!$F$2:$F$8,$U615)</f>
        <v>Friday</v>
      </c>
      <c r="W615" s="85" t="n">
        <f aca="false">($G615+$H615)-($E615+$F615)</f>
        <v>4.13574074074074</v>
      </c>
      <c r="X615" s="46" t="str">
        <f aca="false">LOOKUP($M615,Lists!$G$2:$G$5,Lists!$H$2:$H$5)</f>
        <v>₹0 - 499</v>
      </c>
      <c r="Y615" s="46" t="str">
        <f aca="false">LOOKUP($W615,Lists!$I$2:$I$7,Lists!$J$2:$J$7)</f>
        <v>4 - 6 days</v>
      </c>
    </row>
    <row r="616" customFormat="false" ht="15" hidden="false" customHeight="false" outlineLevel="0" collapsed="false">
      <c r="A616" s="7" t="n">
        <v>615</v>
      </c>
      <c r="B616" s="7" t="s">
        <v>176</v>
      </c>
      <c r="C616" s="7" t="n">
        <v>28</v>
      </c>
      <c r="D616" s="7" t="n">
        <v>3</v>
      </c>
      <c r="E616" s="77" t="n">
        <v>45163</v>
      </c>
      <c r="F616" s="78" t="n">
        <v>0.882743055555556</v>
      </c>
      <c r="G616" s="77" t="n">
        <v>45170</v>
      </c>
      <c r="H616" s="78" t="n">
        <v>0.25712962962963</v>
      </c>
      <c r="I616" s="7" t="s">
        <v>153</v>
      </c>
      <c r="J616" s="7" t="s">
        <v>40</v>
      </c>
      <c r="K616" s="79" t="str">
        <f aca="false">INDEX(Products!$B$2:$B$71,MATCH($C616,Products!$A$2:$A$71,0))</f>
        <v>Velit Set</v>
      </c>
      <c r="L616" s="79" t="str">
        <f aca="false">INDEX(Products!$C$2:$C$71,MATCH($C616,Products!$A$2:$A$71,0))</f>
        <v>Sweets</v>
      </c>
      <c r="M616" s="80" t="n">
        <f aca="false">INDEX(Products!$D$2:$D$71,MATCH($C616,Products!$A$2:$A$71,0))</f>
        <v>1778</v>
      </c>
      <c r="N616" s="80" t="n">
        <f aca="false">$D616*$M616</f>
        <v>5334</v>
      </c>
      <c r="O616" s="79" t="str">
        <f aca="false">INDEX(Customers!$C$2:$C$101,MATCH($B616,Customers!$A$2:$A$101,0))</f>
        <v>Machilipatnam</v>
      </c>
      <c r="P616" s="79" t="str">
        <f aca="false">INDEX(Customers!$F$2:$F$101,MATCH($B616,Customers!$A$2:$A$101,0))</f>
        <v>Male</v>
      </c>
      <c r="Q616" s="79" t="str">
        <f aca="false">INDEX(Customers!$B$2:$B$101,MATCH($B616,Customers!$A$2:$A$101,0))</f>
        <v>Samaira Ganesh</v>
      </c>
      <c r="R616" s="79" t="n">
        <f aca="false">MONTH($E616)</f>
        <v>8</v>
      </c>
      <c r="S616" s="79" t="str">
        <f aca="false">INDEX(Lists!$B$2:$B$13,$R616)</f>
        <v>August</v>
      </c>
      <c r="T616" s="79" t="n">
        <f aca="false">HOUR($F616)</f>
        <v>21</v>
      </c>
      <c r="U616" s="79" t="n">
        <f aca="false">WEEKDAY($E616,2)</f>
        <v>5</v>
      </c>
      <c r="V616" s="79" t="str">
        <f aca="false">INDEX(Lists!$F$2:$F$8,$U616)</f>
        <v>Friday</v>
      </c>
      <c r="W616" s="81" t="n">
        <f aca="false">($G616+$H616)-($E616+$F616)</f>
        <v>6.37438657407407</v>
      </c>
      <c r="X616" s="79" t="str">
        <f aca="false">LOOKUP($M616,Lists!$G$2:$G$5,Lists!$H$2:$H$5)</f>
        <v>₹1,500 - 2,000</v>
      </c>
      <c r="Y616" s="79" t="str">
        <f aca="false">LOOKUP($W616,Lists!$I$2:$I$7,Lists!$J$2:$J$7)</f>
        <v>6 - 8 days</v>
      </c>
    </row>
    <row r="617" customFormat="false" ht="15" hidden="false" customHeight="false" outlineLevel="0" collapsed="false">
      <c r="A617" s="2" t="n">
        <v>616</v>
      </c>
      <c r="B617" s="2" t="s">
        <v>139</v>
      </c>
      <c r="C617" s="2" t="n">
        <v>44</v>
      </c>
      <c r="D617" s="2" t="n">
        <v>5</v>
      </c>
      <c r="E617" s="82" t="n">
        <v>45238</v>
      </c>
      <c r="F617" s="83" t="n">
        <v>0.998576388888889</v>
      </c>
      <c r="G617" s="82" t="n">
        <v>45242</v>
      </c>
      <c r="H617" s="83" t="n">
        <v>0.806238425925926</v>
      </c>
      <c r="I617" s="2" t="s">
        <v>526</v>
      </c>
      <c r="J617" s="2" t="s">
        <v>32</v>
      </c>
      <c r="K617" s="46" t="str">
        <f aca="false">INDEX(Products!$B$2:$B$71,MATCH($C617,Products!$A$2:$A$71,0))</f>
        <v>Dolorum Set</v>
      </c>
      <c r="L617" s="46" t="str">
        <f aca="false">INDEX(Products!$C$2:$C$71,MATCH($C617,Products!$A$2:$A$71,0))</f>
        <v>Plants</v>
      </c>
      <c r="M617" s="84" t="n">
        <f aca="false">INDEX(Products!$D$2:$D$71,MATCH($C617,Products!$A$2:$A$71,0))</f>
        <v>794</v>
      </c>
      <c r="N617" s="84" t="n">
        <f aca="false">$D617*$M617</f>
        <v>3970</v>
      </c>
      <c r="O617" s="46" t="str">
        <f aca="false">INDEX(Customers!$C$2:$C$101,MATCH($B617,Customers!$A$2:$A$101,0))</f>
        <v>Karimnagar</v>
      </c>
      <c r="P617" s="46" t="str">
        <f aca="false">INDEX(Customers!$F$2:$F$101,MATCH($B617,Customers!$A$2:$A$101,0))</f>
        <v>Female</v>
      </c>
      <c r="Q617" s="46" t="str">
        <f aca="false">INDEX(Customers!$B$2:$B$101,MATCH($B617,Customers!$A$2:$A$101,0))</f>
        <v>Rania Mann</v>
      </c>
      <c r="R617" s="46" t="n">
        <f aca="false">MONTH($E617)</f>
        <v>11</v>
      </c>
      <c r="S617" s="46" t="str">
        <f aca="false">INDEX(Lists!$B$2:$B$13,$R617)</f>
        <v>November</v>
      </c>
      <c r="T617" s="46" t="n">
        <f aca="false">HOUR($F617)</f>
        <v>23</v>
      </c>
      <c r="U617" s="46" t="n">
        <f aca="false">WEEKDAY($E617,2)</f>
        <v>3</v>
      </c>
      <c r="V617" s="46" t="str">
        <f aca="false">INDEX(Lists!$F$2:$F$8,$U617)</f>
        <v>Wednesday</v>
      </c>
      <c r="W617" s="85" t="n">
        <f aca="false">($G617+$H617)-($E617+$F617)</f>
        <v>3.80766203703704</v>
      </c>
      <c r="X617" s="46" t="str">
        <f aca="false">LOOKUP($M617,Lists!$G$2:$G$5,Lists!$H$2:$H$5)</f>
        <v>₹500 - 999</v>
      </c>
      <c r="Y617" s="46" t="str">
        <f aca="false">LOOKUP($W617,Lists!$I$2:$I$7,Lists!$J$2:$J$7)</f>
        <v>2 - 4 days</v>
      </c>
    </row>
    <row r="618" customFormat="false" ht="15" hidden="false" customHeight="false" outlineLevel="0" collapsed="false">
      <c r="A618" s="7" t="n">
        <v>617</v>
      </c>
      <c r="B618" s="7" t="s">
        <v>347</v>
      </c>
      <c r="C618" s="7" t="n">
        <v>22</v>
      </c>
      <c r="D618" s="7" t="n">
        <v>1</v>
      </c>
      <c r="E618" s="77" t="n">
        <v>44976</v>
      </c>
      <c r="F618" s="78" t="n">
        <v>0.120625</v>
      </c>
      <c r="G618" s="77" t="n">
        <v>44985</v>
      </c>
      <c r="H618" s="78" t="n">
        <v>0.709421296296296</v>
      </c>
      <c r="I618" s="7" t="s">
        <v>601</v>
      </c>
      <c r="J618" s="7" t="s">
        <v>165</v>
      </c>
      <c r="K618" s="79" t="str">
        <f aca="false">INDEX(Products!$B$2:$B$71,MATCH($C618,Products!$A$2:$A$71,0))</f>
        <v>Exercitationem Pack</v>
      </c>
      <c r="L618" s="79" t="str">
        <f aca="false">INDEX(Products!$C$2:$C$71,MATCH($C618,Products!$A$2:$A$71,0))</f>
        <v>Soft Toys</v>
      </c>
      <c r="M618" s="80" t="n">
        <f aca="false">INDEX(Products!$D$2:$D$71,MATCH($C618,Products!$A$2:$A$71,0))</f>
        <v>1639</v>
      </c>
      <c r="N618" s="80" t="n">
        <f aca="false">$D618*$M618</f>
        <v>1639</v>
      </c>
      <c r="O618" s="79" t="str">
        <f aca="false">INDEX(Customers!$C$2:$C$101,MATCH($B618,Customers!$A$2:$A$101,0))</f>
        <v>Raurkela Industrial Township</v>
      </c>
      <c r="P618" s="79" t="str">
        <f aca="false">INDEX(Customers!$F$2:$F$101,MATCH($B618,Customers!$A$2:$A$101,0))</f>
        <v>Male</v>
      </c>
      <c r="Q618" s="79" t="str">
        <f aca="false">INDEX(Customers!$B$2:$B$101,MATCH($B618,Customers!$A$2:$A$101,0))</f>
        <v>Aaryahi Sodhi</v>
      </c>
      <c r="R618" s="79" t="n">
        <f aca="false">MONTH($E618)</f>
        <v>2</v>
      </c>
      <c r="S618" s="79" t="str">
        <f aca="false">INDEX(Lists!$B$2:$B$13,$R618)</f>
        <v>February</v>
      </c>
      <c r="T618" s="79" t="n">
        <f aca="false">HOUR($F618)</f>
        <v>2</v>
      </c>
      <c r="U618" s="79" t="n">
        <f aca="false">WEEKDAY($E618,2)</f>
        <v>7</v>
      </c>
      <c r="V618" s="79" t="str">
        <f aca="false">INDEX(Lists!$F$2:$F$8,$U618)</f>
        <v>Sunday</v>
      </c>
      <c r="W618" s="81" t="n">
        <f aca="false">($G618+$H618)-($E618+$F618)</f>
        <v>9.5887962962963</v>
      </c>
      <c r="X618" s="79" t="str">
        <f aca="false">LOOKUP($M618,Lists!$G$2:$G$5,Lists!$H$2:$H$5)</f>
        <v>₹1,500 - 2,000</v>
      </c>
      <c r="Y618" s="79" t="str">
        <f aca="false">LOOKUP($W618,Lists!$I$2:$I$7,Lists!$J$2:$J$7)</f>
        <v>8 - 10 days</v>
      </c>
    </row>
    <row r="619" customFormat="false" ht="15" hidden="false" customHeight="false" outlineLevel="0" collapsed="false">
      <c r="A619" s="2" t="n">
        <v>618</v>
      </c>
      <c r="B619" s="2" t="s">
        <v>319</v>
      </c>
      <c r="C619" s="2" t="n">
        <v>60</v>
      </c>
      <c r="D619" s="2" t="n">
        <v>4</v>
      </c>
      <c r="E619" s="82" t="n">
        <v>45235</v>
      </c>
      <c r="F619" s="83" t="n">
        <v>0.67306712962963</v>
      </c>
      <c r="G619" s="82" t="n">
        <v>45245</v>
      </c>
      <c r="H619" s="83" t="n">
        <v>0.723333333333333</v>
      </c>
      <c r="I619" s="2" t="s">
        <v>473</v>
      </c>
      <c r="J619" s="2" t="s">
        <v>32</v>
      </c>
      <c r="K619" s="46" t="str">
        <f aca="false">INDEX(Products!$B$2:$B$71,MATCH($C619,Products!$A$2:$A$71,0))</f>
        <v>Ea Set</v>
      </c>
      <c r="L619" s="46" t="str">
        <f aca="false">INDEX(Products!$C$2:$C$71,MATCH($C619,Products!$A$2:$A$71,0))</f>
        <v>Sweets</v>
      </c>
      <c r="M619" s="84" t="n">
        <f aca="false">INDEX(Products!$D$2:$D$71,MATCH($C619,Products!$A$2:$A$71,0))</f>
        <v>827</v>
      </c>
      <c r="N619" s="84" t="n">
        <f aca="false">$D619*$M619</f>
        <v>3308</v>
      </c>
      <c r="O619" s="46" t="str">
        <f aca="false">INDEX(Customers!$C$2:$C$101,MATCH($B619,Customers!$A$2:$A$101,0))</f>
        <v>Parbhani</v>
      </c>
      <c r="P619" s="46" t="str">
        <f aca="false">INDEX(Customers!$F$2:$F$101,MATCH($B619,Customers!$A$2:$A$101,0))</f>
        <v>Male</v>
      </c>
      <c r="Q619" s="46" t="str">
        <f aca="false">INDEX(Customers!$B$2:$B$101,MATCH($B619,Customers!$A$2:$A$101,0))</f>
        <v>Zeeshan Tailor</v>
      </c>
      <c r="R619" s="46" t="n">
        <f aca="false">MONTH($E619)</f>
        <v>11</v>
      </c>
      <c r="S619" s="46" t="str">
        <f aca="false">INDEX(Lists!$B$2:$B$13,$R619)</f>
        <v>November</v>
      </c>
      <c r="T619" s="46" t="n">
        <f aca="false">HOUR($F619)</f>
        <v>16</v>
      </c>
      <c r="U619" s="46" t="n">
        <f aca="false">WEEKDAY($E619,2)</f>
        <v>7</v>
      </c>
      <c r="V619" s="46" t="str">
        <f aca="false">INDEX(Lists!$F$2:$F$8,$U619)</f>
        <v>Sunday</v>
      </c>
      <c r="W619" s="85" t="n">
        <f aca="false">($G619+$H619)-($E619+$F619)</f>
        <v>10.0502662037037</v>
      </c>
      <c r="X619" s="46" t="str">
        <f aca="false">LOOKUP($M619,Lists!$G$2:$G$5,Lists!$H$2:$H$5)</f>
        <v>₹500 - 999</v>
      </c>
      <c r="Y619" s="46" t="str">
        <f aca="false">LOOKUP($W619,Lists!$I$2:$I$7,Lists!$J$2:$J$7)</f>
        <v>Over 10 days</v>
      </c>
    </row>
    <row r="620" customFormat="false" ht="15" hidden="false" customHeight="false" outlineLevel="0" collapsed="false">
      <c r="A620" s="7" t="n">
        <v>619</v>
      </c>
      <c r="B620" s="7" t="s">
        <v>369</v>
      </c>
      <c r="C620" s="7" t="n">
        <v>35</v>
      </c>
      <c r="D620" s="7" t="n">
        <v>1</v>
      </c>
      <c r="E620" s="77" t="n">
        <v>44991</v>
      </c>
      <c r="F620" s="78" t="n">
        <v>0.304699074074074</v>
      </c>
      <c r="G620" s="77" t="n">
        <v>45001</v>
      </c>
      <c r="H620" s="78" t="n">
        <v>0.1371875</v>
      </c>
      <c r="I620" s="7" t="s">
        <v>524</v>
      </c>
      <c r="J620" s="7" t="s">
        <v>33</v>
      </c>
      <c r="K620" s="79" t="str">
        <f aca="false">INDEX(Products!$B$2:$B$71,MATCH($C620,Products!$A$2:$A$71,0))</f>
        <v>Nam Gift</v>
      </c>
      <c r="L620" s="79" t="str">
        <f aca="false">INDEX(Products!$C$2:$C$71,MATCH($C620,Products!$A$2:$A$71,0))</f>
        <v>Colors</v>
      </c>
      <c r="M620" s="80" t="n">
        <f aca="false">INDEX(Products!$D$2:$D$71,MATCH($C620,Products!$A$2:$A$71,0))</f>
        <v>1865</v>
      </c>
      <c r="N620" s="80" t="n">
        <f aca="false">$D620*$M620</f>
        <v>1865</v>
      </c>
      <c r="O620" s="79" t="str">
        <f aca="false">INDEX(Customers!$C$2:$C$101,MATCH($B620,Customers!$A$2:$A$101,0))</f>
        <v>New Delhi</v>
      </c>
      <c r="P620" s="79" t="str">
        <f aca="false">INDEX(Customers!$F$2:$F$101,MATCH($B620,Customers!$A$2:$A$101,0))</f>
        <v>Female</v>
      </c>
      <c r="Q620" s="79" t="str">
        <f aca="false">INDEX(Customers!$B$2:$B$101,MATCH($B620,Customers!$A$2:$A$101,0))</f>
        <v>Adira Rajan</v>
      </c>
      <c r="R620" s="79" t="n">
        <f aca="false">MONTH($E620)</f>
        <v>3</v>
      </c>
      <c r="S620" s="79" t="str">
        <f aca="false">INDEX(Lists!$B$2:$B$13,$R620)</f>
        <v>March</v>
      </c>
      <c r="T620" s="79" t="n">
        <f aca="false">HOUR($F620)</f>
        <v>7</v>
      </c>
      <c r="U620" s="79" t="n">
        <f aca="false">WEEKDAY($E620,2)</f>
        <v>1</v>
      </c>
      <c r="V620" s="79" t="str">
        <f aca="false">INDEX(Lists!$F$2:$F$8,$U620)</f>
        <v>Monday</v>
      </c>
      <c r="W620" s="81" t="n">
        <f aca="false">($G620+$H620)-($E620+$F620)</f>
        <v>9.83248842592593</v>
      </c>
      <c r="X620" s="79" t="str">
        <f aca="false">LOOKUP($M620,Lists!$G$2:$G$5,Lists!$H$2:$H$5)</f>
        <v>₹1,500 - 2,000</v>
      </c>
      <c r="Y620" s="79" t="str">
        <f aca="false">LOOKUP($W620,Lists!$I$2:$I$7,Lists!$J$2:$J$7)</f>
        <v>8 - 10 days</v>
      </c>
    </row>
    <row r="621" customFormat="false" ht="15" hidden="false" customHeight="false" outlineLevel="0" collapsed="false">
      <c r="A621" s="2" t="n">
        <v>620</v>
      </c>
      <c r="B621" s="2" t="s">
        <v>322</v>
      </c>
      <c r="C621" s="2" t="n">
        <v>67</v>
      </c>
      <c r="D621" s="2" t="n">
        <v>3</v>
      </c>
      <c r="E621" s="82" t="n">
        <v>45118</v>
      </c>
      <c r="F621" s="83" t="n">
        <v>0.932650462962963</v>
      </c>
      <c r="G621" s="82" t="n">
        <v>45125</v>
      </c>
      <c r="H621" s="83" t="n">
        <v>0.058912037037037</v>
      </c>
      <c r="I621" s="2" t="s">
        <v>305</v>
      </c>
      <c r="J621" s="2" t="s">
        <v>168</v>
      </c>
      <c r="K621" s="46" t="str">
        <f aca="false">INDEX(Products!$B$2:$B$71,MATCH($C621,Products!$A$2:$A$71,0))</f>
        <v>Maiores Box</v>
      </c>
      <c r="L621" s="46" t="str">
        <f aca="false">INDEX(Products!$C$2:$C$71,MATCH($C621,Products!$A$2:$A$71,0))</f>
        <v>Raksha Bandhan</v>
      </c>
      <c r="M621" s="84" t="n">
        <f aca="false">INDEX(Products!$D$2:$D$71,MATCH($C621,Products!$A$2:$A$71,0))</f>
        <v>1374</v>
      </c>
      <c r="N621" s="84" t="n">
        <f aca="false">$D621*$M621</f>
        <v>4122</v>
      </c>
      <c r="O621" s="46" t="str">
        <f aca="false">INDEX(Customers!$C$2:$C$101,MATCH($B621,Customers!$A$2:$A$101,0))</f>
        <v>Sultan Pur Majra</v>
      </c>
      <c r="P621" s="46" t="str">
        <f aca="false">INDEX(Customers!$F$2:$F$101,MATCH($B621,Customers!$A$2:$A$101,0))</f>
        <v>Female</v>
      </c>
      <c r="Q621" s="46" t="str">
        <f aca="false">INDEX(Customers!$B$2:$B$101,MATCH($B621,Customers!$A$2:$A$101,0))</f>
        <v>Vanya Apte</v>
      </c>
      <c r="R621" s="46" t="n">
        <f aca="false">MONTH($E621)</f>
        <v>7</v>
      </c>
      <c r="S621" s="46" t="str">
        <f aca="false">INDEX(Lists!$B$2:$B$13,$R621)</f>
        <v>July</v>
      </c>
      <c r="T621" s="46" t="n">
        <f aca="false">HOUR($F621)</f>
        <v>22</v>
      </c>
      <c r="U621" s="46" t="n">
        <f aca="false">WEEKDAY($E621,2)</f>
        <v>2</v>
      </c>
      <c r="V621" s="46" t="str">
        <f aca="false">INDEX(Lists!$F$2:$F$8,$U621)</f>
        <v>Tuesday</v>
      </c>
      <c r="W621" s="85" t="n">
        <f aca="false">($G621+$H621)-($E621+$F621)</f>
        <v>6.12626157407407</v>
      </c>
      <c r="X621" s="46" t="str">
        <f aca="false">LOOKUP($M621,Lists!$G$2:$G$5,Lists!$H$2:$H$5)</f>
        <v>₹1,000 - 1,499</v>
      </c>
      <c r="Y621" s="46" t="str">
        <f aca="false">LOOKUP($W621,Lists!$I$2:$I$7,Lists!$J$2:$J$7)</f>
        <v>6 - 8 days</v>
      </c>
    </row>
    <row r="622" customFormat="false" ht="15" hidden="false" customHeight="false" outlineLevel="0" collapsed="false">
      <c r="A622" s="7" t="n">
        <v>621</v>
      </c>
      <c r="B622" s="7" t="s">
        <v>311</v>
      </c>
      <c r="C622" s="7" t="n">
        <v>64</v>
      </c>
      <c r="D622" s="7" t="n">
        <v>3</v>
      </c>
      <c r="E622" s="77" t="n">
        <v>45158</v>
      </c>
      <c r="F622" s="78" t="n">
        <v>0.303506944444444</v>
      </c>
      <c r="G622" s="77" t="n">
        <v>45166</v>
      </c>
      <c r="H622" s="78" t="n">
        <v>0.0644560185185185</v>
      </c>
      <c r="I622" s="7" t="s">
        <v>132</v>
      </c>
      <c r="J622" s="7" t="s">
        <v>40</v>
      </c>
      <c r="K622" s="79" t="str">
        <f aca="false">INDEX(Products!$B$2:$B$71,MATCH($C622,Products!$A$2:$A$71,0))</f>
        <v>Nostrum Box</v>
      </c>
      <c r="L622" s="79" t="str">
        <f aca="false">INDEX(Products!$C$2:$C$71,MATCH($C622,Products!$A$2:$A$71,0))</f>
        <v>Soft Toys</v>
      </c>
      <c r="M622" s="80" t="n">
        <f aca="false">INDEX(Products!$D$2:$D$71,MATCH($C622,Products!$A$2:$A$71,0))</f>
        <v>1878</v>
      </c>
      <c r="N622" s="80" t="n">
        <f aca="false">$D622*$M622</f>
        <v>5634</v>
      </c>
      <c r="O622" s="79" t="str">
        <f aca="false">INDEX(Customers!$C$2:$C$101,MATCH($B622,Customers!$A$2:$A$101,0))</f>
        <v>Bhatpara</v>
      </c>
      <c r="P622" s="79" t="str">
        <f aca="false">INDEX(Customers!$F$2:$F$101,MATCH($B622,Customers!$A$2:$A$101,0))</f>
        <v>Male</v>
      </c>
      <c r="Q622" s="79" t="str">
        <f aca="false">INDEX(Customers!$B$2:$B$101,MATCH($B622,Customers!$A$2:$A$101,0))</f>
        <v>Emir Gokhale</v>
      </c>
      <c r="R622" s="79" t="n">
        <f aca="false">MONTH($E622)</f>
        <v>8</v>
      </c>
      <c r="S622" s="79" t="str">
        <f aca="false">INDEX(Lists!$B$2:$B$13,$R622)</f>
        <v>August</v>
      </c>
      <c r="T622" s="79" t="n">
        <f aca="false">HOUR($F622)</f>
        <v>7</v>
      </c>
      <c r="U622" s="79" t="n">
        <f aca="false">WEEKDAY($E622,2)</f>
        <v>7</v>
      </c>
      <c r="V622" s="79" t="str">
        <f aca="false">INDEX(Lists!$F$2:$F$8,$U622)</f>
        <v>Sunday</v>
      </c>
      <c r="W622" s="81" t="n">
        <f aca="false">($G622+$H622)-($E622+$F622)</f>
        <v>7.76094907407407</v>
      </c>
      <c r="X622" s="79" t="str">
        <f aca="false">LOOKUP($M622,Lists!$G$2:$G$5,Lists!$H$2:$H$5)</f>
        <v>₹1,500 - 2,000</v>
      </c>
      <c r="Y622" s="79" t="str">
        <f aca="false">LOOKUP($W622,Lists!$I$2:$I$7,Lists!$J$2:$J$7)</f>
        <v>6 - 8 days</v>
      </c>
    </row>
    <row r="623" customFormat="false" ht="15" hidden="false" customHeight="false" outlineLevel="0" collapsed="false">
      <c r="A623" s="2" t="n">
        <v>622</v>
      </c>
      <c r="B623" s="2" t="s">
        <v>350</v>
      </c>
      <c r="C623" s="2" t="n">
        <v>4</v>
      </c>
      <c r="D623" s="2" t="n">
        <v>4</v>
      </c>
      <c r="E623" s="82" t="n">
        <v>45238</v>
      </c>
      <c r="F623" s="83" t="n">
        <v>0.592731481481482</v>
      </c>
      <c r="G623" s="82" t="n">
        <v>45239</v>
      </c>
      <c r="H623" s="83" t="n">
        <v>0.66599537037037</v>
      </c>
      <c r="I623" s="2" t="s">
        <v>253</v>
      </c>
      <c r="J623" s="2" t="s">
        <v>32</v>
      </c>
      <c r="K623" s="46" t="str">
        <f aca="false">INDEX(Products!$B$2:$B$71,MATCH($C623,Products!$A$2:$A$71,0))</f>
        <v>Accusantium Set</v>
      </c>
      <c r="L623" s="46" t="str">
        <f aca="false">INDEX(Products!$C$2:$C$71,MATCH($C623,Products!$A$2:$A$71,0))</f>
        <v>Sweets</v>
      </c>
      <c r="M623" s="84" t="n">
        <f aca="false">INDEX(Products!$D$2:$D$71,MATCH($C623,Products!$A$2:$A$71,0))</f>
        <v>1199</v>
      </c>
      <c r="N623" s="84" t="n">
        <f aca="false">$D623*$M623</f>
        <v>4796</v>
      </c>
      <c r="O623" s="46" t="str">
        <f aca="false">INDEX(Customers!$C$2:$C$101,MATCH($B623,Customers!$A$2:$A$101,0))</f>
        <v>Tiruchirappalli</v>
      </c>
      <c r="P623" s="46" t="str">
        <f aca="false">INDEX(Customers!$F$2:$F$101,MATCH($B623,Customers!$A$2:$A$101,0))</f>
        <v>Male</v>
      </c>
      <c r="Q623" s="46" t="str">
        <f aca="false">INDEX(Customers!$B$2:$B$101,MATCH($B623,Customers!$A$2:$A$101,0))</f>
        <v>Anahita Shankar</v>
      </c>
      <c r="R623" s="46" t="n">
        <f aca="false">MONTH($E623)</f>
        <v>11</v>
      </c>
      <c r="S623" s="46" t="str">
        <f aca="false">INDEX(Lists!$B$2:$B$13,$R623)</f>
        <v>November</v>
      </c>
      <c r="T623" s="46" t="n">
        <f aca="false">HOUR($F623)</f>
        <v>14</v>
      </c>
      <c r="U623" s="46" t="n">
        <f aca="false">WEEKDAY($E623,2)</f>
        <v>3</v>
      </c>
      <c r="V623" s="46" t="str">
        <f aca="false">INDEX(Lists!$F$2:$F$8,$U623)</f>
        <v>Wednesday</v>
      </c>
      <c r="W623" s="85" t="n">
        <f aca="false">($G623+$H623)-($E623+$F623)</f>
        <v>1.07326388888889</v>
      </c>
      <c r="X623" s="46" t="str">
        <f aca="false">LOOKUP($M623,Lists!$G$2:$G$5,Lists!$H$2:$H$5)</f>
        <v>₹1,000 - 1,499</v>
      </c>
      <c r="Y623" s="46" t="str">
        <f aca="false">LOOKUP($W623,Lists!$I$2:$I$7,Lists!$J$2:$J$7)</f>
        <v>0 - 2 days</v>
      </c>
    </row>
    <row r="624" customFormat="false" ht="15" hidden="false" customHeight="false" outlineLevel="0" collapsed="false">
      <c r="A624" s="7" t="n">
        <v>623</v>
      </c>
      <c r="B624" s="7" t="s">
        <v>239</v>
      </c>
      <c r="C624" s="7" t="n">
        <v>37</v>
      </c>
      <c r="D624" s="7" t="n">
        <v>2</v>
      </c>
      <c r="E624" s="77" t="n">
        <v>45238</v>
      </c>
      <c r="F624" s="78" t="n">
        <v>0.567939814814815</v>
      </c>
      <c r="G624" s="77" t="n">
        <v>45248</v>
      </c>
      <c r="H624" s="78" t="n">
        <v>0.601145833333333</v>
      </c>
      <c r="I624" s="7" t="s">
        <v>473</v>
      </c>
      <c r="J624" s="7" t="s">
        <v>32</v>
      </c>
      <c r="K624" s="79" t="str">
        <f aca="false">INDEX(Products!$B$2:$B$71,MATCH($C624,Products!$A$2:$A$71,0))</f>
        <v>Officiis Pack</v>
      </c>
      <c r="L624" s="79" t="str">
        <f aca="false">INDEX(Products!$C$2:$C$71,MATCH($C624,Products!$A$2:$A$71,0))</f>
        <v>Colors</v>
      </c>
      <c r="M624" s="80" t="n">
        <f aca="false">INDEX(Products!$D$2:$D$71,MATCH($C624,Products!$A$2:$A$71,0))</f>
        <v>1428</v>
      </c>
      <c r="N624" s="80" t="n">
        <f aca="false">$D624*$M624</f>
        <v>2856</v>
      </c>
      <c r="O624" s="79" t="str">
        <f aca="false">INDEX(Customers!$C$2:$C$101,MATCH($B624,Customers!$A$2:$A$101,0))</f>
        <v>Maheshtala</v>
      </c>
      <c r="P624" s="79" t="str">
        <f aca="false">INDEX(Customers!$F$2:$F$101,MATCH($B624,Customers!$A$2:$A$101,0))</f>
        <v>Female</v>
      </c>
      <c r="Q624" s="79" t="str">
        <f aca="false">INDEX(Customers!$B$2:$B$101,MATCH($B624,Customers!$A$2:$A$101,0))</f>
        <v>Divit Mahajan</v>
      </c>
      <c r="R624" s="79" t="n">
        <f aca="false">MONTH($E624)</f>
        <v>11</v>
      </c>
      <c r="S624" s="79" t="str">
        <f aca="false">INDEX(Lists!$B$2:$B$13,$R624)</f>
        <v>November</v>
      </c>
      <c r="T624" s="79" t="n">
        <f aca="false">HOUR($F624)</f>
        <v>13</v>
      </c>
      <c r="U624" s="79" t="n">
        <f aca="false">WEEKDAY($E624,2)</f>
        <v>3</v>
      </c>
      <c r="V624" s="79" t="str">
        <f aca="false">INDEX(Lists!$F$2:$F$8,$U624)</f>
        <v>Wednesday</v>
      </c>
      <c r="W624" s="81" t="n">
        <f aca="false">($G624+$H624)-($E624+$F624)</f>
        <v>10.0332060185185</v>
      </c>
      <c r="X624" s="79" t="str">
        <f aca="false">LOOKUP($M624,Lists!$G$2:$G$5,Lists!$H$2:$H$5)</f>
        <v>₹1,000 - 1,499</v>
      </c>
      <c r="Y624" s="79" t="str">
        <f aca="false">LOOKUP($W624,Lists!$I$2:$I$7,Lists!$J$2:$J$7)</f>
        <v>Over 10 days</v>
      </c>
    </row>
    <row r="625" customFormat="false" ht="15" hidden="false" customHeight="false" outlineLevel="0" collapsed="false">
      <c r="A625" s="2" t="n">
        <v>624</v>
      </c>
      <c r="B625" s="2" t="s">
        <v>185</v>
      </c>
      <c r="C625" s="2" t="n">
        <v>53</v>
      </c>
      <c r="D625" s="2" t="n">
        <v>5</v>
      </c>
      <c r="E625" s="82" t="n">
        <v>45167</v>
      </c>
      <c r="F625" s="83" t="n">
        <v>0.388877314814815</v>
      </c>
      <c r="G625" s="82" t="n">
        <v>45170</v>
      </c>
      <c r="H625" s="83" t="n">
        <v>0.354097222222222</v>
      </c>
      <c r="I625" s="2" t="s">
        <v>160</v>
      </c>
      <c r="J625" s="2" t="s">
        <v>40</v>
      </c>
      <c r="K625" s="46" t="str">
        <f aca="false">INDEX(Products!$B$2:$B$71,MATCH($C625,Products!$A$2:$A$71,0))</f>
        <v>Ipsam Set</v>
      </c>
      <c r="L625" s="46" t="str">
        <f aca="false">INDEX(Products!$C$2:$C$71,MATCH($C625,Products!$A$2:$A$71,0))</f>
        <v>Sweets</v>
      </c>
      <c r="M625" s="84" t="n">
        <f aca="false">INDEX(Products!$D$2:$D$71,MATCH($C625,Products!$A$2:$A$71,0))</f>
        <v>1672</v>
      </c>
      <c r="N625" s="84" t="n">
        <f aca="false">$D625*$M625</f>
        <v>8360</v>
      </c>
      <c r="O625" s="46" t="str">
        <f aca="false">INDEX(Customers!$C$2:$C$101,MATCH($B625,Customers!$A$2:$A$101,0))</f>
        <v>Kavali</v>
      </c>
      <c r="P625" s="46" t="str">
        <f aca="false">INDEX(Customers!$F$2:$F$101,MATCH($B625,Customers!$A$2:$A$101,0))</f>
        <v>Female</v>
      </c>
      <c r="Q625" s="46" t="str">
        <f aca="false">INDEX(Customers!$B$2:$B$101,MATCH($B625,Customers!$A$2:$A$101,0))</f>
        <v>Jhanvi Chowdhury</v>
      </c>
      <c r="R625" s="46" t="n">
        <f aca="false">MONTH($E625)</f>
        <v>8</v>
      </c>
      <c r="S625" s="46" t="str">
        <f aca="false">INDEX(Lists!$B$2:$B$13,$R625)</f>
        <v>August</v>
      </c>
      <c r="T625" s="46" t="n">
        <f aca="false">HOUR($F625)</f>
        <v>9</v>
      </c>
      <c r="U625" s="46" t="n">
        <f aca="false">WEEKDAY($E625,2)</f>
        <v>2</v>
      </c>
      <c r="V625" s="46" t="str">
        <f aca="false">INDEX(Lists!$F$2:$F$8,$U625)</f>
        <v>Tuesday</v>
      </c>
      <c r="W625" s="85" t="n">
        <f aca="false">($G625+$H625)-($E625+$F625)</f>
        <v>2.96521990740741</v>
      </c>
      <c r="X625" s="46" t="str">
        <f aca="false">LOOKUP($M625,Lists!$G$2:$G$5,Lists!$H$2:$H$5)</f>
        <v>₹1,500 - 2,000</v>
      </c>
      <c r="Y625" s="46" t="str">
        <f aca="false">LOOKUP($W625,Lists!$I$2:$I$7,Lists!$J$2:$J$7)</f>
        <v>2 - 4 days</v>
      </c>
    </row>
    <row r="626" customFormat="false" ht="15" hidden="false" customHeight="false" outlineLevel="0" collapsed="false">
      <c r="A626" s="7" t="n">
        <v>625</v>
      </c>
      <c r="B626" s="7" t="s">
        <v>363</v>
      </c>
      <c r="C626" s="7" t="n">
        <v>63</v>
      </c>
      <c r="D626" s="7" t="n">
        <v>5</v>
      </c>
      <c r="E626" s="77" t="n">
        <v>44980</v>
      </c>
      <c r="F626" s="78" t="n">
        <v>0.885902777777778</v>
      </c>
      <c r="G626" s="77" t="n">
        <v>44989</v>
      </c>
      <c r="H626" s="78" t="n">
        <v>0.115347222222222</v>
      </c>
      <c r="I626" s="7" t="s">
        <v>211</v>
      </c>
      <c r="J626" s="7" t="s">
        <v>165</v>
      </c>
      <c r="K626" s="79" t="str">
        <f aca="false">INDEX(Products!$B$2:$B$71,MATCH($C626,Products!$A$2:$A$71,0))</f>
        <v>Adipisci Set</v>
      </c>
      <c r="L626" s="79" t="str">
        <f aca="false">INDEX(Products!$C$2:$C$71,MATCH($C626,Products!$A$2:$A$71,0))</f>
        <v>Sweets</v>
      </c>
      <c r="M626" s="80" t="n">
        <f aca="false">INDEX(Products!$D$2:$D$71,MATCH($C626,Products!$A$2:$A$71,0))</f>
        <v>1348</v>
      </c>
      <c r="N626" s="80" t="n">
        <f aca="false">$D626*$M626</f>
        <v>6740</v>
      </c>
      <c r="O626" s="79" t="str">
        <f aca="false">INDEX(Customers!$C$2:$C$101,MATCH($B626,Customers!$A$2:$A$101,0))</f>
        <v>Nellore</v>
      </c>
      <c r="P626" s="79" t="str">
        <f aca="false">INDEX(Customers!$F$2:$F$101,MATCH($B626,Customers!$A$2:$A$101,0))</f>
        <v>Female</v>
      </c>
      <c r="Q626" s="79" t="str">
        <f aca="false">INDEX(Customers!$B$2:$B$101,MATCH($B626,Customers!$A$2:$A$101,0))</f>
        <v>Oorja Dey</v>
      </c>
      <c r="R626" s="79" t="n">
        <f aca="false">MONTH($E626)</f>
        <v>2</v>
      </c>
      <c r="S626" s="79" t="str">
        <f aca="false">INDEX(Lists!$B$2:$B$13,$R626)</f>
        <v>February</v>
      </c>
      <c r="T626" s="79" t="n">
        <f aca="false">HOUR($F626)</f>
        <v>21</v>
      </c>
      <c r="U626" s="79" t="n">
        <f aca="false">WEEKDAY($E626,2)</f>
        <v>4</v>
      </c>
      <c r="V626" s="79" t="str">
        <f aca="false">INDEX(Lists!$F$2:$F$8,$U626)</f>
        <v>Thursday</v>
      </c>
      <c r="W626" s="81" t="n">
        <f aca="false">($G626+$H626)-($E626+$F626)</f>
        <v>8.22944444444445</v>
      </c>
      <c r="X626" s="79" t="str">
        <f aca="false">LOOKUP($M626,Lists!$G$2:$G$5,Lists!$H$2:$H$5)</f>
        <v>₹1,000 - 1,499</v>
      </c>
      <c r="Y626" s="79" t="str">
        <f aca="false">LOOKUP($W626,Lists!$I$2:$I$7,Lists!$J$2:$J$7)</f>
        <v>8 - 10 days</v>
      </c>
    </row>
    <row r="627" customFormat="false" ht="15" hidden="false" customHeight="false" outlineLevel="0" collapsed="false">
      <c r="A627" s="2" t="n">
        <v>626</v>
      </c>
      <c r="B627" s="2" t="s">
        <v>185</v>
      </c>
      <c r="C627" s="2" t="n">
        <v>40</v>
      </c>
      <c r="D627" s="2" t="n">
        <v>5</v>
      </c>
      <c r="E627" s="82" t="n">
        <v>45192</v>
      </c>
      <c r="F627" s="83" t="n">
        <v>0.63400462962963</v>
      </c>
      <c r="G627" s="82" t="n">
        <v>45196</v>
      </c>
      <c r="H627" s="83" t="n">
        <v>0.343310185185185</v>
      </c>
      <c r="I627" s="2" t="s">
        <v>214</v>
      </c>
      <c r="J627" s="2" t="s">
        <v>168</v>
      </c>
      <c r="K627" s="46" t="str">
        <f aca="false">INDEX(Products!$B$2:$B$71,MATCH($C627,Products!$A$2:$A$71,0))</f>
        <v>Provident Pack</v>
      </c>
      <c r="L627" s="46" t="str">
        <f aca="false">INDEX(Products!$C$2:$C$71,MATCH($C627,Products!$A$2:$A$71,0))</f>
        <v>Sweets</v>
      </c>
      <c r="M627" s="84" t="n">
        <f aca="false">INDEX(Products!$D$2:$D$71,MATCH($C627,Products!$A$2:$A$71,0))</f>
        <v>1923</v>
      </c>
      <c r="N627" s="84" t="n">
        <f aca="false">$D627*$M627</f>
        <v>9615</v>
      </c>
      <c r="O627" s="46" t="str">
        <f aca="false">INDEX(Customers!$C$2:$C$101,MATCH($B627,Customers!$A$2:$A$101,0))</f>
        <v>Kavali</v>
      </c>
      <c r="P627" s="46" t="str">
        <f aca="false">INDEX(Customers!$F$2:$F$101,MATCH($B627,Customers!$A$2:$A$101,0))</f>
        <v>Female</v>
      </c>
      <c r="Q627" s="46" t="str">
        <f aca="false">INDEX(Customers!$B$2:$B$101,MATCH($B627,Customers!$A$2:$A$101,0))</f>
        <v>Jhanvi Chowdhury</v>
      </c>
      <c r="R627" s="46" t="n">
        <f aca="false">MONTH($E627)</f>
        <v>9</v>
      </c>
      <c r="S627" s="46" t="str">
        <f aca="false">INDEX(Lists!$B$2:$B$13,$R627)</f>
        <v>September</v>
      </c>
      <c r="T627" s="46" t="n">
        <f aca="false">HOUR($F627)</f>
        <v>15</v>
      </c>
      <c r="U627" s="46" t="n">
        <f aca="false">WEEKDAY($E627,2)</f>
        <v>6</v>
      </c>
      <c r="V627" s="46" t="str">
        <f aca="false">INDEX(Lists!$F$2:$F$8,$U627)</f>
        <v>Saturday</v>
      </c>
      <c r="W627" s="85" t="n">
        <f aca="false">($G627+$H627)-($E627+$F627)</f>
        <v>3.70930555555556</v>
      </c>
      <c r="X627" s="46" t="str">
        <f aca="false">LOOKUP($M627,Lists!$G$2:$G$5,Lists!$H$2:$H$5)</f>
        <v>₹1,500 - 2,000</v>
      </c>
      <c r="Y627" s="46" t="str">
        <f aca="false">LOOKUP($W627,Lists!$I$2:$I$7,Lists!$J$2:$J$7)</f>
        <v>2 - 4 days</v>
      </c>
    </row>
    <row r="628" customFormat="false" ht="15" hidden="false" customHeight="false" outlineLevel="0" collapsed="false">
      <c r="A628" s="7" t="n">
        <v>627</v>
      </c>
      <c r="B628" s="7" t="s">
        <v>185</v>
      </c>
      <c r="C628" s="7" t="n">
        <v>51</v>
      </c>
      <c r="D628" s="7" t="n">
        <v>4</v>
      </c>
      <c r="E628" s="77" t="n">
        <v>44962</v>
      </c>
      <c r="F628" s="78" t="n">
        <v>0.187789351851852</v>
      </c>
      <c r="G628" s="77" t="n">
        <v>44965</v>
      </c>
      <c r="H628" s="78" t="n">
        <v>0.984861111111111</v>
      </c>
      <c r="I628" s="7" t="s">
        <v>570</v>
      </c>
      <c r="J628" s="7" t="s">
        <v>165</v>
      </c>
      <c r="K628" s="79" t="str">
        <f aca="false">INDEX(Products!$B$2:$B$71,MATCH($C628,Products!$A$2:$A$71,0))</f>
        <v>Fugit Set</v>
      </c>
      <c r="L628" s="79" t="str">
        <f aca="false">INDEX(Products!$C$2:$C$71,MATCH($C628,Products!$A$2:$A$71,0))</f>
        <v>Soft Toys</v>
      </c>
      <c r="M628" s="80" t="n">
        <f aca="false">INDEX(Products!$D$2:$D$71,MATCH($C628,Products!$A$2:$A$71,0))</f>
        <v>1084</v>
      </c>
      <c r="N628" s="80" t="n">
        <f aca="false">$D628*$M628</f>
        <v>4336</v>
      </c>
      <c r="O628" s="79" t="str">
        <f aca="false">INDEX(Customers!$C$2:$C$101,MATCH($B628,Customers!$A$2:$A$101,0))</f>
        <v>Kavali</v>
      </c>
      <c r="P628" s="79" t="str">
        <f aca="false">INDEX(Customers!$F$2:$F$101,MATCH($B628,Customers!$A$2:$A$101,0))</f>
        <v>Female</v>
      </c>
      <c r="Q628" s="79" t="str">
        <f aca="false">INDEX(Customers!$B$2:$B$101,MATCH($B628,Customers!$A$2:$A$101,0))</f>
        <v>Jhanvi Chowdhury</v>
      </c>
      <c r="R628" s="79" t="n">
        <f aca="false">MONTH($E628)</f>
        <v>2</v>
      </c>
      <c r="S628" s="79" t="str">
        <f aca="false">INDEX(Lists!$B$2:$B$13,$R628)</f>
        <v>February</v>
      </c>
      <c r="T628" s="79" t="n">
        <f aca="false">HOUR($F628)</f>
        <v>4</v>
      </c>
      <c r="U628" s="79" t="n">
        <f aca="false">WEEKDAY($E628,2)</f>
        <v>7</v>
      </c>
      <c r="V628" s="79" t="str">
        <f aca="false">INDEX(Lists!$F$2:$F$8,$U628)</f>
        <v>Sunday</v>
      </c>
      <c r="W628" s="81" t="n">
        <f aca="false">($G628+$H628)-($E628+$F628)</f>
        <v>3.79707175925926</v>
      </c>
      <c r="X628" s="79" t="str">
        <f aca="false">LOOKUP($M628,Lists!$G$2:$G$5,Lists!$H$2:$H$5)</f>
        <v>₹1,000 - 1,499</v>
      </c>
      <c r="Y628" s="79" t="str">
        <f aca="false">LOOKUP($W628,Lists!$I$2:$I$7,Lists!$J$2:$J$7)</f>
        <v>2 - 4 days</v>
      </c>
    </row>
    <row r="629" customFormat="false" ht="15" hidden="false" customHeight="false" outlineLevel="0" collapsed="false">
      <c r="A629" s="2" t="n">
        <v>628</v>
      </c>
      <c r="B629" s="2" t="s">
        <v>285</v>
      </c>
      <c r="C629" s="2" t="n">
        <v>11</v>
      </c>
      <c r="D629" s="2" t="n">
        <v>5</v>
      </c>
      <c r="E629" s="82" t="n">
        <v>44967</v>
      </c>
      <c r="F629" s="83" t="n">
        <v>0.910034722222222</v>
      </c>
      <c r="G629" s="82" t="n">
        <v>44970</v>
      </c>
      <c r="H629" s="83" t="n">
        <v>0.880393518518519</v>
      </c>
      <c r="I629" s="2" t="s">
        <v>514</v>
      </c>
      <c r="J629" s="2" t="s">
        <v>179</v>
      </c>
      <c r="K629" s="46" t="str">
        <f aca="false">INDEX(Products!$B$2:$B$71,MATCH($C629,Products!$A$2:$A$71,0))</f>
        <v>Maxime Set</v>
      </c>
      <c r="L629" s="46" t="str">
        <f aca="false">INDEX(Products!$C$2:$C$71,MATCH($C629,Products!$A$2:$A$71,0))</f>
        <v>Mugs</v>
      </c>
      <c r="M629" s="84" t="n">
        <f aca="false">INDEX(Products!$D$2:$D$71,MATCH($C629,Products!$A$2:$A$71,0))</f>
        <v>1096</v>
      </c>
      <c r="N629" s="84" t="n">
        <f aca="false">$D629*$M629</f>
        <v>5480</v>
      </c>
      <c r="O629" s="46" t="str">
        <f aca="false">INDEX(Customers!$C$2:$C$101,MATCH($B629,Customers!$A$2:$A$101,0))</f>
        <v>Kavali</v>
      </c>
      <c r="P629" s="46" t="str">
        <f aca="false">INDEX(Customers!$F$2:$F$101,MATCH($B629,Customers!$A$2:$A$101,0))</f>
        <v>Female</v>
      </c>
      <c r="Q629" s="46" t="str">
        <f aca="false">INDEX(Customers!$B$2:$B$101,MATCH($B629,Customers!$A$2:$A$101,0))</f>
        <v>Akarsh Ramesh</v>
      </c>
      <c r="R629" s="46" t="n">
        <f aca="false">MONTH($E629)</f>
        <v>2</v>
      </c>
      <c r="S629" s="46" t="str">
        <f aca="false">INDEX(Lists!$B$2:$B$13,$R629)</f>
        <v>February</v>
      </c>
      <c r="T629" s="46" t="n">
        <f aca="false">HOUR($F629)</f>
        <v>21</v>
      </c>
      <c r="U629" s="46" t="n">
        <f aca="false">WEEKDAY($E629,2)</f>
        <v>5</v>
      </c>
      <c r="V629" s="46" t="str">
        <f aca="false">INDEX(Lists!$F$2:$F$8,$U629)</f>
        <v>Friday</v>
      </c>
      <c r="W629" s="85" t="n">
        <f aca="false">($G629+$H629)-($E629+$F629)</f>
        <v>2.9703587962963</v>
      </c>
      <c r="X629" s="46" t="str">
        <f aca="false">LOOKUP($M629,Lists!$G$2:$G$5,Lists!$H$2:$H$5)</f>
        <v>₹1,000 - 1,499</v>
      </c>
      <c r="Y629" s="46" t="str">
        <f aca="false">LOOKUP($W629,Lists!$I$2:$I$7,Lists!$J$2:$J$7)</f>
        <v>2 - 4 days</v>
      </c>
    </row>
    <row r="630" customFormat="false" ht="15" hidden="false" customHeight="false" outlineLevel="0" collapsed="false">
      <c r="A630" s="7" t="n">
        <v>629</v>
      </c>
      <c r="B630" s="7" t="s">
        <v>202</v>
      </c>
      <c r="C630" s="7" t="n">
        <v>28</v>
      </c>
      <c r="D630" s="7" t="n">
        <v>5</v>
      </c>
      <c r="E630" s="77" t="n">
        <v>45165</v>
      </c>
      <c r="F630" s="78" t="n">
        <v>0.381261574074074</v>
      </c>
      <c r="G630" s="77" t="n">
        <v>45173</v>
      </c>
      <c r="H630" s="78" t="n">
        <v>0.646793981481482</v>
      </c>
      <c r="I630" s="7" t="s">
        <v>556</v>
      </c>
      <c r="J630" s="7" t="s">
        <v>40</v>
      </c>
      <c r="K630" s="79" t="str">
        <f aca="false">INDEX(Products!$B$2:$B$71,MATCH($C630,Products!$A$2:$A$71,0))</f>
        <v>Velit Set</v>
      </c>
      <c r="L630" s="79" t="str">
        <f aca="false">INDEX(Products!$C$2:$C$71,MATCH($C630,Products!$A$2:$A$71,0))</f>
        <v>Sweets</v>
      </c>
      <c r="M630" s="80" t="n">
        <f aca="false">INDEX(Products!$D$2:$D$71,MATCH($C630,Products!$A$2:$A$71,0))</f>
        <v>1778</v>
      </c>
      <c r="N630" s="80" t="n">
        <f aca="false">$D630*$M630</f>
        <v>8890</v>
      </c>
      <c r="O630" s="79" t="str">
        <f aca="false">INDEX(Customers!$C$2:$C$101,MATCH($B630,Customers!$A$2:$A$101,0))</f>
        <v>Surat</v>
      </c>
      <c r="P630" s="79" t="str">
        <f aca="false">INDEX(Customers!$F$2:$F$101,MATCH($B630,Customers!$A$2:$A$101,0))</f>
        <v>Male</v>
      </c>
      <c r="Q630" s="79" t="str">
        <f aca="false">INDEX(Customers!$B$2:$B$101,MATCH($B630,Customers!$A$2:$A$101,0))</f>
        <v>Mannat Anand</v>
      </c>
      <c r="R630" s="79" t="n">
        <f aca="false">MONTH($E630)</f>
        <v>8</v>
      </c>
      <c r="S630" s="79" t="str">
        <f aca="false">INDEX(Lists!$B$2:$B$13,$R630)</f>
        <v>August</v>
      </c>
      <c r="T630" s="79" t="n">
        <f aca="false">HOUR($F630)</f>
        <v>9</v>
      </c>
      <c r="U630" s="79" t="n">
        <f aca="false">WEEKDAY($E630,2)</f>
        <v>7</v>
      </c>
      <c r="V630" s="79" t="str">
        <f aca="false">INDEX(Lists!$F$2:$F$8,$U630)</f>
        <v>Sunday</v>
      </c>
      <c r="W630" s="81" t="n">
        <f aca="false">($G630+$H630)-($E630+$F630)</f>
        <v>8.26553240740741</v>
      </c>
      <c r="X630" s="79" t="str">
        <f aca="false">LOOKUP($M630,Lists!$G$2:$G$5,Lists!$H$2:$H$5)</f>
        <v>₹1,500 - 2,000</v>
      </c>
      <c r="Y630" s="79" t="str">
        <f aca="false">LOOKUP($W630,Lists!$I$2:$I$7,Lists!$J$2:$J$7)</f>
        <v>8 - 10 days</v>
      </c>
    </row>
    <row r="631" customFormat="false" ht="15" hidden="false" customHeight="false" outlineLevel="0" collapsed="false">
      <c r="A631" s="2" t="n">
        <v>630</v>
      </c>
      <c r="B631" s="2" t="s">
        <v>313</v>
      </c>
      <c r="C631" s="2" t="n">
        <v>67</v>
      </c>
      <c r="D631" s="2" t="n">
        <v>3</v>
      </c>
      <c r="E631" s="82" t="n">
        <v>44978</v>
      </c>
      <c r="F631" s="83" t="n">
        <v>0.901238425925926</v>
      </c>
      <c r="G631" s="82" t="n">
        <v>44986</v>
      </c>
      <c r="H631" s="83" t="n">
        <v>0.786898148148148</v>
      </c>
      <c r="I631" s="2" t="s">
        <v>450</v>
      </c>
      <c r="J631" s="2" t="s">
        <v>168</v>
      </c>
      <c r="K631" s="46" t="str">
        <f aca="false">INDEX(Products!$B$2:$B$71,MATCH($C631,Products!$A$2:$A$71,0))</f>
        <v>Maiores Box</v>
      </c>
      <c r="L631" s="46" t="str">
        <f aca="false">INDEX(Products!$C$2:$C$71,MATCH($C631,Products!$A$2:$A$71,0))</f>
        <v>Raksha Bandhan</v>
      </c>
      <c r="M631" s="84" t="n">
        <f aca="false">INDEX(Products!$D$2:$D$71,MATCH($C631,Products!$A$2:$A$71,0))</f>
        <v>1374</v>
      </c>
      <c r="N631" s="84" t="n">
        <f aca="false">$D631*$M631</f>
        <v>4122</v>
      </c>
      <c r="O631" s="46" t="str">
        <f aca="false">INDEX(Customers!$C$2:$C$101,MATCH($B631,Customers!$A$2:$A$101,0))</f>
        <v>Tiruppur</v>
      </c>
      <c r="P631" s="46" t="str">
        <f aca="false">INDEX(Customers!$F$2:$F$101,MATCH($B631,Customers!$A$2:$A$101,0))</f>
        <v>Male</v>
      </c>
      <c r="Q631" s="46" t="str">
        <f aca="false">INDEX(Customers!$B$2:$B$101,MATCH($B631,Customers!$A$2:$A$101,0))</f>
        <v>Purab Sheth</v>
      </c>
      <c r="R631" s="46" t="n">
        <f aca="false">MONTH($E631)</f>
        <v>2</v>
      </c>
      <c r="S631" s="46" t="str">
        <f aca="false">INDEX(Lists!$B$2:$B$13,$R631)</f>
        <v>February</v>
      </c>
      <c r="T631" s="46" t="n">
        <f aca="false">HOUR($F631)</f>
        <v>21</v>
      </c>
      <c r="U631" s="46" t="n">
        <f aca="false">WEEKDAY($E631,2)</f>
        <v>2</v>
      </c>
      <c r="V631" s="46" t="str">
        <f aca="false">INDEX(Lists!$F$2:$F$8,$U631)</f>
        <v>Tuesday</v>
      </c>
      <c r="W631" s="85" t="n">
        <f aca="false">($G631+$H631)-($E631+$F631)</f>
        <v>7.88565972222222</v>
      </c>
      <c r="X631" s="46" t="str">
        <f aca="false">LOOKUP($M631,Lists!$G$2:$G$5,Lists!$H$2:$H$5)</f>
        <v>₹1,000 - 1,499</v>
      </c>
      <c r="Y631" s="46" t="str">
        <f aca="false">LOOKUP($W631,Lists!$I$2:$I$7,Lists!$J$2:$J$7)</f>
        <v>6 - 8 days</v>
      </c>
    </row>
    <row r="632" customFormat="false" ht="15" hidden="false" customHeight="false" outlineLevel="0" collapsed="false">
      <c r="A632" s="7" t="n">
        <v>631</v>
      </c>
      <c r="B632" s="7" t="s">
        <v>236</v>
      </c>
      <c r="C632" s="7" t="n">
        <v>32</v>
      </c>
      <c r="D632" s="7" t="n">
        <v>4</v>
      </c>
      <c r="E632" s="77" t="n">
        <v>45029</v>
      </c>
      <c r="F632" s="78" t="n">
        <v>0.904050925925926</v>
      </c>
      <c r="G632" s="77" t="n">
        <v>45033</v>
      </c>
      <c r="H632" s="78" t="n">
        <v>0.156284722222222</v>
      </c>
      <c r="I632" s="7" t="s">
        <v>391</v>
      </c>
      <c r="J632" s="7" t="s">
        <v>31</v>
      </c>
      <c r="K632" s="79" t="str">
        <f aca="false">INDEX(Products!$B$2:$B$71,MATCH($C632,Products!$A$2:$A$71,0))</f>
        <v>Fuga Set</v>
      </c>
      <c r="L632" s="79" t="str">
        <f aca="false">INDEX(Products!$C$2:$C$71,MATCH($C632,Products!$A$2:$A$71,0))</f>
        <v>Soft Toys</v>
      </c>
      <c r="M632" s="80" t="n">
        <f aca="false">INDEX(Products!$D$2:$D$71,MATCH($C632,Products!$A$2:$A$71,0))</f>
        <v>1792</v>
      </c>
      <c r="N632" s="80" t="n">
        <f aca="false">$D632*$M632</f>
        <v>7168</v>
      </c>
      <c r="O632" s="79" t="str">
        <f aca="false">INDEX(Customers!$C$2:$C$101,MATCH($B632,Customers!$A$2:$A$101,0))</f>
        <v>Agra</v>
      </c>
      <c r="P632" s="79" t="str">
        <f aca="false">INDEX(Customers!$F$2:$F$101,MATCH($B632,Customers!$A$2:$A$101,0))</f>
        <v>Male</v>
      </c>
      <c r="Q632" s="79" t="str">
        <f aca="false">INDEX(Customers!$B$2:$B$101,MATCH($B632,Customers!$A$2:$A$101,0))</f>
        <v>Seher Mann</v>
      </c>
      <c r="R632" s="79" t="n">
        <f aca="false">MONTH($E632)</f>
        <v>4</v>
      </c>
      <c r="S632" s="79" t="str">
        <f aca="false">INDEX(Lists!$B$2:$B$13,$R632)</f>
        <v>April</v>
      </c>
      <c r="T632" s="79" t="n">
        <f aca="false">HOUR($F632)</f>
        <v>21</v>
      </c>
      <c r="U632" s="79" t="n">
        <f aca="false">WEEKDAY($E632,2)</f>
        <v>4</v>
      </c>
      <c r="V632" s="79" t="str">
        <f aca="false">INDEX(Lists!$F$2:$F$8,$U632)</f>
        <v>Thursday</v>
      </c>
      <c r="W632" s="81" t="n">
        <f aca="false">($G632+$H632)-($E632+$F632)</f>
        <v>3.2522337962963</v>
      </c>
      <c r="X632" s="79" t="str">
        <f aca="false">LOOKUP($M632,Lists!$G$2:$G$5,Lists!$H$2:$H$5)</f>
        <v>₹1,500 - 2,000</v>
      </c>
      <c r="Y632" s="79" t="str">
        <f aca="false">LOOKUP($W632,Lists!$I$2:$I$7,Lists!$J$2:$J$7)</f>
        <v>2 - 4 days</v>
      </c>
    </row>
    <row r="633" customFormat="false" ht="15" hidden="false" customHeight="false" outlineLevel="0" collapsed="false">
      <c r="A633" s="2" t="n">
        <v>632</v>
      </c>
      <c r="B633" s="2" t="s">
        <v>325</v>
      </c>
      <c r="C633" s="2" t="n">
        <v>51</v>
      </c>
      <c r="D633" s="2" t="n">
        <v>1</v>
      </c>
      <c r="E633" s="82" t="n">
        <v>45118</v>
      </c>
      <c r="F633" s="83" t="n">
        <v>0.940983796296296</v>
      </c>
      <c r="G633" s="82" t="n">
        <v>45119</v>
      </c>
      <c r="H633" s="83" t="n">
        <v>0.481134259259259</v>
      </c>
      <c r="I633" s="2" t="s">
        <v>123</v>
      </c>
      <c r="J633" s="2" t="s">
        <v>165</v>
      </c>
      <c r="K633" s="46" t="str">
        <f aca="false">INDEX(Products!$B$2:$B$71,MATCH($C633,Products!$A$2:$A$71,0))</f>
        <v>Fugit Set</v>
      </c>
      <c r="L633" s="46" t="str">
        <f aca="false">INDEX(Products!$C$2:$C$71,MATCH($C633,Products!$A$2:$A$71,0))</f>
        <v>Soft Toys</v>
      </c>
      <c r="M633" s="84" t="n">
        <f aca="false">INDEX(Products!$D$2:$D$71,MATCH($C633,Products!$A$2:$A$71,0))</f>
        <v>1084</v>
      </c>
      <c r="N633" s="84" t="n">
        <f aca="false">$D633*$M633</f>
        <v>1084</v>
      </c>
      <c r="O633" s="46" t="str">
        <f aca="false">INDEX(Customers!$C$2:$C$101,MATCH($B633,Customers!$A$2:$A$101,0))</f>
        <v>Aligarh</v>
      </c>
      <c r="P633" s="46" t="str">
        <f aca="false">INDEX(Customers!$F$2:$F$101,MATCH($B633,Customers!$A$2:$A$101,0))</f>
        <v>Female</v>
      </c>
      <c r="Q633" s="46" t="str">
        <f aca="false">INDEX(Customers!$B$2:$B$101,MATCH($B633,Customers!$A$2:$A$101,0))</f>
        <v>Yashvi Bansal</v>
      </c>
      <c r="R633" s="46" t="n">
        <f aca="false">MONTH($E633)</f>
        <v>7</v>
      </c>
      <c r="S633" s="46" t="str">
        <f aca="false">INDEX(Lists!$B$2:$B$13,$R633)</f>
        <v>July</v>
      </c>
      <c r="T633" s="46" t="n">
        <f aca="false">HOUR($F633)</f>
        <v>22</v>
      </c>
      <c r="U633" s="46" t="n">
        <f aca="false">WEEKDAY($E633,2)</f>
        <v>2</v>
      </c>
      <c r="V633" s="46" t="str">
        <f aca="false">INDEX(Lists!$F$2:$F$8,$U633)</f>
        <v>Tuesday</v>
      </c>
      <c r="W633" s="85" t="n">
        <f aca="false">($G633+$H633)-($E633+$F633)</f>
        <v>0.540150462962963</v>
      </c>
      <c r="X633" s="46" t="str">
        <f aca="false">LOOKUP($M633,Lists!$G$2:$G$5,Lists!$H$2:$H$5)</f>
        <v>₹1,000 - 1,499</v>
      </c>
      <c r="Y633" s="46" t="str">
        <f aca="false">LOOKUP($W633,Lists!$I$2:$I$7,Lists!$J$2:$J$7)</f>
        <v>0 - 2 days</v>
      </c>
    </row>
    <row r="634" customFormat="false" ht="15" hidden="false" customHeight="false" outlineLevel="0" collapsed="false">
      <c r="A634" s="7" t="n">
        <v>633</v>
      </c>
      <c r="B634" s="7" t="s">
        <v>200</v>
      </c>
      <c r="C634" s="7" t="n">
        <v>52</v>
      </c>
      <c r="D634" s="7" t="n">
        <v>5</v>
      </c>
      <c r="E634" s="77" t="n">
        <v>44967</v>
      </c>
      <c r="F634" s="78" t="n">
        <v>0.614375</v>
      </c>
      <c r="G634" s="77" t="n">
        <v>44972</v>
      </c>
      <c r="H634" s="78" t="n">
        <v>0.217199074074074</v>
      </c>
      <c r="I634" s="7" t="s">
        <v>579</v>
      </c>
      <c r="J634" s="7" t="s">
        <v>179</v>
      </c>
      <c r="K634" s="79" t="str">
        <f aca="false">INDEX(Products!$B$2:$B$71,MATCH($C634,Products!$A$2:$A$71,0))</f>
        <v>Dolorum Box</v>
      </c>
      <c r="L634" s="79" t="str">
        <f aca="false">INDEX(Products!$C$2:$C$71,MATCH($C634,Products!$A$2:$A$71,0))</f>
        <v>Raksha Bandhan</v>
      </c>
      <c r="M634" s="80" t="n">
        <f aca="false">INDEX(Products!$D$2:$D$71,MATCH($C634,Products!$A$2:$A$71,0))</f>
        <v>236</v>
      </c>
      <c r="N634" s="80" t="n">
        <f aca="false">$D634*$M634</f>
        <v>1180</v>
      </c>
      <c r="O634" s="79" t="str">
        <f aca="false">INDEX(Customers!$C$2:$C$101,MATCH($B634,Customers!$A$2:$A$101,0))</f>
        <v>Sasaram</v>
      </c>
      <c r="P634" s="79" t="str">
        <f aca="false">INDEX(Customers!$F$2:$F$101,MATCH($B634,Customers!$A$2:$A$101,0))</f>
        <v>Female</v>
      </c>
      <c r="Q634" s="79" t="str">
        <f aca="false">INDEX(Customers!$B$2:$B$101,MATCH($B634,Customers!$A$2:$A$101,0))</f>
        <v>Madhup Wable</v>
      </c>
      <c r="R634" s="79" t="n">
        <f aca="false">MONTH($E634)</f>
        <v>2</v>
      </c>
      <c r="S634" s="79" t="str">
        <f aca="false">INDEX(Lists!$B$2:$B$13,$R634)</f>
        <v>February</v>
      </c>
      <c r="T634" s="79" t="n">
        <f aca="false">HOUR($F634)</f>
        <v>14</v>
      </c>
      <c r="U634" s="79" t="n">
        <f aca="false">WEEKDAY($E634,2)</f>
        <v>5</v>
      </c>
      <c r="V634" s="79" t="str">
        <f aca="false">INDEX(Lists!$F$2:$F$8,$U634)</f>
        <v>Friday</v>
      </c>
      <c r="W634" s="81" t="n">
        <f aca="false">($G634+$H634)-($E634+$F634)</f>
        <v>4.60282407407407</v>
      </c>
      <c r="X634" s="79" t="str">
        <f aca="false">LOOKUP($M634,Lists!$G$2:$G$5,Lists!$H$2:$H$5)</f>
        <v>₹0 - 499</v>
      </c>
      <c r="Y634" s="79" t="str">
        <f aca="false">LOOKUP($W634,Lists!$I$2:$I$7,Lists!$J$2:$J$7)</f>
        <v>4 - 6 days</v>
      </c>
    </row>
    <row r="635" customFormat="false" ht="15" hidden="false" customHeight="false" outlineLevel="0" collapsed="false">
      <c r="A635" s="2" t="n">
        <v>634</v>
      </c>
      <c r="B635" s="2" t="s">
        <v>218</v>
      </c>
      <c r="C635" s="2" t="n">
        <v>57</v>
      </c>
      <c r="D635" s="2" t="n">
        <v>3</v>
      </c>
      <c r="E635" s="82" t="n">
        <v>45053</v>
      </c>
      <c r="F635" s="83" t="n">
        <v>0.275185185185185</v>
      </c>
      <c r="G635" s="82" t="n">
        <v>45057</v>
      </c>
      <c r="H635" s="83" t="n">
        <v>0.572094907407407</v>
      </c>
      <c r="I635" s="2" t="s">
        <v>374</v>
      </c>
      <c r="J635" s="2" t="s">
        <v>31</v>
      </c>
      <c r="K635" s="46" t="str">
        <f aca="false">INDEX(Products!$B$2:$B$71,MATCH($C635,Products!$A$2:$A$71,0))</f>
        <v>Voluptatem Box</v>
      </c>
      <c r="L635" s="46" t="str">
        <f aca="false">INDEX(Products!$C$2:$C$71,MATCH($C635,Products!$A$2:$A$71,0))</f>
        <v>Colors</v>
      </c>
      <c r="M635" s="84" t="n">
        <f aca="false">INDEX(Products!$D$2:$D$71,MATCH($C635,Products!$A$2:$A$71,0))</f>
        <v>1582</v>
      </c>
      <c r="N635" s="84" t="n">
        <f aca="false">$D635*$M635</f>
        <v>4746</v>
      </c>
      <c r="O635" s="46" t="str">
        <f aca="false">INDEX(Customers!$C$2:$C$101,MATCH($B635,Customers!$A$2:$A$101,0))</f>
        <v>Aizawl</v>
      </c>
      <c r="P635" s="46" t="str">
        <f aca="false">INDEX(Customers!$F$2:$F$101,MATCH($B635,Customers!$A$2:$A$101,0))</f>
        <v>Female</v>
      </c>
      <c r="Q635" s="46" t="str">
        <f aca="false">INDEX(Customers!$B$2:$B$101,MATCH($B635,Customers!$A$2:$A$101,0))</f>
        <v>Yakshit Shah</v>
      </c>
      <c r="R635" s="46" t="n">
        <f aca="false">MONTH($E635)</f>
        <v>5</v>
      </c>
      <c r="S635" s="46" t="str">
        <f aca="false">INDEX(Lists!$B$2:$B$13,$R635)</f>
        <v>May</v>
      </c>
      <c r="T635" s="46" t="n">
        <f aca="false">HOUR($F635)</f>
        <v>6</v>
      </c>
      <c r="U635" s="46" t="n">
        <f aca="false">WEEKDAY($E635,2)</f>
        <v>7</v>
      </c>
      <c r="V635" s="46" t="str">
        <f aca="false">INDEX(Lists!$F$2:$F$8,$U635)</f>
        <v>Sunday</v>
      </c>
      <c r="W635" s="85" t="n">
        <f aca="false">($G635+$H635)-($E635+$F635)</f>
        <v>4.29690972222222</v>
      </c>
      <c r="X635" s="46" t="str">
        <f aca="false">LOOKUP($M635,Lists!$G$2:$G$5,Lists!$H$2:$H$5)</f>
        <v>₹1,500 - 2,000</v>
      </c>
      <c r="Y635" s="46" t="str">
        <f aca="false">LOOKUP($W635,Lists!$I$2:$I$7,Lists!$J$2:$J$7)</f>
        <v>4 - 6 days</v>
      </c>
    </row>
    <row r="636" customFormat="false" ht="15" hidden="false" customHeight="false" outlineLevel="0" collapsed="false">
      <c r="A636" s="7" t="n">
        <v>635</v>
      </c>
      <c r="B636" s="7" t="s">
        <v>379</v>
      </c>
      <c r="C636" s="7" t="n">
        <v>67</v>
      </c>
      <c r="D636" s="7" t="n">
        <v>1</v>
      </c>
      <c r="E636" s="77" t="n">
        <v>45242</v>
      </c>
      <c r="F636" s="78" t="n">
        <v>0.775821759259259</v>
      </c>
      <c r="G636" s="77" t="n">
        <v>45252</v>
      </c>
      <c r="H636" s="78" t="n">
        <v>0.308009259259259</v>
      </c>
      <c r="I636" s="7" t="s">
        <v>508</v>
      </c>
      <c r="J636" s="7" t="s">
        <v>168</v>
      </c>
      <c r="K636" s="79" t="str">
        <f aca="false">INDEX(Products!$B$2:$B$71,MATCH($C636,Products!$A$2:$A$71,0))</f>
        <v>Maiores Box</v>
      </c>
      <c r="L636" s="79" t="str">
        <f aca="false">INDEX(Products!$C$2:$C$71,MATCH($C636,Products!$A$2:$A$71,0))</f>
        <v>Raksha Bandhan</v>
      </c>
      <c r="M636" s="80" t="n">
        <f aca="false">INDEX(Products!$D$2:$D$71,MATCH($C636,Products!$A$2:$A$71,0))</f>
        <v>1374</v>
      </c>
      <c r="N636" s="80" t="n">
        <f aca="false">$D636*$M636</f>
        <v>1374</v>
      </c>
      <c r="O636" s="79" t="str">
        <f aca="false">INDEX(Customers!$C$2:$C$101,MATCH($B636,Customers!$A$2:$A$101,0))</f>
        <v>Warangal</v>
      </c>
      <c r="P636" s="79" t="str">
        <f aca="false">INDEX(Customers!$F$2:$F$101,MATCH($B636,Customers!$A$2:$A$101,0))</f>
        <v>Female</v>
      </c>
      <c r="Q636" s="79" t="str">
        <f aca="false">INDEX(Customers!$B$2:$B$101,MATCH($B636,Customers!$A$2:$A$101,0))</f>
        <v>Mahika Cherian</v>
      </c>
      <c r="R636" s="79" t="n">
        <f aca="false">MONTH($E636)</f>
        <v>11</v>
      </c>
      <c r="S636" s="79" t="str">
        <f aca="false">INDEX(Lists!$B$2:$B$13,$R636)</f>
        <v>November</v>
      </c>
      <c r="T636" s="79" t="n">
        <f aca="false">HOUR($F636)</f>
        <v>18</v>
      </c>
      <c r="U636" s="79" t="n">
        <f aca="false">WEEKDAY($E636,2)</f>
        <v>7</v>
      </c>
      <c r="V636" s="79" t="str">
        <f aca="false">INDEX(Lists!$F$2:$F$8,$U636)</f>
        <v>Sunday</v>
      </c>
      <c r="W636" s="81" t="n">
        <f aca="false">($G636+$H636)-($E636+$F636)</f>
        <v>9.5321875</v>
      </c>
      <c r="X636" s="79" t="str">
        <f aca="false">LOOKUP($M636,Lists!$G$2:$G$5,Lists!$H$2:$H$5)</f>
        <v>₹1,000 - 1,499</v>
      </c>
      <c r="Y636" s="79" t="str">
        <f aca="false">LOOKUP($W636,Lists!$I$2:$I$7,Lists!$J$2:$J$7)</f>
        <v>8 - 10 days</v>
      </c>
    </row>
    <row r="637" customFormat="false" ht="15" hidden="false" customHeight="false" outlineLevel="0" collapsed="false">
      <c r="A637" s="2" t="n">
        <v>636</v>
      </c>
      <c r="B637" s="2" t="s">
        <v>303</v>
      </c>
      <c r="C637" s="2" t="n">
        <v>53</v>
      </c>
      <c r="D637" s="2" t="n">
        <v>2</v>
      </c>
      <c r="E637" s="82" t="n">
        <v>45163</v>
      </c>
      <c r="F637" s="83" t="n">
        <v>0.304467592592593</v>
      </c>
      <c r="G637" s="82" t="n">
        <v>45171</v>
      </c>
      <c r="H637" s="83" t="n">
        <v>0.1484375</v>
      </c>
      <c r="I637" s="2" t="s">
        <v>521</v>
      </c>
      <c r="J637" s="2" t="s">
        <v>40</v>
      </c>
      <c r="K637" s="46" t="str">
        <f aca="false">INDEX(Products!$B$2:$B$71,MATCH($C637,Products!$A$2:$A$71,0))</f>
        <v>Ipsam Set</v>
      </c>
      <c r="L637" s="46" t="str">
        <f aca="false">INDEX(Products!$C$2:$C$71,MATCH($C637,Products!$A$2:$A$71,0))</f>
        <v>Sweets</v>
      </c>
      <c r="M637" s="84" t="n">
        <f aca="false">INDEX(Products!$D$2:$D$71,MATCH($C637,Products!$A$2:$A$71,0))</f>
        <v>1672</v>
      </c>
      <c r="N637" s="84" t="n">
        <f aca="false">$D637*$M637</f>
        <v>3344</v>
      </c>
      <c r="O637" s="46" t="str">
        <f aca="false">INDEX(Customers!$C$2:$C$101,MATCH($B637,Customers!$A$2:$A$101,0))</f>
        <v>Anand</v>
      </c>
      <c r="P637" s="46" t="str">
        <f aca="false">INDEX(Customers!$F$2:$F$101,MATCH($B637,Customers!$A$2:$A$101,0))</f>
        <v>Male</v>
      </c>
      <c r="Q637" s="46" t="str">
        <f aca="false">INDEX(Customers!$B$2:$B$101,MATCH($B637,Customers!$A$2:$A$101,0))</f>
        <v>Eva Sankaran</v>
      </c>
      <c r="R637" s="46" t="n">
        <f aca="false">MONTH($E637)</f>
        <v>8</v>
      </c>
      <c r="S637" s="46" t="str">
        <f aca="false">INDEX(Lists!$B$2:$B$13,$R637)</f>
        <v>August</v>
      </c>
      <c r="T637" s="46" t="n">
        <f aca="false">HOUR($F637)</f>
        <v>7</v>
      </c>
      <c r="U637" s="46" t="n">
        <f aca="false">WEEKDAY($E637,2)</f>
        <v>5</v>
      </c>
      <c r="V637" s="46" t="str">
        <f aca="false">INDEX(Lists!$F$2:$F$8,$U637)</f>
        <v>Friday</v>
      </c>
      <c r="W637" s="85" t="n">
        <f aca="false">($G637+$H637)-($E637+$F637)</f>
        <v>7.84396990740741</v>
      </c>
      <c r="X637" s="46" t="str">
        <f aca="false">LOOKUP($M637,Lists!$G$2:$G$5,Lists!$H$2:$H$5)</f>
        <v>₹1,500 - 2,000</v>
      </c>
      <c r="Y637" s="46" t="str">
        <f aca="false">LOOKUP($W637,Lists!$I$2:$I$7,Lists!$J$2:$J$7)</f>
        <v>6 - 8 days</v>
      </c>
    </row>
    <row r="638" customFormat="false" ht="15" hidden="false" customHeight="false" outlineLevel="0" collapsed="false">
      <c r="A638" s="7" t="n">
        <v>637</v>
      </c>
      <c r="B638" s="7" t="s">
        <v>272</v>
      </c>
      <c r="C638" s="7" t="n">
        <v>51</v>
      </c>
      <c r="D638" s="7" t="n">
        <v>3</v>
      </c>
      <c r="E638" s="77" t="n">
        <v>44997</v>
      </c>
      <c r="F638" s="78" t="n">
        <v>0.812106481481482</v>
      </c>
      <c r="G638" s="77" t="n">
        <v>45005</v>
      </c>
      <c r="H638" s="78" t="n">
        <v>0.940439814814815</v>
      </c>
      <c r="I638" s="7" t="s">
        <v>321</v>
      </c>
      <c r="J638" s="7" t="s">
        <v>165</v>
      </c>
      <c r="K638" s="79" t="str">
        <f aca="false">INDEX(Products!$B$2:$B$71,MATCH($C638,Products!$A$2:$A$71,0))</f>
        <v>Fugit Set</v>
      </c>
      <c r="L638" s="79" t="str">
        <f aca="false">INDEX(Products!$C$2:$C$71,MATCH($C638,Products!$A$2:$A$71,0))</f>
        <v>Soft Toys</v>
      </c>
      <c r="M638" s="80" t="n">
        <f aca="false">INDEX(Products!$D$2:$D$71,MATCH($C638,Products!$A$2:$A$71,0))</f>
        <v>1084</v>
      </c>
      <c r="N638" s="80" t="n">
        <f aca="false">$D638*$M638</f>
        <v>3252</v>
      </c>
      <c r="O638" s="79" t="str">
        <f aca="false">INDEX(Customers!$C$2:$C$101,MATCH($B638,Customers!$A$2:$A$101,0))</f>
        <v>Haridwar</v>
      </c>
      <c r="P638" s="79" t="str">
        <f aca="false">INDEX(Customers!$F$2:$F$101,MATCH($B638,Customers!$A$2:$A$101,0))</f>
        <v>Male</v>
      </c>
      <c r="Q638" s="79" t="str">
        <f aca="false">INDEX(Customers!$B$2:$B$101,MATCH($B638,Customers!$A$2:$A$101,0))</f>
        <v>Pihu Choudhury</v>
      </c>
      <c r="R638" s="79" t="n">
        <f aca="false">MONTH($E638)</f>
        <v>3</v>
      </c>
      <c r="S638" s="79" t="str">
        <f aca="false">INDEX(Lists!$B$2:$B$13,$R638)</f>
        <v>March</v>
      </c>
      <c r="T638" s="79" t="n">
        <f aca="false">HOUR($F638)</f>
        <v>19</v>
      </c>
      <c r="U638" s="79" t="n">
        <f aca="false">WEEKDAY($E638,2)</f>
        <v>7</v>
      </c>
      <c r="V638" s="79" t="str">
        <f aca="false">INDEX(Lists!$F$2:$F$8,$U638)</f>
        <v>Sunday</v>
      </c>
      <c r="W638" s="81" t="n">
        <f aca="false">($G638+$H638)-($E638+$F638)</f>
        <v>8.12833333333333</v>
      </c>
      <c r="X638" s="79" t="str">
        <f aca="false">LOOKUP($M638,Lists!$G$2:$G$5,Lists!$H$2:$H$5)</f>
        <v>₹1,000 - 1,499</v>
      </c>
      <c r="Y638" s="79" t="str">
        <f aca="false">LOOKUP($W638,Lists!$I$2:$I$7,Lists!$J$2:$J$7)</f>
        <v>8 - 10 days</v>
      </c>
    </row>
    <row r="639" customFormat="false" ht="15" hidden="false" customHeight="false" outlineLevel="0" collapsed="false">
      <c r="A639" s="2" t="n">
        <v>638</v>
      </c>
      <c r="B639" s="2" t="s">
        <v>283</v>
      </c>
      <c r="C639" s="2" t="n">
        <v>39</v>
      </c>
      <c r="D639" s="2" t="n">
        <v>1</v>
      </c>
      <c r="E639" s="82" t="n">
        <v>45039</v>
      </c>
      <c r="F639" s="83" t="n">
        <v>0.0927430555555556</v>
      </c>
      <c r="G639" s="82" t="n">
        <v>45043</v>
      </c>
      <c r="H639" s="83" t="n">
        <v>0.118981481481482</v>
      </c>
      <c r="I639" s="2" t="s">
        <v>489</v>
      </c>
      <c r="J639" s="2" t="s">
        <v>165</v>
      </c>
      <c r="K639" s="46" t="str">
        <f aca="false">INDEX(Products!$B$2:$B$71,MATCH($C639,Products!$A$2:$A$71,0))</f>
        <v>Voluptate Set</v>
      </c>
      <c r="L639" s="46" t="str">
        <f aca="false">INDEX(Products!$C$2:$C$71,MATCH($C639,Products!$A$2:$A$71,0))</f>
        <v>Mugs</v>
      </c>
      <c r="M639" s="84" t="n">
        <f aca="false">INDEX(Products!$D$2:$D$71,MATCH($C639,Products!$A$2:$A$71,0))</f>
        <v>387</v>
      </c>
      <c r="N639" s="84" t="n">
        <f aca="false">$D639*$M639</f>
        <v>387</v>
      </c>
      <c r="O639" s="46" t="str">
        <f aca="false">INDEX(Customers!$C$2:$C$101,MATCH($B639,Customers!$A$2:$A$101,0))</f>
        <v>Satara</v>
      </c>
      <c r="P639" s="46" t="str">
        <f aca="false">INDEX(Customers!$F$2:$F$101,MATCH($B639,Customers!$A$2:$A$101,0))</f>
        <v>Male</v>
      </c>
      <c r="Q639" s="46" t="str">
        <f aca="false">INDEX(Customers!$B$2:$B$101,MATCH($B639,Customers!$A$2:$A$101,0))</f>
        <v>Riya Wagle</v>
      </c>
      <c r="R639" s="46" t="n">
        <f aca="false">MONTH($E639)</f>
        <v>4</v>
      </c>
      <c r="S639" s="46" t="str">
        <f aca="false">INDEX(Lists!$B$2:$B$13,$R639)</f>
        <v>April</v>
      </c>
      <c r="T639" s="46" t="n">
        <f aca="false">HOUR($F639)</f>
        <v>2</v>
      </c>
      <c r="U639" s="46" t="n">
        <f aca="false">WEEKDAY($E639,2)</f>
        <v>7</v>
      </c>
      <c r="V639" s="46" t="str">
        <f aca="false">INDEX(Lists!$F$2:$F$8,$U639)</f>
        <v>Sunday</v>
      </c>
      <c r="W639" s="85" t="n">
        <f aca="false">($G639+$H639)-($E639+$F639)</f>
        <v>4.02623842592593</v>
      </c>
      <c r="X639" s="46" t="str">
        <f aca="false">LOOKUP($M639,Lists!$G$2:$G$5,Lists!$H$2:$H$5)</f>
        <v>₹0 - 499</v>
      </c>
      <c r="Y639" s="46" t="str">
        <f aca="false">LOOKUP($W639,Lists!$I$2:$I$7,Lists!$J$2:$J$7)</f>
        <v>4 - 6 days</v>
      </c>
    </row>
    <row r="640" customFormat="false" ht="15" hidden="false" customHeight="false" outlineLevel="0" collapsed="false">
      <c r="A640" s="7" t="n">
        <v>639</v>
      </c>
      <c r="B640" s="7" t="s">
        <v>388</v>
      </c>
      <c r="C640" s="7" t="n">
        <v>24</v>
      </c>
      <c r="D640" s="7" t="n">
        <v>1</v>
      </c>
      <c r="E640" s="77" t="n">
        <v>45072</v>
      </c>
      <c r="F640" s="78" t="n">
        <v>0.10869212962963</v>
      </c>
      <c r="G640" s="77" t="n">
        <v>45077</v>
      </c>
      <c r="H640" s="78" t="n">
        <v>0.137789351851852</v>
      </c>
      <c r="I640" s="7" t="s">
        <v>158</v>
      </c>
      <c r="J640" s="7" t="s">
        <v>31</v>
      </c>
      <c r="K640" s="79" t="str">
        <f aca="false">INDEX(Products!$B$2:$B$71,MATCH($C640,Products!$A$2:$A$71,0))</f>
        <v>Ad Box</v>
      </c>
      <c r="L640" s="79" t="str">
        <f aca="false">INDEX(Products!$C$2:$C$71,MATCH($C640,Products!$A$2:$A$71,0))</f>
        <v>Mugs</v>
      </c>
      <c r="M640" s="80" t="n">
        <f aca="false">INDEX(Products!$D$2:$D$71,MATCH($C640,Products!$A$2:$A$71,0))</f>
        <v>535</v>
      </c>
      <c r="N640" s="80" t="n">
        <f aca="false">$D640*$M640</f>
        <v>535</v>
      </c>
      <c r="O640" s="79" t="str">
        <f aca="false">INDEX(Customers!$C$2:$C$101,MATCH($B640,Customers!$A$2:$A$101,0))</f>
        <v>Cuttack</v>
      </c>
      <c r="P640" s="79" t="str">
        <f aca="false">INDEX(Customers!$F$2:$F$101,MATCH($B640,Customers!$A$2:$A$101,0))</f>
        <v>Male</v>
      </c>
      <c r="Q640" s="79" t="str">
        <f aca="false">INDEX(Customers!$B$2:$B$101,MATCH($B640,Customers!$A$2:$A$101,0))</f>
        <v>Navya Golla</v>
      </c>
      <c r="R640" s="79" t="n">
        <f aca="false">MONTH($E640)</f>
        <v>5</v>
      </c>
      <c r="S640" s="79" t="str">
        <f aca="false">INDEX(Lists!$B$2:$B$13,$R640)</f>
        <v>May</v>
      </c>
      <c r="T640" s="79" t="n">
        <f aca="false">HOUR($F640)</f>
        <v>2</v>
      </c>
      <c r="U640" s="79" t="n">
        <f aca="false">WEEKDAY($E640,2)</f>
        <v>5</v>
      </c>
      <c r="V640" s="79" t="str">
        <f aca="false">INDEX(Lists!$F$2:$F$8,$U640)</f>
        <v>Friday</v>
      </c>
      <c r="W640" s="81" t="n">
        <f aca="false">($G640+$H640)-($E640+$F640)</f>
        <v>5.02909722222222</v>
      </c>
      <c r="X640" s="79" t="str">
        <f aca="false">LOOKUP($M640,Lists!$G$2:$G$5,Lists!$H$2:$H$5)</f>
        <v>₹500 - 999</v>
      </c>
      <c r="Y640" s="79" t="str">
        <f aca="false">LOOKUP($W640,Lists!$I$2:$I$7,Lists!$J$2:$J$7)</f>
        <v>4 - 6 days</v>
      </c>
    </row>
    <row r="641" customFormat="false" ht="15" hidden="false" customHeight="false" outlineLevel="0" collapsed="false">
      <c r="A641" s="2" t="n">
        <v>640</v>
      </c>
      <c r="B641" s="2" t="s">
        <v>363</v>
      </c>
      <c r="C641" s="2" t="n">
        <v>59</v>
      </c>
      <c r="D641" s="2" t="n">
        <v>3</v>
      </c>
      <c r="E641" s="82" t="n">
        <v>45161</v>
      </c>
      <c r="F641" s="83" t="n">
        <v>0.261701388888889</v>
      </c>
      <c r="G641" s="82" t="n">
        <v>45169</v>
      </c>
      <c r="H641" s="83" t="n">
        <v>0.796770833333333</v>
      </c>
      <c r="I641" s="2" t="s">
        <v>205</v>
      </c>
      <c r="J641" s="2" t="s">
        <v>40</v>
      </c>
      <c r="K641" s="46" t="str">
        <f aca="false">INDEX(Products!$B$2:$B$71,MATCH($C641,Products!$A$2:$A$71,0))</f>
        <v>Pariatur Box</v>
      </c>
      <c r="L641" s="46" t="str">
        <f aca="false">INDEX(Products!$C$2:$C$71,MATCH($C641,Products!$A$2:$A$71,0))</f>
        <v>Cake</v>
      </c>
      <c r="M641" s="84" t="n">
        <f aca="false">INDEX(Products!$D$2:$D$71,MATCH($C641,Products!$A$2:$A$71,0))</f>
        <v>811</v>
      </c>
      <c r="N641" s="84" t="n">
        <f aca="false">$D641*$M641</f>
        <v>2433</v>
      </c>
      <c r="O641" s="46" t="str">
        <f aca="false">INDEX(Customers!$C$2:$C$101,MATCH($B641,Customers!$A$2:$A$101,0))</f>
        <v>Nellore</v>
      </c>
      <c r="P641" s="46" t="str">
        <f aca="false">INDEX(Customers!$F$2:$F$101,MATCH($B641,Customers!$A$2:$A$101,0))</f>
        <v>Female</v>
      </c>
      <c r="Q641" s="46" t="str">
        <f aca="false">INDEX(Customers!$B$2:$B$101,MATCH($B641,Customers!$A$2:$A$101,0))</f>
        <v>Oorja Dey</v>
      </c>
      <c r="R641" s="46" t="n">
        <f aca="false">MONTH($E641)</f>
        <v>8</v>
      </c>
      <c r="S641" s="46" t="str">
        <f aca="false">INDEX(Lists!$B$2:$B$13,$R641)</f>
        <v>August</v>
      </c>
      <c r="T641" s="46" t="n">
        <f aca="false">HOUR($F641)</f>
        <v>6</v>
      </c>
      <c r="U641" s="46" t="n">
        <f aca="false">WEEKDAY($E641,2)</f>
        <v>3</v>
      </c>
      <c r="V641" s="46" t="str">
        <f aca="false">INDEX(Lists!$F$2:$F$8,$U641)</f>
        <v>Wednesday</v>
      </c>
      <c r="W641" s="85" t="n">
        <f aca="false">($G641+$H641)-($E641+$F641)</f>
        <v>8.53506944444444</v>
      </c>
      <c r="X641" s="46" t="str">
        <f aca="false">LOOKUP($M641,Lists!$G$2:$G$5,Lists!$H$2:$H$5)</f>
        <v>₹500 - 999</v>
      </c>
      <c r="Y641" s="46" t="str">
        <f aca="false">LOOKUP($W641,Lists!$I$2:$I$7,Lists!$J$2:$J$7)</f>
        <v>8 - 10 days</v>
      </c>
    </row>
    <row r="642" customFormat="false" ht="15" hidden="false" customHeight="false" outlineLevel="0" collapsed="false">
      <c r="A642" s="7" t="n">
        <v>641</v>
      </c>
      <c r="B642" s="7" t="s">
        <v>291</v>
      </c>
      <c r="C642" s="7" t="n">
        <v>15</v>
      </c>
      <c r="D642" s="7" t="n">
        <v>4</v>
      </c>
      <c r="E642" s="77" t="n">
        <v>45064</v>
      </c>
      <c r="F642" s="78" t="n">
        <v>0.999953703703704</v>
      </c>
      <c r="G642" s="77" t="n">
        <v>45072</v>
      </c>
      <c r="H642" s="78" t="n">
        <v>0.802025462962963</v>
      </c>
      <c r="I642" s="7" t="s">
        <v>574</v>
      </c>
      <c r="J642" s="7" t="s">
        <v>168</v>
      </c>
      <c r="K642" s="79" t="str">
        <f aca="false">INDEX(Products!$B$2:$B$71,MATCH($C642,Products!$A$2:$A$71,0))</f>
        <v>Repudiandae Box</v>
      </c>
      <c r="L642" s="79" t="str">
        <f aca="false">INDEX(Products!$C$2:$C$71,MATCH($C642,Products!$A$2:$A$71,0))</f>
        <v>Raksha Bandhan</v>
      </c>
      <c r="M642" s="80" t="n">
        <f aca="false">INDEX(Products!$D$2:$D$71,MATCH($C642,Products!$A$2:$A$71,0))</f>
        <v>1488</v>
      </c>
      <c r="N642" s="80" t="n">
        <f aca="false">$D642*$M642</f>
        <v>5952</v>
      </c>
      <c r="O642" s="79" t="str">
        <f aca="false">INDEX(Customers!$C$2:$C$101,MATCH($B642,Customers!$A$2:$A$101,0))</f>
        <v>Jamnagar</v>
      </c>
      <c r="P642" s="79" t="str">
        <f aca="false">INDEX(Customers!$F$2:$F$101,MATCH($B642,Customers!$A$2:$A$101,0))</f>
        <v>Male</v>
      </c>
      <c r="Q642" s="79" t="str">
        <f aca="false">INDEX(Customers!$B$2:$B$101,MATCH($B642,Customers!$A$2:$A$101,0))</f>
        <v>Arhaan Ahluwalia</v>
      </c>
      <c r="R642" s="79" t="n">
        <f aca="false">MONTH($E642)</f>
        <v>5</v>
      </c>
      <c r="S642" s="79" t="str">
        <f aca="false">INDEX(Lists!$B$2:$B$13,$R642)</f>
        <v>May</v>
      </c>
      <c r="T642" s="79" t="n">
        <f aca="false">HOUR($F642)</f>
        <v>23</v>
      </c>
      <c r="U642" s="79" t="n">
        <f aca="false">WEEKDAY($E642,2)</f>
        <v>4</v>
      </c>
      <c r="V642" s="79" t="str">
        <f aca="false">INDEX(Lists!$F$2:$F$8,$U642)</f>
        <v>Thursday</v>
      </c>
      <c r="W642" s="81" t="n">
        <f aca="false">($G642+$H642)-($E642+$F642)</f>
        <v>7.80207175925926</v>
      </c>
      <c r="X642" s="79" t="str">
        <f aca="false">LOOKUP($M642,Lists!$G$2:$G$5,Lists!$H$2:$H$5)</f>
        <v>₹1,000 - 1,499</v>
      </c>
      <c r="Y642" s="79" t="str">
        <f aca="false">LOOKUP($W642,Lists!$I$2:$I$7,Lists!$J$2:$J$7)</f>
        <v>6 - 8 days</v>
      </c>
    </row>
    <row r="643" customFormat="false" ht="15" hidden="false" customHeight="false" outlineLevel="0" collapsed="false">
      <c r="A643" s="2" t="n">
        <v>642</v>
      </c>
      <c r="B643" s="2" t="s">
        <v>178</v>
      </c>
      <c r="C643" s="2" t="n">
        <v>44</v>
      </c>
      <c r="D643" s="2" t="n">
        <v>5</v>
      </c>
      <c r="E643" s="82" t="n">
        <v>45232</v>
      </c>
      <c r="F643" s="83" t="n">
        <v>0.226435185185185</v>
      </c>
      <c r="G643" s="82" t="n">
        <v>45237</v>
      </c>
      <c r="H643" s="83" t="n">
        <v>0.0207291666666667</v>
      </c>
      <c r="I643" s="2" t="s">
        <v>467</v>
      </c>
      <c r="J643" s="2" t="s">
        <v>32</v>
      </c>
      <c r="K643" s="46" t="str">
        <f aca="false">INDEX(Products!$B$2:$B$71,MATCH($C643,Products!$A$2:$A$71,0))</f>
        <v>Dolorum Set</v>
      </c>
      <c r="L643" s="46" t="str">
        <f aca="false">INDEX(Products!$C$2:$C$71,MATCH($C643,Products!$A$2:$A$71,0))</f>
        <v>Plants</v>
      </c>
      <c r="M643" s="84" t="n">
        <f aca="false">INDEX(Products!$D$2:$D$71,MATCH($C643,Products!$A$2:$A$71,0))</f>
        <v>794</v>
      </c>
      <c r="N643" s="84" t="n">
        <f aca="false">$D643*$M643</f>
        <v>3970</v>
      </c>
      <c r="O643" s="46" t="str">
        <f aca="false">INDEX(Customers!$C$2:$C$101,MATCH($B643,Customers!$A$2:$A$101,0))</f>
        <v>Mehsana</v>
      </c>
      <c r="P643" s="46" t="str">
        <f aca="false">INDEX(Customers!$F$2:$F$101,MATCH($B643,Customers!$A$2:$A$101,0))</f>
        <v>Male</v>
      </c>
      <c r="Q643" s="46" t="str">
        <f aca="false">INDEX(Customers!$B$2:$B$101,MATCH($B643,Customers!$A$2:$A$101,0))</f>
        <v>Siya Talwar</v>
      </c>
      <c r="R643" s="46" t="n">
        <f aca="false">MONTH($E643)</f>
        <v>11</v>
      </c>
      <c r="S643" s="46" t="str">
        <f aca="false">INDEX(Lists!$B$2:$B$13,$R643)</f>
        <v>November</v>
      </c>
      <c r="T643" s="46" t="n">
        <f aca="false">HOUR($F643)</f>
        <v>5</v>
      </c>
      <c r="U643" s="46" t="n">
        <f aca="false">WEEKDAY($E643,2)</f>
        <v>4</v>
      </c>
      <c r="V643" s="46" t="str">
        <f aca="false">INDEX(Lists!$F$2:$F$8,$U643)</f>
        <v>Thursday</v>
      </c>
      <c r="W643" s="85" t="n">
        <f aca="false">($G643+$H643)-($E643+$F643)</f>
        <v>4.79429398148148</v>
      </c>
      <c r="X643" s="46" t="str">
        <f aca="false">LOOKUP($M643,Lists!$G$2:$G$5,Lists!$H$2:$H$5)</f>
        <v>₹500 - 999</v>
      </c>
      <c r="Y643" s="46" t="str">
        <f aca="false">LOOKUP($W643,Lists!$I$2:$I$7,Lists!$J$2:$J$7)</f>
        <v>4 - 6 days</v>
      </c>
    </row>
    <row r="644" customFormat="false" ht="15" hidden="false" customHeight="false" outlineLevel="0" collapsed="false">
      <c r="A644" s="7" t="n">
        <v>643</v>
      </c>
      <c r="B644" s="7" t="s">
        <v>291</v>
      </c>
      <c r="C644" s="7" t="n">
        <v>35</v>
      </c>
      <c r="D644" s="7" t="n">
        <v>2</v>
      </c>
      <c r="E644" s="77" t="n">
        <v>44983</v>
      </c>
      <c r="F644" s="78" t="n">
        <v>0.548888888888889</v>
      </c>
      <c r="G644" s="77" t="n">
        <v>44991</v>
      </c>
      <c r="H644" s="78" t="n">
        <v>0.850115740740741</v>
      </c>
      <c r="I644" s="7" t="s">
        <v>480</v>
      </c>
      <c r="J644" s="7" t="s">
        <v>33</v>
      </c>
      <c r="K644" s="79" t="str">
        <f aca="false">INDEX(Products!$B$2:$B$71,MATCH($C644,Products!$A$2:$A$71,0))</f>
        <v>Nam Gift</v>
      </c>
      <c r="L644" s="79" t="str">
        <f aca="false">INDEX(Products!$C$2:$C$71,MATCH($C644,Products!$A$2:$A$71,0))</f>
        <v>Colors</v>
      </c>
      <c r="M644" s="80" t="n">
        <f aca="false">INDEX(Products!$D$2:$D$71,MATCH($C644,Products!$A$2:$A$71,0))</f>
        <v>1865</v>
      </c>
      <c r="N644" s="80" t="n">
        <f aca="false">$D644*$M644</f>
        <v>3730</v>
      </c>
      <c r="O644" s="79" t="str">
        <f aca="false">INDEX(Customers!$C$2:$C$101,MATCH($B644,Customers!$A$2:$A$101,0))</f>
        <v>Jamnagar</v>
      </c>
      <c r="P644" s="79" t="str">
        <f aca="false">INDEX(Customers!$F$2:$F$101,MATCH($B644,Customers!$A$2:$A$101,0))</f>
        <v>Male</v>
      </c>
      <c r="Q644" s="79" t="str">
        <f aca="false">INDEX(Customers!$B$2:$B$101,MATCH($B644,Customers!$A$2:$A$101,0))</f>
        <v>Arhaan Ahluwalia</v>
      </c>
      <c r="R644" s="79" t="n">
        <f aca="false">MONTH($E644)</f>
        <v>2</v>
      </c>
      <c r="S644" s="79" t="str">
        <f aca="false">INDEX(Lists!$B$2:$B$13,$R644)</f>
        <v>February</v>
      </c>
      <c r="T644" s="79" t="n">
        <f aca="false">HOUR($F644)</f>
        <v>13</v>
      </c>
      <c r="U644" s="79" t="n">
        <f aca="false">WEEKDAY($E644,2)</f>
        <v>7</v>
      </c>
      <c r="V644" s="79" t="str">
        <f aca="false">INDEX(Lists!$F$2:$F$8,$U644)</f>
        <v>Sunday</v>
      </c>
      <c r="W644" s="81" t="n">
        <f aca="false">($G644+$H644)-($E644+$F644)</f>
        <v>8.30122685185185</v>
      </c>
      <c r="X644" s="79" t="str">
        <f aca="false">LOOKUP($M644,Lists!$G$2:$G$5,Lists!$H$2:$H$5)</f>
        <v>₹1,500 - 2,000</v>
      </c>
      <c r="Y644" s="79" t="str">
        <f aca="false">LOOKUP($W644,Lists!$I$2:$I$7,Lists!$J$2:$J$7)</f>
        <v>8 - 10 days</v>
      </c>
    </row>
    <row r="645" customFormat="false" ht="15" hidden="false" customHeight="false" outlineLevel="0" collapsed="false">
      <c r="A645" s="2" t="n">
        <v>644</v>
      </c>
      <c r="B645" s="2" t="s">
        <v>254</v>
      </c>
      <c r="C645" s="2" t="n">
        <v>67</v>
      </c>
      <c r="D645" s="2" t="n">
        <v>1</v>
      </c>
      <c r="E645" s="82" t="n">
        <v>45170</v>
      </c>
      <c r="F645" s="83" t="n">
        <v>0.62125</v>
      </c>
      <c r="G645" s="82" t="n">
        <v>45180</v>
      </c>
      <c r="H645" s="83" t="n">
        <v>0.473125</v>
      </c>
      <c r="I645" s="2" t="s">
        <v>523</v>
      </c>
      <c r="J645" s="2" t="s">
        <v>168</v>
      </c>
      <c r="K645" s="46" t="str">
        <f aca="false">INDEX(Products!$B$2:$B$71,MATCH($C645,Products!$A$2:$A$71,0))</f>
        <v>Maiores Box</v>
      </c>
      <c r="L645" s="46" t="str">
        <f aca="false">INDEX(Products!$C$2:$C$71,MATCH($C645,Products!$A$2:$A$71,0))</f>
        <v>Raksha Bandhan</v>
      </c>
      <c r="M645" s="84" t="n">
        <f aca="false">INDEX(Products!$D$2:$D$71,MATCH($C645,Products!$A$2:$A$71,0))</f>
        <v>1374</v>
      </c>
      <c r="N645" s="84" t="n">
        <f aca="false">$D645*$M645</f>
        <v>1374</v>
      </c>
      <c r="O645" s="46" t="str">
        <f aca="false">INDEX(Customers!$C$2:$C$101,MATCH($B645,Customers!$A$2:$A$101,0))</f>
        <v>Imphal</v>
      </c>
      <c r="P645" s="46" t="str">
        <f aca="false">INDEX(Customers!$F$2:$F$101,MATCH($B645,Customers!$A$2:$A$101,0))</f>
        <v>Female</v>
      </c>
      <c r="Q645" s="46" t="str">
        <f aca="false">INDEX(Customers!$B$2:$B$101,MATCH($B645,Customers!$A$2:$A$101,0))</f>
        <v>Chirag Srinivas</v>
      </c>
      <c r="R645" s="46" t="n">
        <f aca="false">MONTH($E645)</f>
        <v>9</v>
      </c>
      <c r="S645" s="46" t="str">
        <f aca="false">INDEX(Lists!$B$2:$B$13,$R645)</f>
        <v>September</v>
      </c>
      <c r="T645" s="46" t="n">
        <f aca="false">HOUR($F645)</f>
        <v>14</v>
      </c>
      <c r="U645" s="46" t="n">
        <f aca="false">WEEKDAY($E645,2)</f>
        <v>5</v>
      </c>
      <c r="V645" s="46" t="str">
        <f aca="false">INDEX(Lists!$F$2:$F$8,$U645)</f>
        <v>Friday</v>
      </c>
      <c r="W645" s="85" t="n">
        <f aca="false">($G645+$H645)-($E645+$F645)</f>
        <v>9.851875</v>
      </c>
      <c r="X645" s="46" t="str">
        <f aca="false">LOOKUP($M645,Lists!$G$2:$G$5,Lists!$H$2:$H$5)</f>
        <v>₹1,000 - 1,499</v>
      </c>
      <c r="Y645" s="46" t="str">
        <f aca="false">LOOKUP($W645,Lists!$I$2:$I$7,Lists!$J$2:$J$7)</f>
        <v>8 - 10 days</v>
      </c>
    </row>
    <row r="646" customFormat="false" ht="15" hidden="false" customHeight="false" outlineLevel="0" collapsed="false">
      <c r="A646" s="7" t="n">
        <v>645</v>
      </c>
      <c r="B646" s="7" t="s">
        <v>204</v>
      </c>
      <c r="C646" s="7" t="n">
        <v>50</v>
      </c>
      <c r="D646" s="7" t="n">
        <v>3</v>
      </c>
      <c r="E646" s="77" t="n">
        <v>44984</v>
      </c>
      <c r="F646" s="78" t="n">
        <v>0.0740625</v>
      </c>
      <c r="G646" s="77" t="n">
        <v>44985</v>
      </c>
      <c r="H646" s="78" t="n">
        <v>0.0883217592592593</v>
      </c>
      <c r="I646" s="7" t="s">
        <v>318</v>
      </c>
      <c r="J646" s="7" t="s">
        <v>33</v>
      </c>
      <c r="K646" s="79" t="str">
        <f aca="false">INDEX(Products!$B$2:$B$71,MATCH($C646,Products!$A$2:$A$71,0))</f>
        <v>Eligendi Set</v>
      </c>
      <c r="L646" s="79" t="str">
        <f aca="false">INDEX(Products!$C$2:$C$71,MATCH($C646,Products!$A$2:$A$71,0))</f>
        <v>Plants</v>
      </c>
      <c r="M646" s="80" t="n">
        <f aca="false">INDEX(Products!$D$2:$D$71,MATCH($C646,Products!$A$2:$A$71,0))</f>
        <v>422</v>
      </c>
      <c r="N646" s="80" t="n">
        <f aca="false">$D646*$M646</f>
        <v>1266</v>
      </c>
      <c r="O646" s="79" t="str">
        <f aca="false">INDEX(Customers!$C$2:$C$101,MATCH($B646,Customers!$A$2:$A$101,0))</f>
        <v>Indore</v>
      </c>
      <c r="P646" s="79" t="str">
        <f aca="false">INDEX(Customers!$F$2:$F$101,MATCH($B646,Customers!$A$2:$A$101,0))</f>
        <v>Female</v>
      </c>
      <c r="Q646" s="79" t="str">
        <f aca="false">INDEX(Customers!$B$2:$B$101,MATCH($B646,Customers!$A$2:$A$101,0))</f>
        <v>Suhana Kurian</v>
      </c>
      <c r="R646" s="79" t="n">
        <f aca="false">MONTH($E646)</f>
        <v>2</v>
      </c>
      <c r="S646" s="79" t="str">
        <f aca="false">INDEX(Lists!$B$2:$B$13,$R646)</f>
        <v>February</v>
      </c>
      <c r="T646" s="79" t="n">
        <f aca="false">HOUR($F646)</f>
        <v>1</v>
      </c>
      <c r="U646" s="79" t="n">
        <f aca="false">WEEKDAY($E646,2)</f>
        <v>1</v>
      </c>
      <c r="V646" s="79" t="str">
        <f aca="false">INDEX(Lists!$F$2:$F$8,$U646)</f>
        <v>Monday</v>
      </c>
      <c r="W646" s="81" t="n">
        <f aca="false">($G646+$H646)-($E646+$F646)</f>
        <v>1.01425925925926</v>
      </c>
      <c r="X646" s="79" t="str">
        <f aca="false">LOOKUP($M646,Lists!$G$2:$G$5,Lists!$H$2:$H$5)</f>
        <v>₹0 - 499</v>
      </c>
      <c r="Y646" s="79" t="str">
        <f aca="false">LOOKUP($W646,Lists!$I$2:$I$7,Lists!$J$2:$J$7)</f>
        <v>0 - 2 days</v>
      </c>
    </row>
    <row r="647" customFormat="false" ht="15" hidden="false" customHeight="false" outlineLevel="0" collapsed="false">
      <c r="A647" s="2" t="n">
        <v>646</v>
      </c>
      <c r="B647" s="2" t="s">
        <v>164</v>
      </c>
      <c r="C647" s="2" t="n">
        <v>38</v>
      </c>
      <c r="D647" s="2" t="n">
        <v>5</v>
      </c>
      <c r="E647" s="82" t="n">
        <v>45059</v>
      </c>
      <c r="F647" s="83" t="n">
        <v>0.687615740740741</v>
      </c>
      <c r="G647" s="82" t="n">
        <v>45069</v>
      </c>
      <c r="H647" s="83" t="n">
        <v>0.386782407407407</v>
      </c>
      <c r="I647" s="2" t="s">
        <v>493</v>
      </c>
      <c r="J647" s="2" t="s">
        <v>31</v>
      </c>
      <c r="K647" s="46" t="str">
        <f aca="false">INDEX(Products!$B$2:$B$71,MATCH($C647,Products!$A$2:$A$71,0))</f>
        <v>Mollitia Set</v>
      </c>
      <c r="L647" s="46" t="str">
        <f aca="false">INDEX(Products!$C$2:$C$71,MATCH($C647,Products!$A$2:$A$71,0))</f>
        <v>Cake</v>
      </c>
      <c r="M647" s="84" t="n">
        <f aca="false">INDEX(Products!$D$2:$D$71,MATCH($C647,Products!$A$2:$A$71,0))</f>
        <v>562</v>
      </c>
      <c r="N647" s="84" t="n">
        <f aca="false">$D647*$M647</f>
        <v>2810</v>
      </c>
      <c r="O647" s="46" t="str">
        <f aca="false">INDEX(Customers!$C$2:$C$101,MATCH($B647,Customers!$A$2:$A$101,0))</f>
        <v>Kolkata</v>
      </c>
      <c r="P647" s="46" t="str">
        <f aca="false">INDEX(Customers!$F$2:$F$101,MATCH($B647,Customers!$A$2:$A$101,0))</f>
        <v>Female</v>
      </c>
      <c r="Q647" s="46" t="str">
        <f aca="false">INDEX(Customers!$B$2:$B$101,MATCH($B647,Customers!$A$2:$A$101,0))</f>
        <v>Romil Bajwa</v>
      </c>
      <c r="R647" s="46" t="n">
        <f aca="false">MONTH($E647)</f>
        <v>5</v>
      </c>
      <c r="S647" s="46" t="str">
        <f aca="false">INDEX(Lists!$B$2:$B$13,$R647)</f>
        <v>May</v>
      </c>
      <c r="T647" s="46" t="n">
        <f aca="false">HOUR($F647)</f>
        <v>16</v>
      </c>
      <c r="U647" s="46" t="n">
        <f aca="false">WEEKDAY($E647,2)</f>
        <v>6</v>
      </c>
      <c r="V647" s="46" t="str">
        <f aca="false">INDEX(Lists!$F$2:$F$8,$U647)</f>
        <v>Saturday</v>
      </c>
      <c r="W647" s="85" t="n">
        <f aca="false">($G647+$H647)-($E647+$F647)</f>
        <v>9.69916666666667</v>
      </c>
      <c r="X647" s="46" t="str">
        <f aca="false">LOOKUP($M647,Lists!$G$2:$G$5,Lists!$H$2:$H$5)</f>
        <v>₹500 - 999</v>
      </c>
      <c r="Y647" s="46" t="str">
        <f aca="false">LOOKUP($W647,Lists!$I$2:$I$7,Lists!$J$2:$J$7)</f>
        <v>8 - 10 days</v>
      </c>
    </row>
    <row r="648" customFormat="false" ht="15" hidden="false" customHeight="false" outlineLevel="0" collapsed="false">
      <c r="A648" s="7" t="n">
        <v>647</v>
      </c>
      <c r="B648" s="7" t="s">
        <v>309</v>
      </c>
      <c r="C648" s="7" t="n">
        <v>21</v>
      </c>
      <c r="D648" s="7" t="n">
        <v>5</v>
      </c>
      <c r="E648" s="77" t="n">
        <v>45163</v>
      </c>
      <c r="F648" s="78" t="n">
        <v>0.708622685185185</v>
      </c>
      <c r="G648" s="77" t="n">
        <v>45164</v>
      </c>
      <c r="H648" s="78" t="n">
        <v>0.0618518518518519</v>
      </c>
      <c r="I648" s="7" t="s">
        <v>180</v>
      </c>
      <c r="J648" s="7" t="s">
        <v>40</v>
      </c>
      <c r="K648" s="79" t="str">
        <f aca="false">INDEX(Products!$B$2:$B$71,MATCH($C648,Products!$A$2:$A$71,0))</f>
        <v>Quia Gift</v>
      </c>
      <c r="L648" s="79" t="str">
        <f aca="false">INDEX(Products!$C$2:$C$71,MATCH($C648,Products!$A$2:$A$71,0))</f>
        <v>Colors</v>
      </c>
      <c r="M648" s="80" t="n">
        <f aca="false">INDEX(Products!$D$2:$D$71,MATCH($C648,Products!$A$2:$A$71,0))</f>
        <v>1561</v>
      </c>
      <c r="N648" s="80" t="n">
        <f aca="false">$D648*$M648</f>
        <v>7805</v>
      </c>
      <c r="O648" s="79" t="str">
        <f aca="false">INDEX(Customers!$C$2:$C$101,MATCH($B648,Customers!$A$2:$A$101,0))</f>
        <v>Madhyamgram</v>
      </c>
      <c r="P648" s="79" t="str">
        <f aca="false">INDEX(Customers!$F$2:$F$101,MATCH($B648,Customers!$A$2:$A$101,0))</f>
        <v>Female</v>
      </c>
      <c r="Q648" s="79" t="str">
        <f aca="false">INDEX(Customers!$B$2:$B$101,MATCH($B648,Customers!$A$2:$A$101,0))</f>
        <v>Hunar Tripathi</v>
      </c>
      <c r="R648" s="79" t="n">
        <f aca="false">MONTH($E648)</f>
        <v>8</v>
      </c>
      <c r="S648" s="79" t="str">
        <f aca="false">INDEX(Lists!$B$2:$B$13,$R648)</f>
        <v>August</v>
      </c>
      <c r="T648" s="79" t="n">
        <f aca="false">HOUR($F648)</f>
        <v>17</v>
      </c>
      <c r="U648" s="79" t="n">
        <f aca="false">WEEKDAY($E648,2)</f>
        <v>5</v>
      </c>
      <c r="V648" s="79" t="str">
        <f aca="false">INDEX(Lists!$F$2:$F$8,$U648)</f>
        <v>Friday</v>
      </c>
      <c r="W648" s="81" t="n">
        <f aca="false">($G648+$H648)-($E648+$F648)</f>
        <v>0.353229166666667</v>
      </c>
      <c r="X648" s="79" t="str">
        <f aca="false">LOOKUP($M648,Lists!$G$2:$G$5,Lists!$H$2:$H$5)</f>
        <v>₹1,500 - 2,000</v>
      </c>
      <c r="Y648" s="79" t="str">
        <f aca="false">LOOKUP($W648,Lists!$I$2:$I$7,Lists!$J$2:$J$7)</f>
        <v>0 - 2 days</v>
      </c>
    </row>
    <row r="649" customFormat="false" ht="15" hidden="false" customHeight="false" outlineLevel="0" collapsed="false">
      <c r="A649" s="2" t="n">
        <v>648</v>
      </c>
      <c r="B649" s="2" t="s">
        <v>224</v>
      </c>
      <c r="C649" s="2" t="n">
        <v>41</v>
      </c>
      <c r="D649" s="2" t="n">
        <v>3</v>
      </c>
      <c r="E649" s="82" t="n">
        <v>45235</v>
      </c>
      <c r="F649" s="83" t="n">
        <v>0.796018518518519</v>
      </c>
      <c r="G649" s="82" t="n">
        <v>45239</v>
      </c>
      <c r="H649" s="83" t="n">
        <v>0.350694444444444</v>
      </c>
      <c r="I649" s="2" t="s">
        <v>312</v>
      </c>
      <c r="J649" s="2" t="s">
        <v>32</v>
      </c>
      <c r="K649" s="46" t="str">
        <f aca="false">INDEX(Products!$B$2:$B$71,MATCH($C649,Products!$A$2:$A$71,0))</f>
        <v>Aut Box</v>
      </c>
      <c r="L649" s="46" t="str">
        <f aca="false">INDEX(Products!$C$2:$C$71,MATCH($C649,Products!$A$2:$A$71,0))</f>
        <v>Sweets</v>
      </c>
      <c r="M649" s="84" t="n">
        <f aca="false">INDEX(Products!$D$2:$D$71,MATCH($C649,Products!$A$2:$A$71,0))</f>
        <v>1977</v>
      </c>
      <c r="N649" s="84" t="n">
        <f aca="false">$D649*$M649</f>
        <v>5931</v>
      </c>
      <c r="O649" s="46" t="str">
        <f aca="false">INDEX(Customers!$C$2:$C$101,MATCH($B649,Customers!$A$2:$A$101,0))</f>
        <v>Pallavaram</v>
      </c>
      <c r="P649" s="46" t="str">
        <f aca="false">INDEX(Customers!$F$2:$F$101,MATCH($B649,Customers!$A$2:$A$101,0))</f>
        <v>Female</v>
      </c>
      <c r="Q649" s="46" t="str">
        <f aca="false">INDEX(Customers!$B$2:$B$101,MATCH($B649,Customers!$A$2:$A$101,0))</f>
        <v>Hazel Mangat</v>
      </c>
      <c r="R649" s="46" t="n">
        <f aca="false">MONTH($E649)</f>
        <v>11</v>
      </c>
      <c r="S649" s="46" t="str">
        <f aca="false">INDEX(Lists!$B$2:$B$13,$R649)</f>
        <v>November</v>
      </c>
      <c r="T649" s="46" t="n">
        <f aca="false">HOUR($F649)</f>
        <v>19</v>
      </c>
      <c r="U649" s="46" t="n">
        <f aca="false">WEEKDAY($E649,2)</f>
        <v>7</v>
      </c>
      <c r="V649" s="46" t="str">
        <f aca="false">INDEX(Lists!$F$2:$F$8,$U649)</f>
        <v>Sunday</v>
      </c>
      <c r="W649" s="85" t="n">
        <f aca="false">($G649+$H649)-($E649+$F649)</f>
        <v>3.55467592592593</v>
      </c>
      <c r="X649" s="46" t="str">
        <f aca="false">LOOKUP($M649,Lists!$G$2:$G$5,Lists!$H$2:$H$5)</f>
        <v>₹1,500 - 2,000</v>
      </c>
      <c r="Y649" s="46" t="str">
        <f aca="false">LOOKUP($W649,Lists!$I$2:$I$7,Lists!$J$2:$J$7)</f>
        <v>2 - 4 days</v>
      </c>
    </row>
    <row r="650" customFormat="false" ht="15" hidden="false" customHeight="false" outlineLevel="0" collapsed="false">
      <c r="A650" s="7" t="n">
        <v>649</v>
      </c>
      <c r="B650" s="7" t="s">
        <v>263</v>
      </c>
      <c r="C650" s="7" t="n">
        <v>43</v>
      </c>
      <c r="D650" s="7" t="n">
        <v>3</v>
      </c>
      <c r="E650" s="77" t="n">
        <v>45232</v>
      </c>
      <c r="F650" s="78" t="n">
        <v>0.128946759259259</v>
      </c>
      <c r="G650" s="77" t="n">
        <v>45241</v>
      </c>
      <c r="H650" s="78" t="n">
        <v>0.371701388888889</v>
      </c>
      <c r="I650" s="7" t="s">
        <v>502</v>
      </c>
      <c r="J650" s="7" t="s">
        <v>32</v>
      </c>
      <c r="K650" s="79" t="str">
        <f aca="false">INDEX(Products!$B$2:$B$71,MATCH($C650,Products!$A$2:$A$71,0))</f>
        <v>Quisquam Pack</v>
      </c>
      <c r="L650" s="79" t="str">
        <f aca="false">INDEX(Products!$C$2:$C$71,MATCH($C650,Products!$A$2:$A$71,0))</f>
        <v>Raksha Bandhan</v>
      </c>
      <c r="M650" s="80" t="n">
        <f aca="false">INDEX(Products!$D$2:$D$71,MATCH($C650,Products!$A$2:$A$71,0))</f>
        <v>750</v>
      </c>
      <c r="N650" s="80" t="n">
        <f aca="false">$D650*$M650</f>
        <v>2250</v>
      </c>
      <c r="O650" s="79" t="str">
        <f aca="false">INDEX(Customers!$C$2:$C$101,MATCH($B650,Customers!$A$2:$A$101,0))</f>
        <v>Bharatpur</v>
      </c>
      <c r="P650" s="79" t="str">
        <f aca="false">INDEX(Customers!$F$2:$F$101,MATCH($B650,Customers!$A$2:$A$101,0))</f>
        <v>Female</v>
      </c>
      <c r="Q650" s="79" t="str">
        <f aca="false">INDEX(Customers!$B$2:$B$101,MATCH($B650,Customers!$A$2:$A$101,0))</f>
        <v>Kismat Kapadia</v>
      </c>
      <c r="R650" s="79" t="n">
        <f aca="false">MONTH($E650)</f>
        <v>11</v>
      </c>
      <c r="S650" s="79" t="str">
        <f aca="false">INDEX(Lists!$B$2:$B$13,$R650)</f>
        <v>November</v>
      </c>
      <c r="T650" s="79" t="n">
        <f aca="false">HOUR($F650)</f>
        <v>3</v>
      </c>
      <c r="U650" s="79" t="n">
        <f aca="false">WEEKDAY($E650,2)</f>
        <v>4</v>
      </c>
      <c r="V650" s="79" t="str">
        <f aca="false">INDEX(Lists!$F$2:$F$8,$U650)</f>
        <v>Thursday</v>
      </c>
      <c r="W650" s="81" t="n">
        <f aca="false">($G650+$H650)-($E650+$F650)</f>
        <v>9.24275462962963</v>
      </c>
      <c r="X650" s="79" t="str">
        <f aca="false">LOOKUP($M650,Lists!$G$2:$G$5,Lists!$H$2:$H$5)</f>
        <v>₹500 - 999</v>
      </c>
      <c r="Y650" s="79" t="str">
        <f aca="false">LOOKUP($W650,Lists!$I$2:$I$7,Lists!$J$2:$J$7)</f>
        <v>8 - 10 days</v>
      </c>
    </row>
    <row r="651" customFormat="false" ht="15" hidden="false" customHeight="false" outlineLevel="0" collapsed="false">
      <c r="A651" s="2" t="n">
        <v>650</v>
      </c>
      <c r="B651" s="2" t="s">
        <v>331</v>
      </c>
      <c r="C651" s="2" t="n">
        <v>32</v>
      </c>
      <c r="D651" s="2" t="n">
        <v>3</v>
      </c>
      <c r="E651" s="82" t="n">
        <v>44980</v>
      </c>
      <c r="F651" s="83" t="n">
        <v>0.0796643518518519</v>
      </c>
      <c r="G651" s="82" t="n">
        <v>44987</v>
      </c>
      <c r="H651" s="83" t="n">
        <v>0.131666666666667</v>
      </c>
      <c r="I651" s="2" t="s">
        <v>401</v>
      </c>
      <c r="J651" s="2" t="s">
        <v>31</v>
      </c>
      <c r="K651" s="46" t="str">
        <f aca="false">INDEX(Products!$B$2:$B$71,MATCH($C651,Products!$A$2:$A$71,0))</f>
        <v>Fuga Set</v>
      </c>
      <c r="L651" s="46" t="str">
        <f aca="false">INDEX(Products!$C$2:$C$71,MATCH($C651,Products!$A$2:$A$71,0))</f>
        <v>Soft Toys</v>
      </c>
      <c r="M651" s="84" t="n">
        <f aca="false">INDEX(Products!$D$2:$D$71,MATCH($C651,Products!$A$2:$A$71,0))</f>
        <v>1792</v>
      </c>
      <c r="N651" s="84" t="n">
        <f aca="false">$D651*$M651</f>
        <v>5376</v>
      </c>
      <c r="O651" s="46" t="str">
        <f aca="false">INDEX(Customers!$C$2:$C$101,MATCH($B651,Customers!$A$2:$A$101,0))</f>
        <v>Panchkula</v>
      </c>
      <c r="P651" s="46" t="str">
        <f aca="false">INDEX(Customers!$F$2:$F$101,MATCH($B651,Customers!$A$2:$A$101,0))</f>
        <v>Female</v>
      </c>
      <c r="Q651" s="46" t="str">
        <f aca="false">INDEX(Customers!$B$2:$B$101,MATCH($B651,Customers!$A$2:$A$101,0))</f>
        <v>Gokul Ahluwalia</v>
      </c>
      <c r="R651" s="46" t="n">
        <f aca="false">MONTH($E651)</f>
        <v>2</v>
      </c>
      <c r="S651" s="46" t="str">
        <f aca="false">INDEX(Lists!$B$2:$B$13,$R651)</f>
        <v>February</v>
      </c>
      <c r="T651" s="46" t="n">
        <f aca="false">HOUR($F651)</f>
        <v>1</v>
      </c>
      <c r="U651" s="46" t="n">
        <f aca="false">WEEKDAY($E651,2)</f>
        <v>4</v>
      </c>
      <c r="V651" s="46" t="str">
        <f aca="false">INDEX(Lists!$F$2:$F$8,$U651)</f>
        <v>Thursday</v>
      </c>
      <c r="W651" s="85" t="n">
        <f aca="false">($G651+$H651)-($E651+$F651)</f>
        <v>7.05200231481482</v>
      </c>
      <c r="X651" s="46" t="str">
        <f aca="false">LOOKUP($M651,Lists!$G$2:$G$5,Lists!$H$2:$H$5)</f>
        <v>₹1,500 - 2,000</v>
      </c>
      <c r="Y651" s="46" t="str">
        <f aca="false">LOOKUP($W651,Lists!$I$2:$I$7,Lists!$J$2:$J$7)</f>
        <v>6 - 8 days</v>
      </c>
    </row>
    <row r="652" customFormat="false" ht="15" hidden="false" customHeight="false" outlineLevel="0" collapsed="false">
      <c r="A652" s="7" t="n">
        <v>651</v>
      </c>
      <c r="B652" s="7" t="s">
        <v>170</v>
      </c>
      <c r="C652" s="7" t="n">
        <v>11</v>
      </c>
      <c r="D652" s="7" t="n">
        <v>4</v>
      </c>
      <c r="E652" s="77" t="n">
        <v>44970</v>
      </c>
      <c r="F652" s="78" t="n">
        <v>0.0947685185185185</v>
      </c>
      <c r="G652" s="77" t="n">
        <v>44976</v>
      </c>
      <c r="H652" s="78" t="n">
        <v>0.497152777777778</v>
      </c>
      <c r="I652" s="7" t="s">
        <v>520</v>
      </c>
      <c r="J652" s="7" t="s">
        <v>179</v>
      </c>
      <c r="K652" s="79" t="str">
        <f aca="false">INDEX(Products!$B$2:$B$71,MATCH($C652,Products!$A$2:$A$71,0))</f>
        <v>Maxime Set</v>
      </c>
      <c r="L652" s="79" t="str">
        <f aca="false">INDEX(Products!$C$2:$C$71,MATCH($C652,Products!$A$2:$A$71,0))</f>
        <v>Mugs</v>
      </c>
      <c r="M652" s="80" t="n">
        <f aca="false">INDEX(Products!$D$2:$D$71,MATCH($C652,Products!$A$2:$A$71,0))</f>
        <v>1096</v>
      </c>
      <c r="N652" s="80" t="n">
        <f aca="false">$D652*$M652</f>
        <v>4384</v>
      </c>
      <c r="O652" s="79" t="str">
        <f aca="false">INDEX(Customers!$C$2:$C$101,MATCH($B652,Customers!$A$2:$A$101,0))</f>
        <v>Gangtok</v>
      </c>
      <c r="P652" s="79" t="str">
        <f aca="false">INDEX(Customers!$F$2:$F$101,MATCH($B652,Customers!$A$2:$A$101,0))</f>
        <v>Male</v>
      </c>
      <c r="Q652" s="79" t="str">
        <f aca="false">INDEX(Customers!$B$2:$B$101,MATCH($B652,Customers!$A$2:$A$101,0))</f>
        <v>Advika Dhar</v>
      </c>
      <c r="R652" s="79" t="n">
        <f aca="false">MONTH($E652)</f>
        <v>2</v>
      </c>
      <c r="S652" s="79" t="str">
        <f aca="false">INDEX(Lists!$B$2:$B$13,$R652)</f>
        <v>February</v>
      </c>
      <c r="T652" s="79" t="n">
        <f aca="false">HOUR($F652)</f>
        <v>2</v>
      </c>
      <c r="U652" s="79" t="n">
        <f aca="false">WEEKDAY($E652,2)</f>
        <v>1</v>
      </c>
      <c r="V652" s="79" t="str">
        <f aca="false">INDEX(Lists!$F$2:$F$8,$U652)</f>
        <v>Monday</v>
      </c>
      <c r="W652" s="81" t="n">
        <f aca="false">($G652+$H652)-($E652+$F652)</f>
        <v>6.40238425925926</v>
      </c>
      <c r="X652" s="79" t="str">
        <f aca="false">LOOKUP($M652,Lists!$G$2:$G$5,Lists!$H$2:$H$5)</f>
        <v>₹1,000 - 1,499</v>
      </c>
      <c r="Y652" s="79" t="str">
        <f aca="false">LOOKUP($W652,Lists!$I$2:$I$7,Lists!$J$2:$J$7)</f>
        <v>6 - 8 days</v>
      </c>
    </row>
    <row r="653" customFormat="false" ht="15" hidden="false" customHeight="false" outlineLevel="0" collapsed="false">
      <c r="A653" s="2" t="n">
        <v>652</v>
      </c>
      <c r="B653" s="2" t="s">
        <v>202</v>
      </c>
      <c r="C653" s="2" t="n">
        <v>21</v>
      </c>
      <c r="D653" s="2" t="n">
        <v>2</v>
      </c>
      <c r="E653" s="82" t="n">
        <v>45166</v>
      </c>
      <c r="F653" s="83" t="n">
        <v>0.820243055555556</v>
      </c>
      <c r="G653" s="82" t="n">
        <v>45172</v>
      </c>
      <c r="H653" s="83" t="n">
        <v>0.00105324074074074</v>
      </c>
      <c r="I653" s="2" t="s">
        <v>526</v>
      </c>
      <c r="J653" s="2" t="s">
        <v>40</v>
      </c>
      <c r="K653" s="46" t="str">
        <f aca="false">INDEX(Products!$B$2:$B$71,MATCH($C653,Products!$A$2:$A$71,0))</f>
        <v>Quia Gift</v>
      </c>
      <c r="L653" s="46" t="str">
        <f aca="false">INDEX(Products!$C$2:$C$71,MATCH($C653,Products!$A$2:$A$71,0))</f>
        <v>Colors</v>
      </c>
      <c r="M653" s="84" t="n">
        <f aca="false">INDEX(Products!$D$2:$D$71,MATCH($C653,Products!$A$2:$A$71,0))</f>
        <v>1561</v>
      </c>
      <c r="N653" s="84" t="n">
        <f aca="false">$D653*$M653</f>
        <v>3122</v>
      </c>
      <c r="O653" s="46" t="str">
        <f aca="false">INDEX(Customers!$C$2:$C$101,MATCH($B653,Customers!$A$2:$A$101,0))</f>
        <v>Surat</v>
      </c>
      <c r="P653" s="46" t="str">
        <f aca="false">INDEX(Customers!$F$2:$F$101,MATCH($B653,Customers!$A$2:$A$101,0))</f>
        <v>Male</v>
      </c>
      <c r="Q653" s="46" t="str">
        <f aca="false">INDEX(Customers!$B$2:$B$101,MATCH($B653,Customers!$A$2:$A$101,0))</f>
        <v>Mannat Anand</v>
      </c>
      <c r="R653" s="46" t="n">
        <f aca="false">MONTH($E653)</f>
        <v>8</v>
      </c>
      <c r="S653" s="46" t="str">
        <f aca="false">INDEX(Lists!$B$2:$B$13,$R653)</f>
        <v>August</v>
      </c>
      <c r="T653" s="46" t="n">
        <f aca="false">HOUR($F653)</f>
        <v>19</v>
      </c>
      <c r="U653" s="46" t="n">
        <f aca="false">WEEKDAY($E653,2)</f>
        <v>1</v>
      </c>
      <c r="V653" s="46" t="str">
        <f aca="false">INDEX(Lists!$F$2:$F$8,$U653)</f>
        <v>Monday</v>
      </c>
      <c r="W653" s="85" t="n">
        <f aca="false">($G653+$H653)-($E653+$F653)</f>
        <v>5.18081018518519</v>
      </c>
      <c r="X653" s="46" t="str">
        <f aca="false">LOOKUP($M653,Lists!$G$2:$G$5,Lists!$H$2:$H$5)</f>
        <v>₹1,500 - 2,000</v>
      </c>
      <c r="Y653" s="46" t="str">
        <f aca="false">LOOKUP($W653,Lists!$I$2:$I$7,Lists!$J$2:$J$7)</f>
        <v>4 - 6 days</v>
      </c>
    </row>
    <row r="654" customFormat="false" ht="15" hidden="false" customHeight="false" outlineLevel="0" collapsed="false">
      <c r="A654" s="7" t="n">
        <v>653</v>
      </c>
      <c r="B654" s="7" t="s">
        <v>328</v>
      </c>
      <c r="C654" s="7" t="n">
        <v>17</v>
      </c>
      <c r="D654" s="7" t="n">
        <v>4</v>
      </c>
      <c r="E654" s="77" t="n">
        <v>45259</v>
      </c>
      <c r="F654" s="78" t="n">
        <v>0.568136574074074</v>
      </c>
      <c r="G654" s="77" t="n">
        <v>45261</v>
      </c>
      <c r="H654" s="78" t="n">
        <v>0.244571759259259</v>
      </c>
      <c r="I654" s="7" t="s">
        <v>244</v>
      </c>
      <c r="J654" s="7" t="s">
        <v>168</v>
      </c>
      <c r="K654" s="79" t="str">
        <f aca="false">INDEX(Products!$B$2:$B$71,MATCH($C654,Products!$A$2:$A$71,0))</f>
        <v>Delectus Gift</v>
      </c>
      <c r="L654" s="79" t="str">
        <f aca="false">INDEX(Products!$C$2:$C$71,MATCH($C654,Products!$A$2:$A$71,0))</f>
        <v>Soft Toys</v>
      </c>
      <c r="M654" s="80" t="n">
        <f aca="false">INDEX(Products!$D$2:$D$71,MATCH($C654,Products!$A$2:$A$71,0))</f>
        <v>1899</v>
      </c>
      <c r="N654" s="80" t="n">
        <f aca="false">$D654*$M654</f>
        <v>7596</v>
      </c>
      <c r="O654" s="79" t="str">
        <f aca="false">INDEX(Customers!$C$2:$C$101,MATCH($B654,Customers!$A$2:$A$101,0))</f>
        <v>Gaya</v>
      </c>
      <c r="P654" s="79" t="str">
        <f aca="false">INDEX(Customers!$F$2:$F$101,MATCH($B654,Customers!$A$2:$A$101,0))</f>
        <v>Female</v>
      </c>
      <c r="Q654" s="79" t="str">
        <f aca="false">INDEX(Customers!$B$2:$B$101,MATCH($B654,Customers!$A$2:$A$101,0))</f>
        <v>Oorja Dayal</v>
      </c>
      <c r="R654" s="79" t="n">
        <f aca="false">MONTH($E654)</f>
        <v>11</v>
      </c>
      <c r="S654" s="79" t="str">
        <f aca="false">INDEX(Lists!$B$2:$B$13,$R654)</f>
        <v>November</v>
      </c>
      <c r="T654" s="79" t="n">
        <f aca="false">HOUR($F654)</f>
        <v>13</v>
      </c>
      <c r="U654" s="79" t="n">
        <f aca="false">WEEKDAY($E654,2)</f>
        <v>3</v>
      </c>
      <c r="V654" s="79" t="str">
        <f aca="false">INDEX(Lists!$F$2:$F$8,$U654)</f>
        <v>Wednesday</v>
      </c>
      <c r="W654" s="81" t="n">
        <f aca="false">($G654+$H654)-($E654+$F654)</f>
        <v>1.67643518518519</v>
      </c>
      <c r="X654" s="79" t="str">
        <f aca="false">LOOKUP($M654,Lists!$G$2:$G$5,Lists!$H$2:$H$5)</f>
        <v>₹1,500 - 2,000</v>
      </c>
      <c r="Y654" s="79" t="str">
        <f aca="false">LOOKUP($W654,Lists!$I$2:$I$7,Lists!$J$2:$J$7)</f>
        <v>0 - 2 days</v>
      </c>
    </row>
    <row r="655" customFormat="false" ht="15" hidden="false" customHeight="false" outlineLevel="0" collapsed="false">
      <c r="A655" s="2" t="n">
        <v>654</v>
      </c>
      <c r="B655" s="2" t="s">
        <v>174</v>
      </c>
      <c r="C655" s="2" t="n">
        <v>64</v>
      </c>
      <c r="D655" s="2" t="n">
        <v>2</v>
      </c>
      <c r="E655" s="82" t="n">
        <v>45167</v>
      </c>
      <c r="F655" s="83" t="n">
        <v>0.203645833333333</v>
      </c>
      <c r="G655" s="82" t="n">
        <v>45171</v>
      </c>
      <c r="H655" s="83" t="n">
        <v>0.0286226851851852</v>
      </c>
      <c r="I655" s="2" t="s">
        <v>440</v>
      </c>
      <c r="J655" s="2" t="s">
        <v>40</v>
      </c>
      <c r="K655" s="46" t="str">
        <f aca="false">INDEX(Products!$B$2:$B$71,MATCH($C655,Products!$A$2:$A$71,0))</f>
        <v>Nostrum Box</v>
      </c>
      <c r="L655" s="46" t="str">
        <f aca="false">INDEX(Products!$C$2:$C$71,MATCH($C655,Products!$A$2:$A$71,0))</f>
        <v>Soft Toys</v>
      </c>
      <c r="M655" s="84" t="n">
        <f aca="false">INDEX(Products!$D$2:$D$71,MATCH($C655,Products!$A$2:$A$71,0))</f>
        <v>1878</v>
      </c>
      <c r="N655" s="84" t="n">
        <f aca="false">$D655*$M655</f>
        <v>3756</v>
      </c>
      <c r="O655" s="46" t="str">
        <f aca="false">INDEX(Customers!$C$2:$C$101,MATCH($B655,Customers!$A$2:$A$101,0))</f>
        <v>Danapur</v>
      </c>
      <c r="P655" s="46" t="str">
        <f aca="false">INDEX(Customers!$F$2:$F$101,MATCH($B655,Customers!$A$2:$A$101,0))</f>
        <v>Male</v>
      </c>
      <c r="Q655" s="46" t="str">
        <f aca="false">INDEX(Customers!$B$2:$B$101,MATCH($B655,Customers!$A$2:$A$101,0))</f>
        <v>Amira Sengupta</v>
      </c>
      <c r="R655" s="46" t="n">
        <f aca="false">MONTH($E655)</f>
        <v>8</v>
      </c>
      <c r="S655" s="46" t="str">
        <f aca="false">INDEX(Lists!$B$2:$B$13,$R655)</f>
        <v>August</v>
      </c>
      <c r="T655" s="46" t="n">
        <f aca="false">HOUR($F655)</f>
        <v>4</v>
      </c>
      <c r="U655" s="46" t="n">
        <f aca="false">WEEKDAY($E655,2)</f>
        <v>2</v>
      </c>
      <c r="V655" s="46" t="str">
        <f aca="false">INDEX(Lists!$F$2:$F$8,$U655)</f>
        <v>Tuesday</v>
      </c>
      <c r="W655" s="85" t="n">
        <f aca="false">($G655+$H655)-($E655+$F655)</f>
        <v>3.82497685185185</v>
      </c>
      <c r="X655" s="46" t="str">
        <f aca="false">LOOKUP($M655,Lists!$G$2:$G$5,Lists!$H$2:$H$5)</f>
        <v>₹1,500 - 2,000</v>
      </c>
      <c r="Y655" s="46" t="str">
        <f aca="false">LOOKUP($W655,Lists!$I$2:$I$7,Lists!$J$2:$J$7)</f>
        <v>2 - 4 days</v>
      </c>
    </row>
    <row r="656" customFormat="false" ht="15" hidden="false" customHeight="false" outlineLevel="0" collapsed="false">
      <c r="A656" s="7" t="n">
        <v>655</v>
      </c>
      <c r="B656" s="7" t="s">
        <v>164</v>
      </c>
      <c r="C656" s="7" t="n">
        <v>17</v>
      </c>
      <c r="D656" s="7" t="n">
        <v>1</v>
      </c>
      <c r="E656" s="77" t="n">
        <v>45238</v>
      </c>
      <c r="F656" s="78" t="n">
        <v>0.888240740740741</v>
      </c>
      <c r="G656" s="77" t="n">
        <v>45247</v>
      </c>
      <c r="H656" s="78" t="n">
        <v>0.790011574074074</v>
      </c>
      <c r="I656" s="7" t="s">
        <v>434</v>
      </c>
      <c r="J656" s="7" t="s">
        <v>168</v>
      </c>
      <c r="K656" s="79" t="str">
        <f aca="false">INDEX(Products!$B$2:$B$71,MATCH($C656,Products!$A$2:$A$71,0))</f>
        <v>Delectus Gift</v>
      </c>
      <c r="L656" s="79" t="str">
        <f aca="false">INDEX(Products!$C$2:$C$71,MATCH($C656,Products!$A$2:$A$71,0))</f>
        <v>Soft Toys</v>
      </c>
      <c r="M656" s="80" t="n">
        <f aca="false">INDEX(Products!$D$2:$D$71,MATCH($C656,Products!$A$2:$A$71,0))</f>
        <v>1899</v>
      </c>
      <c r="N656" s="80" t="n">
        <f aca="false">$D656*$M656</f>
        <v>1899</v>
      </c>
      <c r="O656" s="79" t="str">
        <f aca="false">INDEX(Customers!$C$2:$C$101,MATCH($B656,Customers!$A$2:$A$101,0))</f>
        <v>Kolkata</v>
      </c>
      <c r="P656" s="79" t="str">
        <f aca="false">INDEX(Customers!$F$2:$F$101,MATCH($B656,Customers!$A$2:$A$101,0))</f>
        <v>Female</v>
      </c>
      <c r="Q656" s="79" t="str">
        <f aca="false">INDEX(Customers!$B$2:$B$101,MATCH($B656,Customers!$A$2:$A$101,0))</f>
        <v>Romil Bajwa</v>
      </c>
      <c r="R656" s="79" t="n">
        <f aca="false">MONTH($E656)</f>
        <v>11</v>
      </c>
      <c r="S656" s="79" t="str">
        <f aca="false">INDEX(Lists!$B$2:$B$13,$R656)</f>
        <v>November</v>
      </c>
      <c r="T656" s="79" t="n">
        <f aca="false">HOUR($F656)</f>
        <v>21</v>
      </c>
      <c r="U656" s="79" t="n">
        <f aca="false">WEEKDAY($E656,2)</f>
        <v>3</v>
      </c>
      <c r="V656" s="79" t="str">
        <f aca="false">INDEX(Lists!$F$2:$F$8,$U656)</f>
        <v>Wednesday</v>
      </c>
      <c r="W656" s="81" t="n">
        <f aca="false">($G656+$H656)-($E656+$F656)</f>
        <v>8.90177083333333</v>
      </c>
      <c r="X656" s="79" t="str">
        <f aca="false">LOOKUP($M656,Lists!$G$2:$G$5,Lists!$H$2:$H$5)</f>
        <v>₹1,500 - 2,000</v>
      </c>
      <c r="Y656" s="79" t="str">
        <f aca="false">LOOKUP($W656,Lists!$I$2:$I$7,Lists!$J$2:$J$7)</f>
        <v>8 - 10 days</v>
      </c>
    </row>
    <row r="657" customFormat="false" ht="15" hidden="false" customHeight="false" outlineLevel="0" collapsed="false">
      <c r="A657" s="2" t="n">
        <v>656</v>
      </c>
      <c r="B657" s="2" t="s">
        <v>202</v>
      </c>
      <c r="C657" s="2" t="n">
        <v>68</v>
      </c>
      <c r="D657" s="2" t="n">
        <v>2</v>
      </c>
      <c r="E657" s="82" t="n">
        <v>44962</v>
      </c>
      <c r="F657" s="83" t="n">
        <v>0.774085648148148</v>
      </c>
      <c r="G657" s="82" t="n">
        <v>44963</v>
      </c>
      <c r="H657" s="83" t="n">
        <v>0.198611111111111</v>
      </c>
      <c r="I657" s="2" t="s">
        <v>330</v>
      </c>
      <c r="J657" s="2" t="s">
        <v>179</v>
      </c>
      <c r="K657" s="46" t="str">
        <f aca="false">INDEX(Products!$B$2:$B$71,MATCH($C657,Products!$A$2:$A$71,0))</f>
        <v>Quas Gift</v>
      </c>
      <c r="L657" s="46" t="str">
        <f aca="false">INDEX(Products!$C$2:$C$71,MATCH($C657,Products!$A$2:$A$71,0))</f>
        <v>Soft Toys</v>
      </c>
      <c r="M657" s="84" t="n">
        <f aca="false">INDEX(Products!$D$2:$D$71,MATCH($C657,Products!$A$2:$A$71,0))</f>
        <v>597</v>
      </c>
      <c r="N657" s="84" t="n">
        <f aca="false">$D657*$M657</f>
        <v>1194</v>
      </c>
      <c r="O657" s="46" t="str">
        <f aca="false">INDEX(Customers!$C$2:$C$101,MATCH($B657,Customers!$A$2:$A$101,0))</f>
        <v>Surat</v>
      </c>
      <c r="P657" s="46" t="str">
        <f aca="false">INDEX(Customers!$F$2:$F$101,MATCH($B657,Customers!$A$2:$A$101,0))</f>
        <v>Male</v>
      </c>
      <c r="Q657" s="46" t="str">
        <f aca="false">INDEX(Customers!$B$2:$B$101,MATCH($B657,Customers!$A$2:$A$101,0))</f>
        <v>Mannat Anand</v>
      </c>
      <c r="R657" s="46" t="n">
        <f aca="false">MONTH($E657)</f>
        <v>2</v>
      </c>
      <c r="S657" s="46" t="str">
        <f aca="false">INDEX(Lists!$B$2:$B$13,$R657)</f>
        <v>February</v>
      </c>
      <c r="T657" s="46" t="n">
        <f aca="false">HOUR($F657)</f>
        <v>18</v>
      </c>
      <c r="U657" s="46" t="n">
        <f aca="false">WEEKDAY($E657,2)</f>
        <v>7</v>
      </c>
      <c r="V657" s="46" t="str">
        <f aca="false">INDEX(Lists!$F$2:$F$8,$U657)</f>
        <v>Sunday</v>
      </c>
      <c r="W657" s="85" t="n">
        <f aca="false">($G657+$H657)-($E657+$F657)</f>
        <v>0.424525462962963</v>
      </c>
      <c r="X657" s="46" t="str">
        <f aca="false">LOOKUP($M657,Lists!$G$2:$G$5,Lists!$H$2:$H$5)</f>
        <v>₹500 - 999</v>
      </c>
      <c r="Y657" s="46" t="str">
        <f aca="false">LOOKUP($W657,Lists!$I$2:$I$7,Lists!$J$2:$J$7)</f>
        <v>0 - 2 days</v>
      </c>
    </row>
    <row r="658" customFormat="false" ht="15" hidden="false" customHeight="false" outlineLevel="0" collapsed="false">
      <c r="A658" s="7" t="n">
        <v>657</v>
      </c>
      <c r="B658" s="7" t="s">
        <v>269</v>
      </c>
      <c r="C658" s="7" t="n">
        <v>13</v>
      </c>
      <c r="D658" s="7" t="n">
        <v>3</v>
      </c>
      <c r="E658" s="77" t="n">
        <v>44988</v>
      </c>
      <c r="F658" s="78" t="n">
        <v>0.40130787037037</v>
      </c>
      <c r="G658" s="77" t="n">
        <v>44993</v>
      </c>
      <c r="H658" s="78" t="n">
        <v>0.617071759259259</v>
      </c>
      <c r="I658" s="7" t="s">
        <v>460</v>
      </c>
      <c r="J658" s="7" t="s">
        <v>33</v>
      </c>
      <c r="K658" s="79" t="str">
        <f aca="false">INDEX(Products!$B$2:$B$71,MATCH($C658,Products!$A$2:$A$71,0))</f>
        <v>Et Set</v>
      </c>
      <c r="L658" s="79" t="str">
        <f aca="false">INDEX(Products!$C$2:$C$71,MATCH($C658,Products!$A$2:$A$71,0))</f>
        <v>Mugs</v>
      </c>
      <c r="M658" s="80" t="n">
        <f aca="false">INDEX(Products!$D$2:$D$71,MATCH($C658,Products!$A$2:$A$71,0))</f>
        <v>1141</v>
      </c>
      <c r="N658" s="80" t="n">
        <f aca="false">$D658*$M658</f>
        <v>3423</v>
      </c>
      <c r="O658" s="79" t="str">
        <f aca="false">INDEX(Customers!$C$2:$C$101,MATCH($B658,Customers!$A$2:$A$101,0))</f>
        <v>Imphal</v>
      </c>
      <c r="P658" s="79" t="str">
        <f aca="false">INDEX(Customers!$F$2:$F$101,MATCH($B658,Customers!$A$2:$A$101,0))</f>
        <v>Male</v>
      </c>
      <c r="Q658" s="79" t="str">
        <f aca="false">INDEX(Customers!$B$2:$B$101,MATCH($B658,Customers!$A$2:$A$101,0))</f>
        <v>Umang Luthra</v>
      </c>
      <c r="R658" s="79" t="n">
        <f aca="false">MONTH($E658)</f>
        <v>3</v>
      </c>
      <c r="S658" s="79" t="str">
        <f aca="false">INDEX(Lists!$B$2:$B$13,$R658)</f>
        <v>March</v>
      </c>
      <c r="T658" s="79" t="n">
        <f aca="false">HOUR($F658)</f>
        <v>9</v>
      </c>
      <c r="U658" s="79" t="n">
        <f aca="false">WEEKDAY($E658,2)</f>
        <v>5</v>
      </c>
      <c r="V658" s="79" t="str">
        <f aca="false">INDEX(Lists!$F$2:$F$8,$U658)</f>
        <v>Friday</v>
      </c>
      <c r="W658" s="81" t="n">
        <f aca="false">($G658+$H658)-($E658+$F658)</f>
        <v>5.21576388888889</v>
      </c>
      <c r="X658" s="79" t="str">
        <f aca="false">LOOKUP($M658,Lists!$G$2:$G$5,Lists!$H$2:$H$5)</f>
        <v>₹1,000 - 1,499</v>
      </c>
      <c r="Y658" s="79" t="str">
        <f aca="false">LOOKUP($W658,Lists!$I$2:$I$7,Lists!$J$2:$J$7)</f>
        <v>4 - 6 days</v>
      </c>
    </row>
    <row r="659" customFormat="false" ht="15" hidden="false" customHeight="false" outlineLevel="0" collapsed="false">
      <c r="A659" s="2" t="n">
        <v>658</v>
      </c>
      <c r="B659" s="2" t="s">
        <v>285</v>
      </c>
      <c r="C659" s="2" t="n">
        <v>21</v>
      </c>
      <c r="D659" s="2" t="n">
        <v>3</v>
      </c>
      <c r="E659" s="82" t="n">
        <v>45160</v>
      </c>
      <c r="F659" s="83" t="n">
        <v>0.871481481481482</v>
      </c>
      <c r="G659" s="82" t="n">
        <v>45169</v>
      </c>
      <c r="H659" s="83" t="n">
        <v>0.370902777777778</v>
      </c>
      <c r="I659" s="2" t="s">
        <v>576</v>
      </c>
      <c r="J659" s="2" t="s">
        <v>40</v>
      </c>
      <c r="K659" s="46" t="str">
        <f aca="false">INDEX(Products!$B$2:$B$71,MATCH($C659,Products!$A$2:$A$71,0))</f>
        <v>Quia Gift</v>
      </c>
      <c r="L659" s="46" t="str">
        <f aca="false">INDEX(Products!$C$2:$C$71,MATCH($C659,Products!$A$2:$A$71,0))</f>
        <v>Colors</v>
      </c>
      <c r="M659" s="84" t="n">
        <f aca="false">INDEX(Products!$D$2:$D$71,MATCH($C659,Products!$A$2:$A$71,0))</f>
        <v>1561</v>
      </c>
      <c r="N659" s="84" t="n">
        <f aca="false">$D659*$M659</f>
        <v>4683</v>
      </c>
      <c r="O659" s="46" t="str">
        <f aca="false">INDEX(Customers!$C$2:$C$101,MATCH($B659,Customers!$A$2:$A$101,0))</f>
        <v>Kavali</v>
      </c>
      <c r="P659" s="46" t="str">
        <f aca="false">INDEX(Customers!$F$2:$F$101,MATCH($B659,Customers!$A$2:$A$101,0))</f>
        <v>Female</v>
      </c>
      <c r="Q659" s="46" t="str">
        <f aca="false">INDEX(Customers!$B$2:$B$101,MATCH($B659,Customers!$A$2:$A$101,0))</f>
        <v>Akarsh Ramesh</v>
      </c>
      <c r="R659" s="46" t="n">
        <f aca="false">MONTH($E659)</f>
        <v>8</v>
      </c>
      <c r="S659" s="46" t="str">
        <f aca="false">INDEX(Lists!$B$2:$B$13,$R659)</f>
        <v>August</v>
      </c>
      <c r="T659" s="46" t="n">
        <f aca="false">HOUR($F659)</f>
        <v>20</v>
      </c>
      <c r="U659" s="46" t="n">
        <f aca="false">WEEKDAY($E659,2)</f>
        <v>2</v>
      </c>
      <c r="V659" s="46" t="str">
        <f aca="false">INDEX(Lists!$F$2:$F$8,$U659)</f>
        <v>Tuesday</v>
      </c>
      <c r="W659" s="85" t="n">
        <f aca="false">($G659+$H659)-($E659+$F659)</f>
        <v>8.4994212962963</v>
      </c>
      <c r="X659" s="46" t="str">
        <f aca="false">LOOKUP($M659,Lists!$G$2:$G$5,Lists!$H$2:$H$5)</f>
        <v>₹1,500 - 2,000</v>
      </c>
      <c r="Y659" s="46" t="str">
        <f aca="false">LOOKUP($W659,Lists!$I$2:$I$7,Lists!$J$2:$J$7)</f>
        <v>8 - 10 days</v>
      </c>
    </row>
    <row r="660" customFormat="false" ht="15" hidden="false" customHeight="false" outlineLevel="0" collapsed="false">
      <c r="A660" s="7" t="n">
        <v>659</v>
      </c>
      <c r="B660" s="7" t="s">
        <v>248</v>
      </c>
      <c r="C660" s="7" t="n">
        <v>19</v>
      </c>
      <c r="D660" s="7" t="n">
        <v>5</v>
      </c>
      <c r="E660" s="77" t="n">
        <v>44962</v>
      </c>
      <c r="F660" s="78" t="n">
        <v>0.739537037037037</v>
      </c>
      <c r="G660" s="77" t="n">
        <v>44969</v>
      </c>
      <c r="H660" s="78" t="n">
        <v>0.942858796296296</v>
      </c>
      <c r="I660" s="7" t="s">
        <v>567</v>
      </c>
      <c r="J660" s="7" t="s">
        <v>179</v>
      </c>
      <c r="K660" s="79" t="str">
        <f aca="false">INDEX(Products!$B$2:$B$71,MATCH($C660,Products!$A$2:$A$71,0))</f>
        <v>Iure Gift</v>
      </c>
      <c r="L660" s="79" t="str">
        <f aca="false">INDEX(Products!$C$2:$C$71,MATCH($C660,Products!$A$2:$A$71,0))</f>
        <v>Mugs</v>
      </c>
      <c r="M660" s="80" t="n">
        <f aca="false">INDEX(Products!$D$2:$D$71,MATCH($C660,Products!$A$2:$A$71,0))</f>
        <v>1234</v>
      </c>
      <c r="N660" s="80" t="n">
        <f aca="false">$D660*$M660</f>
        <v>6170</v>
      </c>
      <c r="O660" s="79" t="str">
        <f aca="false">INDEX(Customers!$C$2:$C$101,MATCH($B660,Customers!$A$2:$A$101,0))</f>
        <v>Guntakal</v>
      </c>
      <c r="P660" s="79" t="str">
        <f aca="false">INDEX(Customers!$F$2:$F$101,MATCH($B660,Customers!$A$2:$A$101,0))</f>
        <v>Male</v>
      </c>
      <c r="Q660" s="79" t="str">
        <f aca="false">INDEX(Customers!$B$2:$B$101,MATCH($B660,Customers!$A$2:$A$101,0))</f>
        <v>Aradhya Kale</v>
      </c>
      <c r="R660" s="79" t="n">
        <f aca="false">MONTH($E660)</f>
        <v>2</v>
      </c>
      <c r="S660" s="79" t="str">
        <f aca="false">INDEX(Lists!$B$2:$B$13,$R660)</f>
        <v>February</v>
      </c>
      <c r="T660" s="79" t="n">
        <f aca="false">HOUR($F660)</f>
        <v>17</v>
      </c>
      <c r="U660" s="79" t="n">
        <f aca="false">WEEKDAY($E660,2)</f>
        <v>7</v>
      </c>
      <c r="V660" s="79" t="str">
        <f aca="false">INDEX(Lists!$F$2:$F$8,$U660)</f>
        <v>Sunday</v>
      </c>
      <c r="W660" s="81" t="n">
        <f aca="false">($G660+$H660)-($E660+$F660)</f>
        <v>7.20332175925926</v>
      </c>
      <c r="X660" s="79" t="str">
        <f aca="false">LOOKUP($M660,Lists!$G$2:$G$5,Lists!$H$2:$H$5)</f>
        <v>₹1,000 - 1,499</v>
      </c>
      <c r="Y660" s="79" t="str">
        <f aca="false">LOOKUP($W660,Lists!$I$2:$I$7,Lists!$J$2:$J$7)</f>
        <v>6 - 8 days</v>
      </c>
    </row>
    <row r="661" customFormat="false" ht="15" hidden="false" customHeight="false" outlineLevel="0" collapsed="false">
      <c r="A661" s="2" t="n">
        <v>660</v>
      </c>
      <c r="B661" s="2" t="s">
        <v>263</v>
      </c>
      <c r="C661" s="2" t="n">
        <v>58</v>
      </c>
      <c r="D661" s="2" t="n">
        <v>3</v>
      </c>
      <c r="E661" s="82" t="n">
        <v>44968</v>
      </c>
      <c r="F661" s="83" t="n">
        <v>0.256087962962963</v>
      </c>
      <c r="G661" s="82" t="n">
        <v>44978</v>
      </c>
      <c r="H661" s="83" t="n">
        <v>0.867071759259259</v>
      </c>
      <c r="I661" s="2" t="s">
        <v>169</v>
      </c>
      <c r="J661" s="2" t="s">
        <v>179</v>
      </c>
      <c r="K661" s="46" t="str">
        <f aca="false">INDEX(Products!$B$2:$B$71,MATCH($C661,Products!$A$2:$A$71,0))</f>
        <v>Sed Pack</v>
      </c>
      <c r="L661" s="46" t="str">
        <f aca="false">INDEX(Products!$C$2:$C$71,MATCH($C661,Products!$A$2:$A$71,0))</f>
        <v>Cake</v>
      </c>
      <c r="M661" s="84" t="n">
        <f aca="false">INDEX(Products!$D$2:$D$71,MATCH($C661,Products!$A$2:$A$71,0))</f>
        <v>1492</v>
      </c>
      <c r="N661" s="84" t="n">
        <f aca="false">$D661*$M661</f>
        <v>4476</v>
      </c>
      <c r="O661" s="46" t="str">
        <f aca="false">INDEX(Customers!$C$2:$C$101,MATCH($B661,Customers!$A$2:$A$101,0))</f>
        <v>Bharatpur</v>
      </c>
      <c r="P661" s="46" t="str">
        <f aca="false">INDEX(Customers!$F$2:$F$101,MATCH($B661,Customers!$A$2:$A$101,0))</f>
        <v>Female</v>
      </c>
      <c r="Q661" s="46" t="str">
        <f aca="false">INDEX(Customers!$B$2:$B$101,MATCH($B661,Customers!$A$2:$A$101,0))</f>
        <v>Kismat Kapadia</v>
      </c>
      <c r="R661" s="46" t="n">
        <f aca="false">MONTH($E661)</f>
        <v>2</v>
      </c>
      <c r="S661" s="46" t="str">
        <f aca="false">INDEX(Lists!$B$2:$B$13,$R661)</f>
        <v>February</v>
      </c>
      <c r="T661" s="46" t="n">
        <f aca="false">HOUR($F661)</f>
        <v>6</v>
      </c>
      <c r="U661" s="46" t="n">
        <f aca="false">WEEKDAY($E661,2)</f>
        <v>6</v>
      </c>
      <c r="V661" s="46" t="str">
        <f aca="false">INDEX(Lists!$F$2:$F$8,$U661)</f>
        <v>Saturday</v>
      </c>
      <c r="W661" s="85" t="n">
        <f aca="false">($G661+$H661)-($E661+$F661)</f>
        <v>10.6109837962963</v>
      </c>
      <c r="X661" s="46" t="str">
        <f aca="false">LOOKUP($M661,Lists!$G$2:$G$5,Lists!$H$2:$H$5)</f>
        <v>₹1,000 - 1,499</v>
      </c>
      <c r="Y661" s="46" t="str">
        <f aca="false">LOOKUP($W661,Lists!$I$2:$I$7,Lists!$J$2:$J$7)</f>
        <v>Over 10 days</v>
      </c>
    </row>
    <row r="662" customFormat="false" ht="15" hidden="false" customHeight="false" outlineLevel="0" collapsed="false">
      <c r="A662" s="7" t="n">
        <v>661</v>
      </c>
      <c r="B662" s="7" t="s">
        <v>172</v>
      </c>
      <c r="C662" s="7" t="n">
        <v>22</v>
      </c>
      <c r="D662" s="7" t="n">
        <v>2</v>
      </c>
      <c r="E662" s="77" t="n">
        <v>44940</v>
      </c>
      <c r="F662" s="78" t="n">
        <v>0.9940625</v>
      </c>
      <c r="G662" s="77" t="n">
        <v>44945</v>
      </c>
      <c r="H662" s="78" t="n">
        <v>0.41025462962963</v>
      </c>
      <c r="I662" s="7" t="s">
        <v>401</v>
      </c>
      <c r="J662" s="7" t="s">
        <v>165</v>
      </c>
      <c r="K662" s="79" t="str">
        <f aca="false">INDEX(Products!$B$2:$B$71,MATCH($C662,Products!$A$2:$A$71,0))</f>
        <v>Exercitationem Pack</v>
      </c>
      <c r="L662" s="79" t="str">
        <f aca="false">INDEX(Products!$C$2:$C$71,MATCH($C662,Products!$A$2:$A$71,0))</f>
        <v>Soft Toys</v>
      </c>
      <c r="M662" s="80" t="n">
        <f aca="false">INDEX(Products!$D$2:$D$71,MATCH($C662,Products!$A$2:$A$71,0))</f>
        <v>1639</v>
      </c>
      <c r="N662" s="80" t="n">
        <f aca="false">$D662*$M662</f>
        <v>3278</v>
      </c>
      <c r="O662" s="79" t="str">
        <f aca="false">INDEX(Customers!$C$2:$C$101,MATCH($B662,Customers!$A$2:$A$101,0))</f>
        <v>Nizamabad</v>
      </c>
      <c r="P662" s="79" t="str">
        <f aca="false">INDEX(Customers!$F$2:$F$101,MATCH($B662,Customers!$A$2:$A$101,0))</f>
        <v>Male</v>
      </c>
      <c r="Q662" s="79" t="str">
        <f aca="false">INDEX(Customers!$B$2:$B$101,MATCH($B662,Customers!$A$2:$A$101,0))</f>
        <v>Eva Vaidya</v>
      </c>
      <c r="R662" s="79" t="n">
        <f aca="false">MONTH($E662)</f>
        <v>1</v>
      </c>
      <c r="S662" s="79" t="str">
        <f aca="false">INDEX(Lists!$B$2:$B$13,$R662)</f>
        <v>January</v>
      </c>
      <c r="T662" s="79" t="n">
        <f aca="false">HOUR($F662)</f>
        <v>23</v>
      </c>
      <c r="U662" s="79" t="n">
        <f aca="false">WEEKDAY($E662,2)</f>
        <v>6</v>
      </c>
      <c r="V662" s="79" t="str">
        <f aca="false">INDEX(Lists!$F$2:$F$8,$U662)</f>
        <v>Saturday</v>
      </c>
      <c r="W662" s="81" t="n">
        <f aca="false">($G662+$H662)-($E662+$F662)</f>
        <v>4.41619212962963</v>
      </c>
      <c r="X662" s="79" t="str">
        <f aca="false">LOOKUP($M662,Lists!$G$2:$G$5,Lists!$H$2:$H$5)</f>
        <v>₹1,500 - 2,000</v>
      </c>
      <c r="Y662" s="79" t="str">
        <f aca="false">LOOKUP($W662,Lists!$I$2:$I$7,Lists!$J$2:$J$7)</f>
        <v>4 - 6 days</v>
      </c>
    </row>
    <row r="663" customFormat="false" ht="15" hidden="false" customHeight="false" outlineLevel="0" collapsed="false">
      <c r="A663" s="2" t="n">
        <v>662</v>
      </c>
      <c r="B663" s="2" t="s">
        <v>306</v>
      </c>
      <c r="C663" s="2" t="n">
        <v>20</v>
      </c>
      <c r="D663" s="2" t="n">
        <v>3</v>
      </c>
      <c r="E663" s="82" t="n">
        <v>44966</v>
      </c>
      <c r="F663" s="83" t="n">
        <v>0.770740740740741</v>
      </c>
      <c r="G663" s="82" t="n">
        <v>44975</v>
      </c>
      <c r="H663" s="83" t="n">
        <v>0.352696759259259</v>
      </c>
      <c r="I663" s="2" t="s">
        <v>408</v>
      </c>
      <c r="J663" s="2" t="s">
        <v>168</v>
      </c>
      <c r="K663" s="46" t="str">
        <f aca="false">INDEX(Products!$B$2:$B$71,MATCH($C663,Products!$A$2:$A$71,0))</f>
        <v>Reiciendis Box</v>
      </c>
      <c r="L663" s="46" t="str">
        <f aca="false">INDEX(Products!$C$2:$C$71,MATCH($C663,Products!$A$2:$A$71,0))</f>
        <v>Colors</v>
      </c>
      <c r="M663" s="84" t="n">
        <f aca="false">INDEX(Products!$D$2:$D$71,MATCH($C663,Products!$A$2:$A$71,0))</f>
        <v>697</v>
      </c>
      <c r="N663" s="84" t="n">
        <f aca="false">$D663*$M663</f>
        <v>2091</v>
      </c>
      <c r="O663" s="46" t="str">
        <f aca="false">INDEX(Customers!$C$2:$C$101,MATCH($B663,Customers!$A$2:$A$101,0))</f>
        <v>Kalyan-Dombivli</v>
      </c>
      <c r="P663" s="46" t="str">
        <f aca="false">INDEX(Customers!$F$2:$F$101,MATCH($B663,Customers!$A$2:$A$101,0))</f>
        <v>Male</v>
      </c>
      <c r="Q663" s="46" t="str">
        <f aca="false">INDEX(Customers!$B$2:$B$101,MATCH($B663,Customers!$A$2:$A$101,0))</f>
        <v>Ritvik Garde</v>
      </c>
      <c r="R663" s="46" t="n">
        <f aca="false">MONTH($E663)</f>
        <v>2</v>
      </c>
      <c r="S663" s="46" t="str">
        <f aca="false">INDEX(Lists!$B$2:$B$13,$R663)</f>
        <v>February</v>
      </c>
      <c r="T663" s="46" t="n">
        <f aca="false">HOUR($F663)</f>
        <v>18</v>
      </c>
      <c r="U663" s="46" t="n">
        <f aca="false">WEEKDAY($E663,2)</f>
        <v>4</v>
      </c>
      <c r="V663" s="46" t="str">
        <f aca="false">INDEX(Lists!$F$2:$F$8,$U663)</f>
        <v>Thursday</v>
      </c>
      <c r="W663" s="85" t="n">
        <f aca="false">($G663+$H663)-($E663+$F663)</f>
        <v>8.58195601851852</v>
      </c>
      <c r="X663" s="46" t="str">
        <f aca="false">LOOKUP($M663,Lists!$G$2:$G$5,Lists!$H$2:$H$5)</f>
        <v>₹500 - 999</v>
      </c>
      <c r="Y663" s="46" t="str">
        <f aca="false">LOOKUP($W663,Lists!$I$2:$I$7,Lists!$J$2:$J$7)</f>
        <v>8 - 10 days</v>
      </c>
    </row>
    <row r="664" customFormat="false" ht="15" hidden="false" customHeight="false" outlineLevel="0" collapsed="false">
      <c r="A664" s="7" t="n">
        <v>663</v>
      </c>
      <c r="B664" s="7" t="s">
        <v>377</v>
      </c>
      <c r="C664" s="7" t="n">
        <v>15</v>
      </c>
      <c r="D664" s="7" t="n">
        <v>2</v>
      </c>
      <c r="E664" s="77" t="n">
        <v>45210</v>
      </c>
      <c r="F664" s="78" t="n">
        <v>0.616064814814815</v>
      </c>
      <c r="G664" s="77" t="n">
        <v>45211</v>
      </c>
      <c r="H664" s="78" t="n">
        <v>0.938946759259259</v>
      </c>
      <c r="I664" s="7" t="s">
        <v>414</v>
      </c>
      <c r="J664" s="7" t="s">
        <v>168</v>
      </c>
      <c r="K664" s="79" t="str">
        <f aca="false">INDEX(Products!$B$2:$B$71,MATCH($C664,Products!$A$2:$A$71,0))</f>
        <v>Repudiandae Box</v>
      </c>
      <c r="L664" s="79" t="str">
        <f aca="false">INDEX(Products!$C$2:$C$71,MATCH($C664,Products!$A$2:$A$71,0))</f>
        <v>Raksha Bandhan</v>
      </c>
      <c r="M664" s="80" t="n">
        <f aca="false">INDEX(Products!$D$2:$D$71,MATCH($C664,Products!$A$2:$A$71,0))</f>
        <v>1488</v>
      </c>
      <c r="N664" s="80" t="n">
        <f aca="false">$D664*$M664</f>
        <v>2976</v>
      </c>
      <c r="O664" s="79" t="str">
        <f aca="false">INDEX(Customers!$C$2:$C$101,MATCH($B664,Customers!$A$2:$A$101,0))</f>
        <v>Deoghar</v>
      </c>
      <c r="P664" s="79" t="str">
        <f aca="false">INDEX(Customers!$F$2:$F$101,MATCH($B664,Customers!$A$2:$A$101,0))</f>
        <v>Female</v>
      </c>
      <c r="Q664" s="79" t="str">
        <f aca="false">INDEX(Customers!$B$2:$B$101,MATCH($B664,Customers!$A$2:$A$101,0))</f>
        <v>Raghav Babu</v>
      </c>
      <c r="R664" s="79" t="n">
        <f aca="false">MONTH($E664)</f>
        <v>10</v>
      </c>
      <c r="S664" s="79" t="str">
        <f aca="false">INDEX(Lists!$B$2:$B$13,$R664)</f>
        <v>October</v>
      </c>
      <c r="T664" s="79" t="n">
        <f aca="false">HOUR($F664)</f>
        <v>14</v>
      </c>
      <c r="U664" s="79" t="n">
        <f aca="false">WEEKDAY($E664,2)</f>
        <v>3</v>
      </c>
      <c r="V664" s="79" t="str">
        <f aca="false">INDEX(Lists!$F$2:$F$8,$U664)</f>
        <v>Wednesday</v>
      </c>
      <c r="W664" s="81" t="n">
        <f aca="false">($G664+$H664)-($E664+$F664)</f>
        <v>1.32288194444444</v>
      </c>
      <c r="X664" s="79" t="str">
        <f aca="false">LOOKUP($M664,Lists!$G$2:$G$5,Lists!$H$2:$H$5)</f>
        <v>₹1,000 - 1,499</v>
      </c>
      <c r="Y664" s="79" t="str">
        <f aca="false">LOOKUP($W664,Lists!$I$2:$I$7,Lists!$J$2:$J$7)</f>
        <v>0 - 2 days</v>
      </c>
    </row>
    <row r="665" customFormat="false" ht="15" hidden="false" customHeight="false" outlineLevel="0" collapsed="false">
      <c r="A665" s="2" t="n">
        <v>664</v>
      </c>
      <c r="B665" s="2" t="s">
        <v>183</v>
      </c>
      <c r="C665" s="2" t="n">
        <v>24</v>
      </c>
      <c r="D665" s="2" t="n">
        <v>2</v>
      </c>
      <c r="E665" s="82" t="n">
        <v>44944</v>
      </c>
      <c r="F665" s="83" t="n">
        <v>0.496226851851852</v>
      </c>
      <c r="G665" s="82" t="n">
        <v>44954</v>
      </c>
      <c r="H665" s="83" t="n">
        <v>0.848703703703704</v>
      </c>
      <c r="I665" s="2" t="s">
        <v>403</v>
      </c>
      <c r="J665" s="2" t="s">
        <v>31</v>
      </c>
      <c r="K665" s="46" t="str">
        <f aca="false">INDEX(Products!$B$2:$B$71,MATCH($C665,Products!$A$2:$A$71,0))</f>
        <v>Ad Box</v>
      </c>
      <c r="L665" s="46" t="str">
        <f aca="false">INDEX(Products!$C$2:$C$71,MATCH($C665,Products!$A$2:$A$71,0))</f>
        <v>Mugs</v>
      </c>
      <c r="M665" s="84" t="n">
        <f aca="false">INDEX(Products!$D$2:$D$71,MATCH($C665,Products!$A$2:$A$71,0))</f>
        <v>535</v>
      </c>
      <c r="N665" s="84" t="n">
        <f aca="false">$D665*$M665</f>
        <v>1070</v>
      </c>
      <c r="O665" s="46" t="str">
        <f aca="false">INDEX(Customers!$C$2:$C$101,MATCH($B665,Customers!$A$2:$A$101,0))</f>
        <v>Bidhannagar</v>
      </c>
      <c r="P665" s="46" t="str">
        <f aca="false">INDEX(Customers!$F$2:$F$101,MATCH($B665,Customers!$A$2:$A$101,0))</f>
        <v>Male</v>
      </c>
      <c r="Q665" s="46" t="str">
        <f aca="false">INDEX(Customers!$B$2:$B$101,MATCH($B665,Customers!$A$2:$A$101,0))</f>
        <v>Abram Sandhu</v>
      </c>
      <c r="R665" s="46" t="n">
        <f aca="false">MONTH($E665)</f>
        <v>1</v>
      </c>
      <c r="S665" s="46" t="str">
        <f aca="false">INDEX(Lists!$B$2:$B$13,$R665)</f>
        <v>January</v>
      </c>
      <c r="T665" s="46" t="n">
        <f aca="false">HOUR($F665)</f>
        <v>11</v>
      </c>
      <c r="U665" s="46" t="n">
        <f aca="false">WEEKDAY($E665,2)</f>
        <v>3</v>
      </c>
      <c r="V665" s="46" t="str">
        <f aca="false">INDEX(Lists!$F$2:$F$8,$U665)</f>
        <v>Wednesday</v>
      </c>
      <c r="W665" s="85" t="n">
        <f aca="false">($G665+$H665)-($E665+$F665)</f>
        <v>10.3524768518519</v>
      </c>
      <c r="X665" s="46" t="str">
        <f aca="false">LOOKUP($M665,Lists!$G$2:$G$5,Lists!$H$2:$H$5)</f>
        <v>₹500 - 999</v>
      </c>
      <c r="Y665" s="46" t="str">
        <f aca="false">LOOKUP($W665,Lists!$I$2:$I$7,Lists!$J$2:$J$7)</f>
        <v>Over 10 days</v>
      </c>
    </row>
    <row r="666" customFormat="false" ht="15" hidden="false" customHeight="false" outlineLevel="0" collapsed="false">
      <c r="A666" s="7" t="n">
        <v>665</v>
      </c>
      <c r="B666" s="7" t="s">
        <v>283</v>
      </c>
      <c r="C666" s="7" t="n">
        <v>62</v>
      </c>
      <c r="D666" s="7" t="n">
        <v>5</v>
      </c>
      <c r="E666" s="77" t="n">
        <v>44990</v>
      </c>
      <c r="F666" s="78" t="n">
        <v>0.599560185185185</v>
      </c>
      <c r="G666" s="77" t="n">
        <v>45000</v>
      </c>
      <c r="H666" s="78" t="n">
        <v>0.662534722222222</v>
      </c>
      <c r="I666" s="7" t="s">
        <v>144</v>
      </c>
      <c r="J666" s="7" t="s">
        <v>33</v>
      </c>
      <c r="K666" s="79" t="str">
        <f aca="false">INDEX(Products!$B$2:$B$71,MATCH($C666,Products!$A$2:$A$71,0))</f>
        <v>Sed Set</v>
      </c>
      <c r="L666" s="79" t="str">
        <f aca="false">INDEX(Products!$C$2:$C$71,MATCH($C666,Products!$A$2:$A$71,0))</f>
        <v>Colors</v>
      </c>
      <c r="M666" s="80" t="n">
        <f aca="false">INDEX(Products!$D$2:$D$71,MATCH($C666,Products!$A$2:$A$71,0))</f>
        <v>1356</v>
      </c>
      <c r="N666" s="80" t="n">
        <f aca="false">$D666*$M666</f>
        <v>6780</v>
      </c>
      <c r="O666" s="79" t="str">
        <f aca="false">INDEX(Customers!$C$2:$C$101,MATCH($B666,Customers!$A$2:$A$101,0))</f>
        <v>Satara</v>
      </c>
      <c r="P666" s="79" t="str">
        <f aca="false">INDEX(Customers!$F$2:$F$101,MATCH($B666,Customers!$A$2:$A$101,0))</f>
        <v>Male</v>
      </c>
      <c r="Q666" s="79" t="str">
        <f aca="false">INDEX(Customers!$B$2:$B$101,MATCH($B666,Customers!$A$2:$A$101,0))</f>
        <v>Riya Wagle</v>
      </c>
      <c r="R666" s="79" t="n">
        <f aca="false">MONTH($E666)</f>
        <v>3</v>
      </c>
      <c r="S666" s="79" t="str">
        <f aca="false">INDEX(Lists!$B$2:$B$13,$R666)</f>
        <v>March</v>
      </c>
      <c r="T666" s="79" t="n">
        <f aca="false">HOUR($F666)</f>
        <v>14</v>
      </c>
      <c r="U666" s="79" t="n">
        <f aca="false">WEEKDAY($E666,2)</f>
        <v>7</v>
      </c>
      <c r="V666" s="79" t="str">
        <f aca="false">INDEX(Lists!$F$2:$F$8,$U666)</f>
        <v>Sunday</v>
      </c>
      <c r="W666" s="81" t="n">
        <f aca="false">($G666+$H666)-($E666+$F666)</f>
        <v>10.062974537037</v>
      </c>
      <c r="X666" s="79" t="str">
        <f aca="false">LOOKUP($M666,Lists!$G$2:$G$5,Lists!$H$2:$H$5)</f>
        <v>₹1,000 - 1,499</v>
      </c>
      <c r="Y666" s="79" t="str">
        <f aca="false">LOOKUP($W666,Lists!$I$2:$I$7,Lists!$J$2:$J$7)</f>
        <v>Over 10 days</v>
      </c>
    </row>
    <row r="667" customFormat="false" ht="15" hidden="false" customHeight="false" outlineLevel="0" collapsed="false">
      <c r="A667" s="2" t="n">
        <v>666</v>
      </c>
      <c r="B667" s="2" t="s">
        <v>202</v>
      </c>
      <c r="C667" s="2" t="n">
        <v>26</v>
      </c>
      <c r="D667" s="2" t="n">
        <v>5</v>
      </c>
      <c r="E667" s="82" t="n">
        <v>44987</v>
      </c>
      <c r="F667" s="83" t="n">
        <v>0.403541666666667</v>
      </c>
      <c r="G667" s="82" t="n">
        <v>44993</v>
      </c>
      <c r="H667" s="83" t="n">
        <v>0.811284722222222</v>
      </c>
      <c r="I667" s="2" t="s">
        <v>437</v>
      </c>
      <c r="J667" s="2" t="s">
        <v>33</v>
      </c>
      <c r="K667" s="46" t="str">
        <f aca="false">INDEX(Products!$B$2:$B$71,MATCH($C667,Products!$A$2:$A$71,0))</f>
        <v>Aliquam Box</v>
      </c>
      <c r="L667" s="46" t="str">
        <f aca="false">INDEX(Products!$C$2:$C$71,MATCH($C667,Products!$A$2:$A$71,0))</f>
        <v>Colors</v>
      </c>
      <c r="M667" s="84" t="n">
        <f aca="false">INDEX(Products!$D$2:$D$71,MATCH($C667,Products!$A$2:$A$71,0))</f>
        <v>289</v>
      </c>
      <c r="N667" s="84" t="n">
        <f aca="false">$D667*$M667</f>
        <v>1445</v>
      </c>
      <c r="O667" s="46" t="str">
        <f aca="false">INDEX(Customers!$C$2:$C$101,MATCH($B667,Customers!$A$2:$A$101,0))</f>
        <v>Surat</v>
      </c>
      <c r="P667" s="46" t="str">
        <f aca="false">INDEX(Customers!$F$2:$F$101,MATCH($B667,Customers!$A$2:$A$101,0))</f>
        <v>Male</v>
      </c>
      <c r="Q667" s="46" t="str">
        <f aca="false">INDEX(Customers!$B$2:$B$101,MATCH($B667,Customers!$A$2:$A$101,0))</f>
        <v>Mannat Anand</v>
      </c>
      <c r="R667" s="46" t="n">
        <f aca="false">MONTH($E667)</f>
        <v>3</v>
      </c>
      <c r="S667" s="46" t="str">
        <f aca="false">INDEX(Lists!$B$2:$B$13,$R667)</f>
        <v>March</v>
      </c>
      <c r="T667" s="46" t="n">
        <f aca="false">HOUR($F667)</f>
        <v>9</v>
      </c>
      <c r="U667" s="46" t="n">
        <f aca="false">WEEKDAY($E667,2)</f>
        <v>4</v>
      </c>
      <c r="V667" s="46" t="str">
        <f aca="false">INDEX(Lists!$F$2:$F$8,$U667)</f>
        <v>Thursday</v>
      </c>
      <c r="W667" s="85" t="n">
        <f aca="false">($G667+$H667)-($E667+$F667)</f>
        <v>6.40774305555556</v>
      </c>
      <c r="X667" s="46" t="str">
        <f aca="false">LOOKUP($M667,Lists!$G$2:$G$5,Lists!$H$2:$H$5)</f>
        <v>₹0 - 499</v>
      </c>
      <c r="Y667" s="46" t="str">
        <f aca="false">LOOKUP($W667,Lists!$I$2:$I$7,Lists!$J$2:$J$7)</f>
        <v>6 - 8 days</v>
      </c>
    </row>
    <row r="668" customFormat="false" ht="15" hidden="false" customHeight="false" outlineLevel="0" collapsed="false">
      <c r="A668" s="7" t="n">
        <v>667</v>
      </c>
      <c r="B668" s="7" t="s">
        <v>260</v>
      </c>
      <c r="C668" s="7" t="n">
        <v>44</v>
      </c>
      <c r="D668" s="7" t="n">
        <v>3</v>
      </c>
      <c r="E668" s="77" t="n">
        <v>45234</v>
      </c>
      <c r="F668" s="78" t="n">
        <v>0.352060185185185</v>
      </c>
      <c r="G668" s="77" t="n">
        <v>45237</v>
      </c>
      <c r="H668" s="78" t="n">
        <v>0.43818287037037</v>
      </c>
      <c r="I668" s="7" t="s">
        <v>156</v>
      </c>
      <c r="J668" s="7" t="s">
        <v>32</v>
      </c>
      <c r="K668" s="79" t="str">
        <f aca="false">INDEX(Products!$B$2:$B$71,MATCH($C668,Products!$A$2:$A$71,0))</f>
        <v>Dolorum Set</v>
      </c>
      <c r="L668" s="79" t="str">
        <f aca="false">INDEX(Products!$C$2:$C$71,MATCH($C668,Products!$A$2:$A$71,0))</f>
        <v>Plants</v>
      </c>
      <c r="M668" s="80" t="n">
        <f aca="false">INDEX(Products!$D$2:$D$71,MATCH($C668,Products!$A$2:$A$71,0))</f>
        <v>794</v>
      </c>
      <c r="N668" s="80" t="n">
        <f aca="false">$D668*$M668</f>
        <v>2382</v>
      </c>
      <c r="O668" s="79" t="str">
        <f aca="false">INDEX(Customers!$C$2:$C$101,MATCH($B668,Customers!$A$2:$A$101,0))</f>
        <v>Dhanbad</v>
      </c>
      <c r="P668" s="79" t="str">
        <f aca="false">INDEX(Customers!$F$2:$F$101,MATCH($B668,Customers!$A$2:$A$101,0))</f>
        <v>Male</v>
      </c>
      <c r="Q668" s="79" t="str">
        <f aca="false">INDEX(Customers!$B$2:$B$101,MATCH($B668,Customers!$A$2:$A$101,0))</f>
        <v>Vardaniya Apte</v>
      </c>
      <c r="R668" s="79" t="n">
        <f aca="false">MONTH($E668)</f>
        <v>11</v>
      </c>
      <c r="S668" s="79" t="str">
        <f aca="false">INDEX(Lists!$B$2:$B$13,$R668)</f>
        <v>November</v>
      </c>
      <c r="T668" s="79" t="n">
        <f aca="false">HOUR($F668)</f>
        <v>8</v>
      </c>
      <c r="U668" s="79" t="n">
        <f aca="false">WEEKDAY($E668,2)</f>
        <v>6</v>
      </c>
      <c r="V668" s="79" t="str">
        <f aca="false">INDEX(Lists!$F$2:$F$8,$U668)</f>
        <v>Saturday</v>
      </c>
      <c r="W668" s="81" t="n">
        <f aca="false">($G668+$H668)-($E668+$F668)</f>
        <v>3.08612268518519</v>
      </c>
      <c r="X668" s="79" t="str">
        <f aca="false">LOOKUP($M668,Lists!$G$2:$G$5,Lists!$H$2:$H$5)</f>
        <v>₹500 - 999</v>
      </c>
      <c r="Y668" s="79" t="str">
        <f aca="false">LOOKUP($W668,Lists!$I$2:$I$7,Lists!$J$2:$J$7)</f>
        <v>2 - 4 days</v>
      </c>
    </row>
    <row r="669" customFormat="false" ht="15" hidden="false" customHeight="false" outlineLevel="0" collapsed="false">
      <c r="A669" s="2" t="n">
        <v>668</v>
      </c>
      <c r="B669" s="2" t="s">
        <v>148</v>
      </c>
      <c r="C669" s="2" t="n">
        <v>55</v>
      </c>
      <c r="D669" s="2" t="n">
        <v>2</v>
      </c>
      <c r="E669" s="82" t="n">
        <v>45159</v>
      </c>
      <c r="F669" s="83" t="n">
        <v>0.423530092592593</v>
      </c>
      <c r="G669" s="82" t="n">
        <v>45168</v>
      </c>
      <c r="H669" s="83" t="n">
        <v>0.689456018518519</v>
      </c>
      <c r="I669" s="2" t="s">
        <v>141</v>
      </c>
      <c r="J669" s="2" t="s">
        <v>40</v>
      </c>
      <c r="K669" s="46" t="str">
        <f aca="false">INDEX(Products!$B$2:$B$71,MATCH($C669,Products!$A$2:$A$71,0))</f>
        <v>Dolores Gift</v>
      </c>
      <c r="L669" s="46" t="str">
        <f aca="false">INDEX(Products!$C$2:$C$71,MATCH($C669,Products!$A$2:$A$71,0))</f>
        <v>Soft Toys</v>
      </c>
      <c r="M669" s="84" t="n">
        <f aca="false">INDEX(Products!$D$2:$D$71,MATCH($C669,Products!$A$2:$A$71,0))</f>
        <v>1904</v>
      </c>
      <c r="N669" s="84" t="n">
        <f aca="false">$D669*$M669</f>
        <v>3808</v>
      </c>
      <c r="O669" s="46" t="str">
        <f aca="false">INDEX(Customers!$C$2:$C$101,MATCH($B669,Customers!$A$2:$A$101,0))</f>
        <v>Madurai</v>
      </c>
      <c r="P669" s="46" t="str">
        <f aca="false">INDEX(Customers!$F$2:$F$101,MATCH($B669,Customers!$A$2:$A$101,0))</f>
        <v>Female</v>
      </c>
      <c r="Q669" s="46" t="str">
        <f aca="false">INDEX(Customers!$B$2:$B$101,MATCH($B669,Customers!$A$2:$A$101,0))</f>
        <v>Ritvik Borah</v>
      </c>
      <c r="R669" s="46" t="n">
        <f aca="false">MONTH($E669)</f>
        <v>8</v>
      </c>
      <c r="S669" s="46" t="str">
        <f aca="false">INDEX(Lists!$B$2:$B$13,$R669)</f>
        <v>August</v>
      </c>
      <c r="T669" s="46" t="n">
        <f aca="false">HOUR($F669)</f>
        <v>10</v>
      </c>
      <c r="U669" s="46" t="n">
        <f aca="false">WEEKDAY($E669,2)</f>
        <v>1</v>
      </c>
      <c r="V669" s="46" t="str">
        <f aca="false">INDEX(Lists!$F$2:$F$8,$U669)</f>
        <v>Monday</v>
      </c>
      <c r="W669" s="85" t="n">
        <f aca="false">($G669+$H669)-($E669+$F669)</f>
        <v>9.26592592592593</v>
      </c>
      <c r="X669" s="46" t="str">
        <f aca="false">LOOKUP($M669,Lists!$G$2:$G$5,Lists!$H$2:$H$5)</f>
        <v>₹1,500 - 2,000</v>
      </c>
      <c r="Y669" s="46" t="str">
        <f aca="false">LOOKUP($W669,Lists!$I$2:$I$7,Lists!$J$2:$J$7)</f>
        <v>8 - 10 days</v>
      </c>
    </row>
    <row r="670" customFormat="false" ht="15" hidden="false" customHeight="false" outlineLevel="0" collapsed="false">
      <c r="A670" s="7" t="n">
        <v>669</v>
      </c>
      <c r="B670" s="7" t="s">
        <v>209</v>
      </c>
      <c r="C670" s="7" t="n">
        <v>68</v>
      </c>
      <c r="D670" s="7" t="n">
        <v>5</v>
      </c>
      <c r="E670" s="77" t="n">
        <v>44967</v>
      </c>
      <c r="F670" s="78" t="n">
        <v>0.299884259259259</v>
      </c>
      <c r="G670" s="77" t="n">
        <v>44974</v>
      </c>
      <c r="H670" s="78" t="n">
        <v>0.414375</v>
      </c>
      <c r="I670" s="7" t="s">
        <v>474</v>
      </c>
      <c r="J670" s="7" t="s">
        <v>179</v>
      </c>
      <c r="K670" s="79" t="str">
        <f aca="false">INDEX(Products!$B$2:$B$71,MATCH($C670,Products!$A$2:$A$71,0))</f>
        <v>Quas Gift</v>
      </c>
      <c r="L670" s="79" t="str">
        <f aca="false">INDEX(Products!$C$2:$C$71,MATCH($C670,Products!$A$2:$A$71,0))</f>
        <v>Soft Toys</v>
      </c>
      <c r="M670" s="80" t="n">
        <f aca="false">INDEX(Products!$D$2:$D$71,MATCH($C670,Products!$A$2:$A$71,0))</f>
        <v>597</v>
      </c>
      <c r="N670" s="80" t="n">
        <f aca="false">$D670*$M670</f>
        <v>2985</v>
      </c>
      <c r="O670" s="79" t="str">
        <f aca="false">INDEX(Customers!$C$2:$C$101,MATCH($B670,Customers!$A$2:$A$101,0))</f>
        <v>Vellore</v>
      </c>
      <c r="P670" s="79" t="str">
        <f aca="false">INDEX(Customers!$F$2:$F$101,MATCH($B670,Customers!$A$2:$A$101,0))</f>
        <v>Male</v>
      </c>
      <c r="Q670" s="79" t="str">
        <f aca="false">INDEX(Customers!$B$2:$B$101,MATCH($B670,Customers!$A$2:$A$101,0))</f>
        <v>Ira Sarna</v>
      </c>
      <c r="R670" s="79" t="n">
        <f aca="false">MONTH($E670)</f>
        <v>2</v>
      </c>
      <c r="S670" s="79" t="str">
        <f aca="false">INDEX(Lists!$B$2:$B$13,$R670)</f>
        <v>February</v>
      </c>
      <c r="T670" s="79" t="n">
        <f aca="false">HOUR($F670)</f>
        <v>7</v>
      </c>
      <c r="U670" s="79" t="n">
        <f aca="false">WEEKDAY($E670,2)</f>
        <v>5</v>
      </c>
      <c r="V670" s="79" t="str">
        <f aca="false">INDEX(Lists!$F$2:$F$8,$U670)</f>
        <v>Friday</v>
      </c>
      <c r="W670" s="81" t="n">
        <f aca="false">($G670+$H670)-($E670+$F670)</f>
        <v>7.11449074074074</v>
      </c>
      <c r="X670" s="79" t="str">
        <f aca="false">LOOKUP($M670,Lists!$G$2:$G$5,Lists!$H$2:$H$5)</f>
        <v>₹500 - 999</v>
      </c>
      <c r="Y670" s="79" t="str">
        <f aca="false">LOOKUP($W670,Lists!$I$2:$I$7,Lists!$J$2:$J$7)</f>
        <v>6 - 8 days</v>
      </c>
    </row>
    <row r="671" customFormat="false" ht="15" hidden="false" customHeight="false" outlineLevel="0" collapsed="false">
      <c r="A671" s="2" t="n">
        <v>670</v>
      </c>
      <c r="B671" s="2" t="s">
        <v>275</v>
      </c>
      <c r="C671" s="2" t="n">
        <v>23</v>
      </c>
      <c r="D671" s="2" t="n">
        <v>5</v>
      </c>
      <c r="E671" s="82" t="n">
        <v>45078</v>
      </c>
      <c r="F671" s="83" t="n">
        <v>0.241655092592593</v>
      </c>
      <c r="G671" s="82" t="n">
        <v>45087</v>
      </c>
      <c r="H671" s="83" t="n">
        <v>0.214583333333333</v>
      </c>
      <c r="I671" s="2" t="s">
        <v>259</v>
      </c>
      <c r="J671" s="2" t="s">
        <v>168</v>
      </c>
      <c r="K671" s="46" t="str">
        <f aca="false">INDEX(Products!$B$2:$B$71,MATCH($C671,Products!$A$2:$A$71,0))</f>
        <v>Dignissimos Pack</v>
      </c>
      <c r="L671" s="46" t="str">
        <f aca="false">INDEX(Products!$C$2:$C$71,MATCH($C671,Products!$A$2:$A$71,0))</f>
        <v>Sweets</v>
      </c>
      <c r="M671" s="84" t="n">
        <f aca="false">INDEX(Products!$D$2:$D$71,MATCH($C671,Products!$A$2:$A$71,0))</f>
        <v>1098</v>
      </c>
      <c r="N671" s="84" t="n">
        <f aca="false">$D671*$M671</f>
        <v>5490</v>
      </c>
      <c r="O671" s="46" t="str">
        <f aca="false">INDEX(Customers!$C$2:$C$101,MATCH($B671,Customers!$A$2:$A$101,0))</f>
        <v>Delhi</v>
      </c>
      <c r="P671" s="46" t="str">
        <f aca="false">INDEX(Customers!$F$2:$F$101,MATCH($B671,Customers!$A$2:$A$101,0))</f>
        <v>Female</v>
      </c>
      <c r="Q671" s="46" t="str">
        <f aca="false">INDEX(Customers!$B$2:$B$101,MATCH($B671,Customers!$A$2:$A$101,0))</f>
        <v>Zain Hegde</v>
      </c>
      <c r="R671" s="46" t="n">
        <f aca="false">MONTH($E671)</f>
        <v>6</v>
      </c>
      <c r="S671" s="46" t="str">
        <f aca="false">INDEX(Lists!$B$2:$B$13,$R671)</f>
        <v>June</v>
      </c>
      <c r="T671" s="46" t="n">
        <f aca="false">HOUR($F671)</f>
        <v>5</v>
      </c>
      <c r="U671" s="46" t="n">
        <f aca="false">WEEKDAY($E671,2)</f>
        <v>4</v>
      </c>
      <c r="V671" s="46" t="str">
        <f aca="false">INDEX(Lists!$F$2:$F$8,$U671)</f>
        <v>Thursday</v>
      </c>
      <c r="W671" s="85" t="n">
        <f aca="false">($G671+$H671)-($E671+$F671)</f>
        <v>8.97292824074074</v>
      </c>
      <c r="X671" s="46" t="str">
        <f aca="false">LOOKUP($M671,Lists!$G$2:$G$5,Lists!$H$2:$H$5)</f>
        <v>₹1,000 - 1,499</v>
      </c>
      <c r="Y671" s="46" t="str">
        <f aca="false">LOOKUP($W671,Lists!$I$2:$I$7,Lists!$J$2:$J$7)</f>
        <v>8 - 10 days</v>
      </c>
    </row>
    <row r="672" customFormat="false" ht="15" hidden="false" customHeight="false" outlineLevel="0" collapsed="false">
      <c r="A672" s="7" t="n">
        <v>671</v>
      </c>
      <c r="B672" s="7" t="s">
        <v>281</v>
      </c>
      <c r="C672" s="7" t="n">
        <v>31</v>
      </c>
      <c r="D672" s="7" t="n">
        <v>4</v>
      </c>
      <c r="E672" s="77" t="n">
        <v>45263</v>
      </c>
      <c r="F672" s="78" t="n">
        <v>0.287708333333333</v>
      </c>
      <c r="G672" s="77" t="n">
        <v>45267</v>
      </c>
      <c r="H672" s="78" t="n">
        <v>0.969664351851852</v>
      </c>
      <c r="I672" s="7" t="s">
        <v>451</v>
      </c>
      <c r="J672" s="7" t="s">
        <v>165</v>
      </c>
      <c r="K672" s="79" t="str">
        <f aca="false">INDEX(Products!$B$2:$B$71,MATCH($C672,Products!$A$2:$A$71,0))</f>
        <v>Nihil Box</v>
      </c>
      <c r="L672" s="79" t="str">
        <f aca="false">INDEX(Products!$C$2:$C$71,MATCH($C672,Products!$A$2:$A$71,0))</f>
        <v>Colors</v>
      </c>
      <c r="M672" s="80" t="n">
        <f aca="false">INDEX(Products!$D$2:$D$71,MATCH($C672,Products!$A$2:$A$71,0))</f>
        <v>1804</v>
      </c>
      <c r="N672" s="80" t="n">
        <f aca="false">$D672*$M672</f>
        <v>7216</v>
      </c>
      <c r="O672" s="79" t="str">
        <f aca="false">INDEX(Customers!$C$2:$C$101,MATCH($B672,Customers!$A$2:$A$101,0))</f>
        <v>Kalyan-Dombivli</v>
      </c>
      <c r="P672" s="79" t="str">
        <f aca="false">INDEX(Customers!$F$2:$F$101,MATCH($B672,Customers!$A$2:$A$101,0))</f>
        <v>Male</v>
      </c>
      <c r="Q672" s="79" t="str">
        <f aca="false">INDEX(Customers!$B$2:$B$101,MATCH($B672,Customers!$A$2:$A$101,0))</f>
        <v>Nirvi Wagle</v>
      </c>
      <c r="R672" s="79" t="n">
        <f aca="false">MONTH($E672)</f>
        <v>12</v>
      </c>
      <c r="S672" s="79" t="str">
        <f aca="false">INDEX(Lists!$B$2:$B$13,$R672)</f>
        <v>December</v>
      </c>
      <c r="T672" s="79" t="n">
        <f aca="false">HOUR($F672)</f>
        <v>6</v>
      </c>
      <c r="U672" s="79" t="n">
        <f aca="false">WEEKDAY($E672,2)</f>
        <v>7</v>
      </c>
      <c r="V672" s="79" t="str">
        <f aca="false">INDEX(Lists!$F$2:$F$8,$U672)</f>
        <v>Sunday</v>
      </c>
      <c r="W672" s="81" t="n">
        <f aca="false">($G672+$H672)-($E672+$F672)</f>
        <v>4.68195601851852</v>
      </c>
      <c r="X672" s="79" t="str">
        <f aca="false">LOOKUP($M672,Lists!$G$2:$G$5,Lists!$H$2:$H$5)</f>
        <v>₹1,500 - 2,000</v>
      </c>
      <c r="Y672" s="79" t="str">
        <f aca="false">LOOKUP($W672,Lists!$I$2:$I$7,Lists!$J$2:$J$7)</f>
        <v>4 - 6 days</v>
      </c>
    </row>
    <row r="673" customFormat="false" ht="15" hidden="false" customHeight="false" outlineLevel="0" collapsed="false">
      <c r="A673" s="2" t="n">
        <v>672</v>
      </c>
      <c r="B673" s="2" t="s">
        <v>251</v>
      </c>
      <c r="C673" s="2" t="n">
        <v>44</v>
      </c>
      <c r="D673" s="2" t="n">
        <v>5</v>
      </c>
      <c r="E673" s="82" t="n">
        <v>45237</v>
      </c>
      <c r="F673" s="83" t="n">
        <v>0.587673611111111</v>
      </c>
      <c r="G673" s="82" t="n">
        <v>45239</v>
      </c>
      <c r="H673" s="83" t="n">
        <v>0.282372685185185</v>
      </c>
      <c r="I673" s="2" t="s">
        <v>551</v>
      </c>
      <c r="J673" s="2" t="s">
        <v>32</v>
      </c>
      <c r="K673" s="46" t="str">
        <f aca="false">INDEX(Products!$B$2:$B$71,MATCH($C673,Products!$A$2:$A$71,0))</f>
        <v>Dolorum Set</v>
      </c>
      <c r="L673" s="46" t="str">
        <f aca="false">INDEX(Products!$C$2:$C$71,MATCH($C673,Products!$A$2:$A$71,0))</f>
        <v>Plants</v>
      </c>
      <c r="M673" s="84" t="n">
        <f aca="false">INDEX(Products!$D$2:$D$71,MATCH($C673,Products!$A$2:$A$71,0))</f>
        <v>794</v>
      </c>
      <c r="N673" s="84" t="n">
        <f aca="false">$D673*$M673</f>
        <v>3970</v>
      </c>
      <c r="O673" s="46" t="str">
        <f aca="false">INDEX(Customers!$C$2:$C$101,MATCH($B673,Customers!$A$2:$A$101,0))</f>
        <v>Imphal</v>
      </c>
      <c r="P673" s="46" t="str">
        <f aca="false">INDEX(Customers!$F$2:$F$101,MATCH($B673,Customers!$A$2:$A$101,0))</f>
        <v>Female</v>
      </c>
      <c r="Q673" s="46" t="str">
        <f aca="false">INDEX(Customers!$B$2:$B$101,MATCH($B673,Customers!$A$2:$A$101,0))</f>
        <v>Aarush Balasubramanian</v>
      </c>
      <c r="R673" s="46" t="n">
        <f aca="false">MONTH($E673)</f>
        <v>11</v>
      </c>
      <c r="S673" s="46" t="str">
        <f aca="false">INDEX(Lists!$B$2:$B$13,$R673)</f>
        <v>November</v>
      </c>
      <c r="T673" s="46" t="n">
        <f aca="false">HOUR($F673)</f>
        <v>14</v>
      </c>
      <c r="U673" s="46" t="n">
        <f aca="false">WEEKDAY($E673,2)</f>
        <v>2</v>
      </c>
      <c r="V673" s="46" t="str">
        <f aca="false">INDEX(Lists!$F$2:$F$8,$U673)</f>
        <v>Tuesday</v>
      </c>
      <c r="W673" s="85" t="n">
        <f aca="false">($G673+$H673)-($E673+$F673)</f>
        <v>1.69469907407407</v>
      </c>
      <c r="X673" s="46" t="str">
        <f aca="false">LOOKUP($M673,Lists!$G$2:$G$5,Lists!$H$2:$H$5)</f>
        <v>₹500 - 999</v>
      </c>
      <c r="Y673" s="46" t="str">
        <f aca="false">LOOKUP($W673,Lists!$I$2:$I$7,Lists!$J$2:$J$7)</f>
        <v>0 - 2 days</v>
      </c>
    </row>
    <row r="674" customFormat="false" ht="15" hidden="false" customHeight="false" outlineLevel="0" collapsed="false">
      <c r="A674" s="7" t="n">
        <v>673</v>
      </c>
      <c r="B674" s="7" t="s">
        <v>145</v>
      </c>
      <c r="C674" s="7" t="n">
        <v>33</v>
      </c>
      <c r="D674" s="7" t="n">
        <v>3</v>
      </c>
      <c r="E674" s="77" t="n">
        <v>44961</v>
      </c>
      <c r="F674" s="78" t="n">
        <v>0.246400462962963</v>
      </c>
      <c r="G674" s="77" t="n">
        <v>44964</v>
      </c>
      <c r="H674" s="78" t="n">
        <v>0.184467592592593</v>
      </c>
      <c r="I674" s="7" t="s">
        <v>384</v>
      </c>
      <c r="J674" s="7" t="s">
        <v>179</v>
      </c>
      <c r="K674" s="79" t="str">
        <f aca="false">INDEX(Products!$B$2:$B$71,MATCH($C674,Products!$A$2:$A$71,0))</f>
        <v>Earum Set</v>
      </c>
      <c r="L674" s="79" t="str">
        <f aca="false">INDEX(Products!$C$2:$C$71,MATCH($C674,Products!$A$2:$A$71,0))</f>
        <v>Colors</v>
      </c>
      <c r="M674" s="80" t="n">
        <f aca="false">INDEX(Products!$D$2:$D$71,MATCH($C674,Products!$A$2:$A$71,0))</f>
        <v>314</v>
      </c>
      <c r="N674" s="80" t="n">
        <f aca="false">$D674*$M674</f>
        <v>942</v>
      </c>
      <c r="O674" s="79" t="str">
        <f aca="false">INDEX(Customers!$C$2:$C$101,MATCH($B674,Customers!$A$2:$A$101,0))</f>
        <v>Chinsurah</v>
      </c>
      <c r="P674" s="79" t="str">
        <f aca="false">INDEX(Customers!$F$2:$F$101,MATCH($B674,Customers!$A$2:$A$101,0))</f>
        <v>Female</v>
      </c>
      <c r="Q674" s="79" t="str">
        <f aca="false">INDEX(Customers!$B$2:$B$101,MATCH($B674,Customers!$A$2:$A$101,0))</f>
        <v>Veer Ray</v>
      </c>
      <c r="R674" s="79" t="n">
        <f aca="false">MONTH($E674)</f>
        <v>2</v>
      </c>
      <c r="S674" s="79" t="str">
        <f aca="false">INDEX(Lists!$B$2:$B$13,$R674)</f>
        <v>February</v>
      </c>
      <c r="T674" s="79" t="n">
        <f aca="false">HOUR($F674)</f>
        <v>5</v>
      </c>
      <c r="U674" s="79" t="n">
        <f aca="false">WEEKDAY($E674,2)</f>
        <v>6</v>
      </c>
      <c r="V674" s="79" t="str">
        <f aca="false">INDEX(Lists!$F$2:$F$8,$U674)</f>
        <v>Saturday</v>
      </c>
      <c r="W674" s="81" t="n">
        <f aca="false">($G674+$H674)-($E674+$F674)</f>
        <v>2.93806712962963</v>
      </c>
      <c r="X674" s="79" t="str">
        <f aca="false">LOOKUP($M674,Lists!$G$2:$G$5,Lists!$H$2:$H$5)</f>
        <v>₹0 - 499</v>
      </c>
      <c r="Y674" s="79" t="str">
        <f aca="false">LOOKUP($W674,Lists!$I$2:$I$7,Lists!$J$2:$J$7)</f>
        <v>2 - 4 days</v>
      </c>
    </row>
    <row r="675" customFormat="false" ht="15" hidden="false" customHeight="false" outlineLevel="0" collapsed="false">
      <c r="A675" s="2" t="n">
        <v>674</v>
      </c>
      <c r="B675" s="2" t="s">
        <v>297</v>
      </c>
      <c r="C675" s="2" t="n">
        <v>68</v>
      </c>
      <c r="D675" s="2" t="n">
        <v>2</v>
      </c>
      <c r="E675" s="82" t="n">
        <v>44964</v>
      </c>
      <c r="F675" s="83" t="n">
        <v>0.403761574074074</v>
      </c>
      <c r="G675" s="82" t="n">
        <v>44973</v>
      </c>
      <c r="H675" s="83" t="n">
        <v>0.986400462962963</v>
      </c>
      <c r="I675" s="2" t="s">
        <v>308</v>
      </c>
      <c r="J675" s="2" t="s">
        <v>179</v>
      </c>
      <c r="K675" s="46" t="str">
        <f aca="false">INDEX(Products!$B$2:$B$71,MATCH($C675,Products!$A$2:$A$71,0))</f>
        <v>Quas Gift</v>
      </c>
      <c r="L675" s="46" t="str">
        <f aca="false">INDEX(Products!$C$2:$C$71,MATCH($C675,Products!$A$2:$A$71,0))</f>
        <v>Soft Toys</v>
      </c>
      <c r="M675" s="84" t="n">
        <f aca="false">INDEX(Products!$D$2:$D$71,MATCH($C675,Products!$A$2:$A$71,0))</f>
        <v>597</v>
      </c>
      <c r="N675" s="84" t="n">
        <f aca="false">$D675*$M675</f>
        <v>1194</v>
      </c>
      <c r="O675" s="46" t="str">
        <f aca="false">INDEX(Customers!$C$2:$C$101,MATCH($B675,Customers!$A$2:$A$101,0))</f>
        <v>North Dumdum</v>
      </c>
      <c r="P675" s="46" t="str">
        <f aca="false">INDEX(Customers!$F$2:$F$101,MATCH($B675,Customers!$A$2:$A$101,0))</f>
        <v>Male</v>
      </c>
      <c r="Q675" s="46" t="str">
        <f aca="false">INDEX(Customers!$B$2:$B$101,MATCH($B675,Customers!$A$2:$A$101,0))</f>
        <v>Badal Vora</v>
      </c>
      <c r="R675" s="46" t="n">
        <f aca="false">MONTH($E675)</f>
        <v>2</v>
      </c>
      <c r="S675" s="46" t="str">
        <f aca="false">INDEX(Lists!$B$2:$B$13,$R675)</f>
        <v>February</v>
      </c>
      <c r="T675" s="46" t="n">
        <f aca="false">HOUR($F675)</f>
        <v>9</v>
      </c>
      <c r="U675" s="46" t="n">
        <f aca="false">WEEKDAY($E675,2)</f>
        <v>2</v>
      </c>
      <c r="V675" s="46" t="str">
        <f aca="false">INDEX(Lists!$F$2:$F$8,$U675)</f>
        <v>Tuesday</v>
      </c>
      <c r="W675" s="85" t="n">
        <f aca="false">($G675+$H675)-($E675+$F675)</f>
        <v>9.58263888888889</v>
      </c>
      <c r="X675" s="46" t="str">
        <f aca="false">LOOKUP($M675,Lists!$G$2:$G$5,Lists!$H$2:$H$5)</f>
        <v>₹500 - 999</v>
      </c>
      <c r="Y675" s="46" t="str">
        <f aca="false">LOOKUP($W675,Lists!$I$2:$I$7,Lists!$J$2:$J$7)</f>
        <v>8 - 10 days</v>
      </c>
    </row>
    <row r="676" customFormat="false" ht="15" hidden="false" customHeight="false" outlineLevel="0" collapsed="false">
      <c r="A676" s="7" t="n">
        <v>675</v>
      </c>
      <c r="B676" s="7" t="s">
        <v>260</v>
      </c>
      <c r="C676" s="7" t="n">
        <v>13</v>
      </c>
      <c r="D676" s="7" t="n">
        <v>4</v>
      </c>
      <c r="E676" s="77" t="n">
        <v>44985</v>
      </c>
      <c r="F676" s="78" t="n">
        <v>0.336643518518519</v>
      </c>
      <c r="G676" s="77" t="n">
        <v>44994</v>
      </c>
      <c r="H676" s="78" t="n">
        <v>0.994583333333333</v>
      </c>
      <c r="I676" s="7" t="s">
        <v>517</v>
      </c>
      <c r="J676" s="7" t="s">
        <v>33</v>
      </c>
      <c r="K676" s="79" t="str">
        <f aca="false">INDEX(Products!$B$2:$B$71,MATCH($C676,Products!$A$2:$A$71,0))</f>
        <v>Et Set</v>
      </c>
      <c r="L676" s="79" t="str">
        <f aca="false">INDEX(Products!$C$2:$C$71,MATCH($C676,Products!$A$2:$A$71,0))</f>
        <v>Mugs</v>
      </c>
      <c r="M676" s="80" t="n">
        <f aca="false">INDEX(Products!$D$2:$D$71,MATCH($C676,Products!$A$2:$A$71,0))</f>
        <v>1141</v>
      </c>
      <c r="N676" s="80" t="n">
        <f aca="false">$D676*$M676</f>
        <v>4564</v>
      </c>
      <c r="O676" s="79" t="str">
        <f aca="false">INDEX(Customers!$C$2:$C$101,MATCH($B676,Customers!$A$2:$A$101,0))</f>
        <v>Dhanbad</v>
      </c>
      <c r="P676" s="79" t="str">
        <f aca="false">INDEX(Customers!$F$2:$F$101,MATCH($B676,Customers!$A$2:$A$101,0))</f>
        <v>Male</v>
      </c>
      <c r="Q676" s="79" t="str">
        <f aca="false">INDEX(Customers!$B$2:$B$101,MATCH($B676,Customers!$A$2:$A$101,0))</f>
        <v>Vardaniya Apte</v>
      </c>
      <c r="R676" s="79" t="n">
        <f aca="false">MONTH($E676)</f>
        <v>2</v>
      </c>
      <c r="S676" s="79" t="str">
        <f aca="false">INDEX(Lists!$B$2:$B$13,$R676)</f>
        <v>February</v>
      </c>
      <c r="T676" s="79" t="n">
        <f aca="false">HOUR($F676)</f>
        <v>8</v>
      </c>
      <c r="U676" s="79" t="n">
        <f aca="false">WEEKDAY($E676,2)</f>
        <v>2</v>
      </c>
      <c r="V676" s="79" t="str">
        <f aca="false">INDEX(Lists!$F$2:$F$8,$U676)</f>
        <v>Tuesday</v>
      </c>
      <c r="W676" s="81" t="n">
        <f aca="false">($G676+$H676)-($E676+$F676)</f>
        <v>9.65793981481482</v>
      </c>
      <c r="X676" s="79" t="str">
        <f aca="false">LOOKUP($M676,Lists!$G$2:$G$5,Lists!$H$2:$H$5)</f>
        <v>₹1,000 - 1,499</v>
      </c>
      <c r="Y676" s="79" t="str">
        <f aca="false">LOOKUP($W676,Lists!$I$2:$I$7,Lists!$J$2:$J$7)</f>
        <v>8 - 10 days</v>
      </c>
    </row>
    <row r="677" customFormat="false" ht="15" hidden="false" customHeight="false" outlineLevel="0" collapsed="false">
      <c r="A677" s="2" t="n">
        <v>676</v>
      </c>
      <c r="B677" s="2" t="s">
        <v>218</v>
      </c>
      <c r="C677" s="2" t="n">
        <v>46</v>
      </c>
      <c r="D677" s="2" t="n">
        <v>4</v>
      </c>
      <c r="E677" s="82" t="n">
        <v>44975</v>
      </c>
      <c r="F677" s="83" t="n">
        <v>0.529444444444445</v>
      </c>
      <c r="G677" s="82" t="n">
        <v>44977</v>
      </c>
      <c r="H677" s="83" t="n">
        <v>0.869814814814815</v>
      </c>
      <c r="I677" s="2" t="s">
        <v>448</v>
      </c>
      <c r="J677" s="2" t="s">
        <v>168</v>
      </c>
      <c r="K677" s="46" t="str">
        <f aca="false">INDEX(Products!$B$2:$B$71,MATCH($C677,Products!$A$2:$A$71,0))</f>
        <v>Pariatur Set</v>
      </c>
      <c r="L677" s="46" t="str">
        <f aca="false">INDEX(Products!$C$2:$C$71,MATCH($C677,Products!$A$2:$A$71,0))</f>
        <v>Cake</v>
      </c>
      <c r="M677" s="84" t="n">
        <f aca="false">INDEX(Products!$D$2:$D$71,MATCH($C677,Products!$A$2:$A$71,0))</f>
        <v>758</v>
      </c>
      <c r="N677" s="84" t="n">
        <f aca="false">$D677*$M677</f>
        <v>3032</v>
      </c>
      <c r="O677" s="46" t="str">
        <f aca="false">INDEX(Customers!$C$2:$C$101,MATCH($B677,Customers!$A$2:$A$101,0))</f>
        <v>Aizawl</v>
      </c>
      <c r="P677" s="46" t="str">
        <f aca="false">INDEX(Customers!$F$2:$F$101,MATCH($B677,Customers!$A$2:$A$101,0))</f>
        <v>Female</v>
      </c>
      <c r="Q677" s="46" t="str">
        <f aca="false">INDEX(Customers!$B$2:$B$101,MATCH($B677,Customers!$A$2:$A$101,0))</f>
        <v>Yakshit Shah</v>
      </c>
      <c r="R677" s="46" t="n">
        <f aca="false">MONTH($E677)</f>
        <v>2</v>
      </c>
      <c r="S677" s="46" t="str">
        <f aca="false">INDEX(Lists!$B$2:$B$13,$R677)</f>
        <v>February</v>
      </c>
      <c r="T677" s="46" t="n">
        <f aca="false">HOUR($F677)</f>
        <v>12</v>
      </c>
      <c r="U677" s="46" t="n">
        <f aca="false">WEEKDAY($E677,2)</f>
        <v>6</v>
      </c>
      <c r="V677" s="46" t="str">
        <f aca="false">INDEX(Lists!$F$2:$F$8,$U677)</f>
        <v>Saturday</v>
      </c>
      <c r="W677" s="85" t="n">
        <f aca="false">($G677+$H677)-($E677+$F677)</f>
        <v>2.34037037037037</v>
      </c>
      <c r="X677" s="46" t="str">
        <f aca="false">LOOKUP($M677,Lists!$G$2:$G$5,Lists!$H$2:$H$5)</f>
        <v>₹500 - 999</v>
      </c>
      <c r="Y677" s="46" t="str">
        <f aca="false">LOOKUP($W677,Lists!$I$2:$I$7,Lists!$J$2:$J$7)</f>
        <v>2 - 4 days</v>
      </c>
    </row>
    <row r="678" customFormat="false" ht="15" hidden="false" customHeight="false" outlineLevel="0" collapsed="false">
      <c r="A678" s="7" t="n">
        <v>677</v>
      </c>
      <c r="B678" s="7" t="s">
        <v>239</v>
      </c>
      <c r="C678" s="7" t="n">
        <v>37</v>
      </c>
      <c r="D678" s="7" t="n">
        <v>5</v>
      </c>
      <c r="E678" s="77" t="n">
        <v>45234</v>
      </c>
      <c r="F678" s="78" t="n">
        <v>0.329178240740741</v>
      </c>
      <c r="G678" s="77" t="n">
        <v>45244</v>
      </c>
      <c r="H678" s="78" t="n">
        <v>0.230960648148148</v>
      </c>
      <c r="I678" s="7" t="s">
        <v>520</v>
      </c>
      <c r="J678" s="7" t="s">
        <v>32</v>
      </c>
      <c r="K678" s="79" t="str">
        <f aca="false">INDEX(Products!$B$2:$B$71,MATCH($C678,Products!$A$2:$A$71,0))</f>
        <v>Officiis Pack</v>
      </c>
      <c r="L678" s="79" t="str">
        <f aca="false">INDEX(Products!$C$2:$C$71,MATCH($C678,Products!$A$2:$A$71,0))</f>
        <v>Colors</v>
      </c>
      <c r="M678" s="80" t="n">
        <f aca="false">INDEX(Products!$D$2:$D$71,MATCH($C678,Products!$A$2:$A$71,0))</f>
        <v>1428</v>
      </c>
      <c r="N678" s="80" t="n">
        <f aca="false">$D678*$M678</f>
        <v>7140</v>
      </c>
      <c r="O678" s="79" t="str">
        <f aca="false">INDEX(Customers!$C$2:$C$101,MATCH($B678,Customers!$A$2:$A$101,0))</f>
        <v>Maheshtala</v>
      </c>
      <c r="P678" s="79" t="str">
        <f aca="false">INDEX(Customers!$F$2:$F$101,MATCH($B678,Customers!$A$2:$A$101,0))</f>
        <v>Female</v>
      </c>
      <c r="Q678" s="79" t="str">
        <f aca="false">INDEX(Customers!$B$2:$B$101,MATCH($B678,Customers!$A$2:$A$101,0))</f>
        <v>Divit Mahajan</v>
      </c>
      <c r="R678" s="79" t="n">
        <f aca="false">MONTH($E678)</f>
        <v>11</v>
      </c>
      <c r="S678" s="79" t="str">
        <f aca="false">INDEX(Lists!$B$2:$B$13,$R678)</f>
        <v>November</v>
      </c>
      <c r="T678" s="79" t="n">
        <f aca="false">HOUR($F678)</f>
        <v>7</v>
      </c>
      <c r="U678" s="79" t="n">
        <f aca="false">WEEKDAY($E678,2)</f>
        <v>6</v>
      </c>
      <c r="V678" s="79" t="str">
        <f aca="false">INDEX(Lists!$F$2:$F$8,$U678)</f>
        <v>Saturday</v>
      </c>
      <c r="W678" s="81" t="n">
        <f aca="false">($G678+$H678)-($E678+$F678)</f>
        <v>9.90178240740741</v>
      </c>
      <c r="X678" s="79" t="str">
        <f aca="false">LOOKUP($M678,Lists!$G$2:$G$5,Lists!$H$2:$H$5)</f>
        <v>₹1,000 - 1,499</v>
      </c>
      <c r="Y678" s="79" t="str">
        <f aca="false">LOOKUP($W678,Lists!$I$2:$I$7,Lists!$J$2:$J$7)</f>
        <v>8 - 10 days</v>
      </c>
    </row>
    <row r="679" customFormat="false" ht="15" hidden="false" customHeight="false" outlineLevel="0" collapsed="false">
      <c r="A679" s="2" t="n">
        <v>678</v>
      </c>
      <c r="B679" s="2" t="s">
        <v>176</v>
      </c>
      <c r="C679" s="2" t="n">
        <v>31</v>
      </c>
      <c r="D679" s="2" t="n">
        <v>5</v>
      </c>
      <c r="E679" s="82" t="n">
        <v>45179</v>
      </c>
      <c r="F679" s="83" t="n">
        <v>0.599988425925926</v>
      </c>
      <c r="G679" s="82" t="n">
        <v>45189</v>
      </c>
      <c r="H679" s="83" t="n">
        <v>0.425775462962963</v>
      </c>
      <c r="I679" s="2" t="s">
        <v>434</v>
      </c>
      <c r="J679" s="2" t="s">
        <v>165</v>
      </c>
      <c r="K679" s="46" t="str">
        <f aca="false">INDEX(Products!$B$2:$B$71,MATCH($C679,Products!$A$2:$A$71,0))</f>
        <v>Nihil Box</v>
      </c>
      <c r="L679" s="46" t="str">
        <f aca="false">INDEX(Products!$C$2:$C$71,MATCH($C679,Products!$A$2:$A$71,0))</f>
        <v>Colors</v>
      </c>
      <c r="M679" s="84" t="n">
        <f aca="false">INDEX(Products!$D$2:$D$71,MATCH($C679,Products!$A$2:$A$71,0))</f>
        <v>1804</v>
      </c>
      <c r="N679" s="84" t="n">
        <f aca="false">$D679*$M679</f>
        <v>9020</v>
      </c>
      <c r="O679" s="46" t="str">
        <f aca="false">INDEX(Customers!$C$2:$C$101,MATCH($B679,Customers!$A$2:$A$101,0))</f>
        <v>Machilipatnam</v>
      </c>
      <c r="P679" s="46" t="str">
        <f aca="false">INDEX(Customers!$F$2:$F$101,MATCH($B679,Customers!$A$2:$A$101,0))</f>
        <v>Male</v>
      </c>
      <c r="Q679" s="46" t="str">
        <f aca="false">INDEX(Customers!$B$2:$B$101,MATCH($B679,Customers!$A$2:$A$101,0))</f>
        <v>Samaira Ganesh</v>
      </c>
      <c r="R679" s="46" t="n">
        <f aca="false">MONTH($E679)</f>
        <v>9</v>
      </c>
      <c r="S679" s="46" t="str">
        <f aca="false">INDEX(Lists!$B$2:$B$13,$R679)</f>
        <v>September</v>
      </c>
      <c r="T679" s="46" t="n">
        <f aca="false">HOUR($F679)</f>
        <v>14</v>
      </c>
      <c r="U679" s="46" t="n">
        <f aca="false">WEEKDAY($E679,2)</f>
        <v>7</v>
      </c>
      <c r="V679" s="46" t="str">
        <f aca="false">INDEX(Lists!$F$2:$F$8,$U679)</f>
        <v>Sunday</v>
      </c>
      <c r="W679" s="85" t="n">
        <f aca="false">($G679+$H679)-($E679+$F679)</f>
        <v>9.82578703703704</v>
      </c>
      <c r="X679" s="46" t="str">
        <f aca="false">LOOKUP($M679,Lists!$G$2:$G$5,Lists!$H$2:$H$5)</f>
        <v>₹1,500 - 2,000</v>
      </c>
      <c r="Y679" s="46" t="str">
        <f aca="false">LOOKUP($W679,Lists!$I$2:$I$7,Lists!$J$2:$J$7)</f>
        <v>8 - 10 days</v>
      </c>
    </row>
    <row r="680" customFormat="false" ht="15" hidden="false" customHeight="false" outlineLevel="0" collapsed="false">
      <c r="A680" s="7" t="n">
        <v>679</v>
      </c>
      <c r="B680" s="7" t="s">
        <v>174</v>
      </c>
      <c r="C680" s="7" t="n">
        <v>56</v>
      </c>
      <c r="D680" s="7" t="n">
        <v>2</v>
      </c>
      <c r="E680" s="77" t="n">
        <v>45204</v>
      </c>
      <c r="F680" s="78" t="n">
        <v>0.72869212962963</v>
      </c>
      <c r="G680" s="77" t="n">
        <v>45213</v>
      </c>
      <c r="H680" s="78" t="n">
        <v>0.540347222222222</v>
      </c>
      <c r="I680" s="7" t="s">
        <v>354</v>
      </c>
      <c r="J680" s="7" t="s">
        <v>168</v>
      </c>
      <c r="K680" s="79" t="str">
        <f aca="false">INDEX(Products!$B$2:$B$71,MATCH($C680,Products!$A$2:$A$71,0))</f>
        <v>Quia Gift</v>
      </c>
      <c r="L680" s="79" t="str">
        <f aca="false">INDEX(Products!$C$2:$C$71,MATCH($C680,Products!$A$2:$A$71,0))</f>
        <v>Raksha Bandhan</v>
      </c>
      <c r="M680" s="80" t="n">
        <f aca="false">INDEX(Products!$D$2:$D$71,MATCH($C680,Products!$A$2:$A$71,0))</f>
        <v>1272</v>
      </c>
      <c r="N680" s="80" t="n">
        <f aca="false">$D680*$M680</f>
        <v>2544</v>
      </c>
      <c r="O680" s="79" t="str">
        <f aca="false">INDEX(Customers!$C$2:$C$101,MATCH($B680,Customers!$A$2:$A$101,0))</f>
        <v>Danapur</v>
      </c>
      <c r="P680" s="79" t="str">
        <f aca="false">INDEX(Customers!$F$2:$F$101,MATCH($B680,Customers!$A$2:$A$101,0))</f>
        <v>Male</v>
      </c>
      <c r="Q680" s="79" t="str">
        <f aca="false">INDEX(Customers!$B$2:$B$101,MATCH($B680,Customers!$A$2:$A$101,0))</f>
        <v>Amira Sengupta</v>
      </c>
      <c r="R680" s="79" t="n">
        <f aca="false">MONTH($E680)</f>
        <v>10</v>
      </c>
      <c r="S680" s="79" t="str">
        <f aca="false">INDEX(Lists!$B$2:$B$13,$R680)</f>
        <v>October</v>
      </c>
      <c r="T680" s="79" t="n">
        <f aca="false">HOUR($F680)</f>
        <v>17</v>
      </c>
      <c r="U680" s="79" t="n">
        <f aca="false">WEEKDAY($E680,2)</f>
        <v>4</v>
      </c>
      <c r="V680" s="79" t="str">
        <f aca="false">INDEX(Lists!$F$2:$F$8,$U680)</f>
        <v>Thursday</v>
      </c>
      <c r="W680" s="81" t="n">
        <f aca="false">($G680+$H680)-($E680+$F680)</f>
        <v>8.81165509259259</v>
      </c>
      <c r="X680" s="79" t="str">
        <f aca="false">LOOKUP($M680,Lists!$G$2:$G$5,Lists!$H$2:$H$5)</f>
        <v>₹1,000 - 1,499</v>
      </c>
      <c r="Y680" s="79" t="str">
        <f aca="false">LOOKUP($W680,Lists!$I$2:$I$7,Lists!$J$2:$J$7)</f>
        <v>8 - 10 days</v>
      </c>
    </row>
    <row r="681" customFormat="false" ht="15" hidden="false" customHeight="false" outlineLevel="0" collapsed="false">
      <c r="A681" s="2" t="n">
        <v>680</v>
      </c>
      <c r="B681" s="2" t="s">
        <v>172</v>
      </c>
      <c r="C681" s="2" t="n">
        <v>56</v>
      </c>
      <c r="D681" s="2" t="n">
        <v>1</v>
      </c>
      <c r="E681" s="82" t="n">
        <v>45262</v>
      </c>
      <c r="F681" s="83" t="n">
        <v>0.930914351851852</v>
      </c>
      <c r="G681" s="82" t="n">
        <v>45268</v>
      </c>
      <c r="H681" s="83" t="n">
        <v>0.106365740740741</v>
      </c>
      <c r="I681" s="2" t="s">
        <v>189</v>
      </c>
      <c r="J681" s="2" t="s">
        <v>168</v>
      </c>
      <c r="K681" s="46" t="str">
        <f aca="false">INDEX(Products!$B$2:$B$71,MATCH($C681,Products!$A$2:$A$71,0))</f>
        <v>Quia Gift</v>
      </c>
      <c r="L681" s="46" t="str">
        <f aca="false">INDEX(Products!$C$2:$C$71,MATCH($C681,Products!$A$2:$A$71,0))</f>
        <v>Raksha Bandhan</v>
      </c>
      <c r="M681" s="84" t="n">
        <f aca="false">INDEX(Products!$D$2:$D$71,MATCH($C681,Products!$A$2:$A$71,0))</f>
        <v>1272</v>
      </c>
      <c r="N681" s="84" t="n">
        <f aca="false">$D681*$M681</f>
        <v>1272</v>
      </c>
      <c r="O681" s="46" t="str">
        <f aca="false">INDEX(Customers!$C$2:$C$101,MATCH($B681,Customers!$A$2:$A$101,0))</f>
        <v>Nizamabad</v>
      </c>
      <c r="P681" s="46" t="str">
        <f aca="false">INDEX(Customers!$F$2:$F$101,MATCH($B681,Customers!$A$2:$A$101,0))</f>
        <v>Male</v>
      </c>
      <c r="Q681" s="46" t="str">
        <f aca="false">INDEX(Customers!$B$2:$B$101,MATCH($B681,Customers!$A$2:$A$101,0))</f>
        <v>Eva Vaidya</v>
      </c>
      <c r="R681" s="46" t="n">
        <f aca="false">MONTH($E681)</f>
        <v>12</v>
      </c>
      <c r="S681" s="46" t="str">
        <f aca="false">INDEX(Lists!$B$2:$B$13,$R681)</f>
        <v>December</v>
      </c>
      <c r="T681" s="46" t="n">
        <f aca="false">HOUR($F681)</f>
        <v>22</v>
      </c>
      <c r="U681" s="46" t="n">
        <f aca="false">WEEKDAY($E681,2)</f>
        <v>6</v>
      </c>
      <c r="V681" s="46" t="str">
        <f aca="false">INDEX(Lists!$F$2:$F$8,$U681)</f>
        <v>Saturday</v>
      </c>
      <c r="W681" s="85" t="n">
        <f aca="false">($G681+$H681)-($E681+$F681)</f>
        <v>5.17545138888889</v>
      </c>
      <c r="X681" s="46" t="str">
        <f aca="false">LOOKUP($M681,Lists!$G$2:$G$5,Lists!$H$2:$H$5)</f>
        <v>₹1,000 - 1,499</v>
      </c>
      <c r="Y681" s="46" t="str">
        <f aca="false">LOOKUP($W681,Lists!$I$2:$I$7,Lists!$J$2:$J$7)</f>
        <v>4 - 6 days</v>
      </c>
    </row>
    <row r="682" customFormat="false" ht="15" hidden="false" customHeight="false" outlineLevel="0" collapsed="false">
      <c r="A682" s="7" t="n">
        <v>681</v>
      </c>
      <c r="B682" s="7" t="s">
        <v>388</v>
      </c>
      <c r="C682" s="7" t="n">
        <v>23</v>
      </c>
      <c r="D682" s="7" t="n">
        <v>5</v>
      </c>
      <c r="E682" s="77" t="n">
        <v>44955</v>
      </c>
      <c r="F682" s="78" t="n">
        <v>0.422291666666667</v>
      </c>
      <c r="G682" s="77" t="n">
        <v>44962</v>
      </c>
      <c r="H682" s="78" t="n">
        <v>0.501018518518519</v>
      </c>
      <c r="I682" s="7" t="s">
        <v>507</v>
      </c>
      <c r="J682" s="7" t="s">
        <v>168</v>
      </c>
      <c r="K682" s="79" t="str">
        <f aca="false">INDEX(Products!$B$2:$B$71,MATCH($C682,Products!$A$2:$A$71,0))</f>
        <v>Dignissimos Pack</v>
      </c>
      <c r="L682" s="79" t="str">
        <f aca="false">INDEX(Products!$C$2:$C$71,MATCH($C682,Products!$A$2:$A$71,0))</f>
        <v>Sweets</v>
      </c>
      <c r="M682" s="80" t="n">
        <f aca="false">INDEX(Products!$D$2:$D$71,MATCH($C682,Products!$A$2:$A$71,0))</f>
        <v>1098</v>
      </c>
      <c r="N682" s="80" t="n">
        <f aca="false">$D682*$M682</f>
        <v>5490</v>
      </c>
      <c r="O682" s="79" t="str">
        <f aca="false">INDEX(Customers!$C$2:$C$101,MATCH($B682,Customers!$A$2:$A$101,0))</f>
        <v>Cuttack</v>
      </c>
      <c r="P682" s="79" t="str">
        <f aca="false">INDEX(Customers!$F$2:$F$101,MATCH($B682,Customers!$A$2:$A$101,0))</f>
        <v>Male</v>
      </c>
      <c r="Q682" s="79" t="str">
        <f aca="false">INDEX(Customers!$B$2:$B$101,MATCH($B682,Customers!$A$2:$A$101,0))</f>
        <v>Navya Golla</v>
      </c>
      <c r="R682" s="79" t="n">
        <f aca="false">MONTH($E682)</f>
        <v>1</v>
      </c>
      <c r="S682" s="79" t="str">
        <f aca="false">INDEX(Lists!$B$2:$B$13,$R682)</f>
        <v>January</v>
      </c>
      <c r="T682" s="79" t="n">
        <f aca="false">HOUR($F682)</f>
        <v>10</v>
      </c>
      <c r="U682" s="79" t="n">
        <f aca="false">WEEKDAY($E682,2)</f>
        <v>7</v>
      </c>
      <c r="V682" s="79" t="str">
        <f aca="false">INDEX(Lists!$F$2:$F$8,$U682)</f>
        <v>Sunday</v>
      </c>
      <c r="W682" s="81" t="n">
        <f aca="false">($G682+$H682)-($E682+$F682)</f>
        <v>7.07872685185185</v>
      </c>
      <c r="X682" s="79" t="str">
        <f aca="false">LOOKUP($M682,Lists!$G$2:$G$5,Lists!$H$2:$H$5)</f>
        <v>₹1,000 - 1,499</v>
      </c>
      <c r="Y682" s="79" t="str">
        <f aca="false">LOOKUP($W682,Lists!$I$2:$I$7,Lists!$J$2:$J$7)</f>
        <v>6 - 8 days</v>
      </c>
    </row>
    <row r="683" customFormat="false" ht="15" hidden="false" customHeight="false" outlineLevel="0" collapsed="false">
      <c r="A683" s="2" t="n">
        <v>682</v>
      </c>
      <c r="B683" s="2" t="s">
        <v>266</v>
      </c>
      <c r="C683" s="2" t="n">
        <v>50</v>
      </c>
      <c r="D683" s="2" t="n">
        <v>5</v>
      </c>
      <c r="E683" s="82" t="n">
        <v>44983</v>
      </c>
      <c r="F683" s="83" t="n">
        <v>0.31337962962963</v>
      </c>
      <c r="G683" s="82" t="n">
        <v>44990</v>
      </c>
      <c r="H683" s="83" t="n">
        <v>0.4809375</v>
      </c>
      <c r="I683" s="2" t="s">
        <v>418</v>
      </c>
      <c r="J683" s="2" t="s">
        <v>33</v>
      </c>
      <c r="K683" s="46" t="str">
        <f aca="false">INDEX(Products!$B$2:$B$71,MATCH($C683,Products!$A$2:$A$71,0))</f>
        <v>Eligendi Set</v>
      </c>
      <c r="L683" s="46" t="str">
        <f aca="false">INDEX(Products!$C$2:$C$71,MATCH($C683,Products!$A$2:$A$71,0))</f>
        <v>Plants</v>
      </c>
      <c r="M683" s="84" t="n">
        <f aca="false">INDEX(Products!$D$2:$D$71,MATCH($C683,Products!$A$2:$A$71,0))</f>
        <v>422</v>
      </c>
      <c r="N683" s="84" t="n">
        <f aca="false">$D683*$M683</f>
        <v>2110</v>
      </c>
      <c r="O683" s="46" t="str">
        <f aca="false">INDEX(Customers!$C$2:$C$101,MATCH($B683,Customers!$A$2:$A$101,0))</f>
        <v>Bidhannagar</v>
      </c>
      <c r="P683" s="46" t="str">
        <f aca="false">INDEX(Customers!$F$2:$F$101,MATCH($B683,Customers!$A$2:$A$101,0))</f>
        <v>Female</v>
      </c>
      <c r="Q683" s="46" t="str">
        <f aca="false">INDEX(Customers!$B$2:$B$101,MATCH($B683,Customers!$A$2:$A$101,0))</f>
        <v>Umang Ahuja</v>
      </c>
      <c r="R683" s="46" t="n">
        <f aca="false">MONTH($E683)</f>
        <v>2</v>
      </c>
      <c r="S683" s="46" t="str">
        <f aca="false">INDEX(Lists!$B$2:$B$13,$R683)</f>
        <v>February</v>
      </c>
      <c r="T683" s="46" t="n">
        <f aca="false">HOUR($F683)</f>
        <v>7</v>
      </c>
      <c r="U683" s="46" t="n">
        <f aca="false">WEEKDAY($E683,2)</f>
        <v>7</v>
      </c>
      <c r="V683" s="46" t="str">
        <f aca="false">INDEX(Lists!$F$2:$F$8,$U683)</f>
        <v>Sunday</v>
      </c>
      <c r="W683" s="85" t="n">
        <f aca="false">($G683+$H683)-($E683+$F683)</f>
        <v>7.16755787037037</v>
      </c>
      <c r="X683" s="46" t="str">
        <f aca="false">LOOKUP($M683,Lists!$G$2:$G$5,Lists!$H$2:$H$5)</f>
        <v>₹0 - 499</v>
      </c>
      <c r="Y683" s="46" t="str">
        <f aca="false">LOOKUP($W683,Lists!$I$2:$I$7,Lists!$J$2:$J$7)</f>
        <v>6 - 8 days</v>
      </c>
    </row>
    <row r="684" customFormat="false" ht="15" hidden="false" customHeight="false" outlineLevel="0" collapsed="false">
      <c r="A684" s="7" t="n">
        <v>683</v>
      </c>
      <c r="B684" s="7" t="s">
        <v>185</v>
      </c>
      <c r="C684" s="7" t="n">
        <v>27</v>
      </c>
      <c r="D684" s="7" t="n">
        <v>3</v>
      </c>
      <c r="E684" s="77" t="n">
        <v>45161</v>
      </c>
      <c r="F684" s="78" t="n">
        <v>0.893726851851852</v>
      </c>
      <c r="G684" s="77" t="n">
        <v>45168</v>
      </c>
      <c r="H684" s="78" t="n">
        <v>0.80912037037037</v>
      </c>
      <c r="I684" s="7" t="s">
        <v>580</v>
      </c>
      <c r="J684" s="7" t="s">
        <v>40</v>
      </c>
      <c r="K684" s="79" t="str">
        <f aca="false">INDEX(Products!$B$2:$B$71,MATCH($C684,Products!$A$2:$A$71,0))</f>
        <v>Architecto Gift</v>
      </c>
      <c r="L684" s="79" t="str">
        <f aca="false">INDEX(Products!$C$2:$C$71,MATCH($C684,Products!$A$2:$A$71,0))</f>
        <v>Cake</v>
      </c>
      <c r="M684" s="80" t="n">
        <f aca="false">INDEX(Products!$D$2:$D$71,MATCH($C684,Products!$A$2:$A$71,0))</f>
        <v>548</v>
      </c>
      <c r="N684" s="80" t="n">
        <f aca="false">$D684*$M684</f>
        <v>1644</v>
      </c>
      <c r="O684" s="79" t="str">
        <f aca="false">INDEX(Customers!$C$2:$C$101,MATCH($B684,Customers!$A$2:$A$101,0))</f>
        <v>Kavali</v>
      </c>
      <c r="P684" s="79" t="str">
        <f aca="false">INDEX(Customers!$F$2:$F$101,MATCH($B684,Customers!$A$2:$A$101,0))</f>
        <v>Female</v>
      </c>
      <c r="Q684" s="79" t="str">
        <f aca="false">INDEX(Customers!$B$2:$B$101,MATCH($B684,Customers!$A$2:$A$101,0))</f>
        <v>Jhanvi Chowdhury</v>
      </c>
      <c r="R684" s="79" t="n">
        <f aca="false">MONTH($E684)</f>
        <v>8</v>
      </c>
      <c r="S684" s="79" t="str">
        <f aca="false">INDEX(Lists!$B$2:$B$13,$R684)</f>
        <v>August</v>
      </c>
      <c r="T684" s="79" t="n">
        <f aca="false">HOUR($F684)</f>
        <v>21</v>
      </c>
      <c r="U684" s="79" t="n">
        <f aca="false">WEEKDAY($E684,2)</f>
        <v>3</v>
      </c>
      <c r="V684" s="79" t="str">
        <f aca="false">INDEX(Lists!$F$2:$F$8,$U684)</f>
        <v>Wednesday</v>
      </c>
      <c r="W684" s="81" t="n">
        <f aca="false">($G684+$H684)-($E684+$F684)</f>
        <v>6.91539351851852</v>
      </c>
      <c r="X684" s="79" t="str">
        <f aca="false">LOOKUP($M684,Lists!$G$2:$G$5,Lists!$H$2:$H$5)</f>
        <v>₹500 - 999</v>
      </c>
      <c r="Y684" s="79" t="str">
        <f aca="false">LOOKUP($W684,Lists!$I$2:$I$7,Lists!$J$2:$J$7)</f>
        <v>6 - 8 days</v>
      </c>
    </row>
    <row r="685" customFormat="false" ht="15" hidden="false" customHeight="false" outlineLevel="0" collapsed="false">
      <c r="A685" s="2" t="n">
        <v>684</v>
      </c>
      <c r="B685" s="2" t="s">
        <v>196</v>
      </c>
      <c r="C685" s="2" t="n">
        <v>70</v>
      </c>
      <c r="D685" s="2" t="n">
        <v>3</v>
      </c>
      <c r="E685" s="82" t="n">
        <v>45186</v>
      </c>
      <c r="F685" s="83" t="n">
        <v>0.065162037037037</v>
      </c>
      <c r="G685" s="82" t="n">
        <v>45194</v>
      </c>
      <c r="H685" s="83" t="n">
        <v>0.114340277777778</v>
      </c>
      <c r="I685" s="2" t="s">
        <v>596</v>
      </c>
      <c r="J685" s="2" t="s">
        <v>31</v>
      </c>
      <c r="K685" s="46" t="str">
        <f aca="false">INDEX(Products!$B$2:$B$71,MATCH($C685,Products!$A$2:$A$71,0))</f>
        <v>Error Gift</v>
      </c>
      <c r="L685" s="46" t="str">
        <f aca="false">INDEX(Products!$C$2:$C$71,MATCH($C685,Products!$A$2:$A$71,0))</f>
        <v>Sweets</v>
      </c>
      <c r="M685" s="84" t="n">
        <f aca="false">INDEX(Products!$D$2:$D$71,MATCH($C685,Products!$A$2:$A$71,0))</f>
        <v>866</v>
      </c>
      <c r="N685" s="84" t="n">
        <f aca="false">$D685*$M685</f>
        <v>2598</v>
      </c>
      <c r="O685" s="46" t="str">
        <f aca="false">INDEX(Customers!$C$2:$C$101,MATCH($B685,Customers!$A$2:$A$101,0))</f>
        <v>Haridwar</v>
      </c>
      <c r="P685" s="46" t="str">
        <f aca="false">INDEX(Customers!$F$2:$F$101,MATCH($B685,Customers!$A$2:$A$101,0))</f>
        <v>Female</v>
      </c>
      <c r="Q685" s="46" t="str">
        <f aca="false">INDEX(Customers!$B$2:$B$101,MATCH($B685,Customers!$A$2:$A$101,0))</f>
        <v>Badal Sathe</v>
      </c>
      <c r="R685" s="46" t="n">
        <f aca="false">MONTH($E685)</f>
        <v>9</v>
      </c>
      <c r="S685" s="46" t="str">
        <f aca="false">INDEX(Lists!$B$2:$B$13,$R685)</f>
        <v>September</v>
      </c>
      <c r="T685" s="46" t="n">
        <f aca="false">HOUR($F685)</f>
        <v>1</v>
      </c>
      <c r="U685" s="46" t="n">
        <f aca="false">WEEKDAY($E685,2)</f>
        <v>7</v>
      </c>
      <c r="V685" s="46" t="str">
        <f aca="false">INDEX(Lists!$F$2:$F$8,$U685)</f>
        <v>Sunday</v>
      </c>
      <c r="W685" s="85" t="n">
        <f aca="false">($G685+$H685)-($E685+$F685)</f>
        <v>8.04917824074074</v>
      </c>
      <c r="X685" s="46" t="str">
        <f aca="false">LOOKUP($M685,Lists!$G$2:$G$5,Lists!$H$2:$H$5)</f>
        <v>₹500 - 999</v>
      </c>
      <c r="Y685" s="46" t="str">
        <f aca="false">LOOKUP($W685,Lists!$I$2:$I$7,Lists!$J$2:$J$7)</f>
        <v>8 - 10 days</v>
      </c>
    </row>
    <row r="686" customFormat="false" ht="15" hidden="false" customHeight="false" outlineLevel="0" collapsed="false">
      <c r="A686" s="7" t="n">
        <v>685</v>
      </c>
      <c r="B686" s="7" t="s">
        <v>266</v>
      </c>
      <c r="C686" s="7" t="n">
        <v>22</v>
      </c>
      <c r="D686" s="7" t="n">
        <v>1</v>
      </c>
      <c r="E686" s="77" t="n">
        <v>45170</v>
      </c>
      <c r="F686" s="78" t="n">
        <v>0.878240740740741</v>
      </c>
      <c r="G686" s="77" t="n">
        <v>45180</v>
      </c>
      <c r="H686" s="78" t="n">
        <v>0.3546875</v>
      </c>
      <c r="I686" s="7" t="s">
        <v>566</v>
      </c>
      <c r="J686" s="7" t="s">
        <v>165</v>
      </c>
      <c r="K686" s="79" t="str">
        <f aca="false">INDEX(Products!$B$2:$B$71,MATCH($C686,Products!$A$2:$A$71,0))</f>
        <v>Exercitationem Pack</v>
      </c>
      <c r="L686" s="79" t="str">
        <f aca="false">INDEX(Products!$C$2:$C$71,MATCH($C686,Products!$A$2:$A$71,0))</f>
        <v>Soft Toys</v>
      </c>
      <c r="M686" s="80" t="n">
        <f aca="false">INDEX(Products!$D$2:$D$71,MATCH($C686,Products!$A$2:$A$71,0))</f>
        <v>1639</v>
      </c>
      <c r="N686" s="80" t="n">
        <f aca="false">$D686*$M686</f>
        <v>1639</v>
      </c>
      <c r="O686" s="79" t="str">
        <f aca="false">INDEX(Customers!$C$2:$C$101,MATCH($B686,Customers!$A$2:$A$101,0))</f>
        <v>Bidhannagar</v>
      </c>
      <c r="P686" s="79" t="str">
        <f aca="false">INDEX(Customers!$F$2:$F$101,MATCH($B686,Customers!$A$2:$A$101,0))</f>
        <v>Female</v>
      </c>
      <c r="Q686" s="79" t="str">
        <f aca="false">INDEX(Customers!$B$2:$B$101,MATCH($B686,Customers!$A$2:$A$101,0))</f>
        <v>Umang Ahuja</v>
      </c>
      <c r="R686" s="79" t="n">
        <f aca="false">MONTH($E686)</f>
        <v>9</v>
      </c>
      <c r="S686" s="79" t="str">
        <f aca="false">INDEX(Lists!$B$2:$B$13,$R686)</f>
        <v>September</v>
      </c>
      <c r="T686" s="79" t="n">
        <f aca="false">HOUR($F686)</f>
        <v>21</v>
      </c>
      <c r="U686" s="79" t="n">
        <f aca="false">WEEKDAY($E686,2)</f>
        <v>5</v>
      </c>
      <c r="V686" s="79" t="str">
        <f aca="false">INDEX(Lists!$F$2:$F$8,$U686)</f>
        <v>Friday</v>
      </c>
      <c r="W686" s="81" t="n">
        <f aca="false">($G686+$H686)-($E686+$F686)</f>
        <v>9.47644675925926</v>
      </c>
      <c r="X686" s="79" t="str">
        <f aca="false">LOOKUP($M686,Lists!$G$2:$G$5,Lists!$H$2:$H$5)</f>
        <v>₹1,500 - 2,000</v>
      </c>
      <c r="Y686" s="79" t="str">
        <f aca="false">LOOKUP($W686,Lists!$I$2:$I$7,Lists!$J$2:$J$7)</f>
        <v>8 - 10 days</v>
      </c>
    </row>
    <row r="687" customFormat="false" ht="15" hidden="false" customHeight="false" outlineLevel="0" collapsed="false">
      <c r="A687" s="2" t="n">
        <v>686</v>
      </c>
      <c r="B687" s="2" t="s">
        <v>190</v>
      </c>
      <c r="C687" s="2" t="n">
        <v>50</v>
      </c>
      <c r="D687" s="2" t="n">
        <v>1</v>
      </c>
      <c r="E687" s="82" t="n">
        <v>44986</v>
      </c>
      <c r="F687" s="83" t="n">
        <v>0.68724537037037</v>
      </c>
      <c r="G687" s="82" t="n">
        <v>44996</v>
      </c>
      <c r="H687" s="83" t="n">
        <v>0.901377314814815</v>
      </c>
      <c r="I687" s="2" t="s">
        <v>201</v>
      </c>
      <c r="J687" s="2" t="s">
        <v>33</v>
      </c>
      <c r="K687" s="46" t="str">
        <f aca="false">INDEX(Products!$B$2:$B$71,MATCH($C687,Products!$A$2:$A$71,0))</f>
        <v>Eligendi Set</v>
      </c>
      <c r="L687" s="46" t="str">
        <f aca="false">INDEX(Products!$C$2:$C$71,MATCH($C687,Products!$A$2:$A$71,0))</f>
        <v>Plants</v>
      </c>
      <c r="M687" s="84" t="n">
        <f aca="false">INDEX(Products!$D$2:$D$71,MATCH($C687,Products!$A$2:$A$71,0))</f>
        <v>422</v>
      </c>
      <c r="N687" s="84" t="n">
        <f aca="false">$D687*$M687</f>
        <v>422</v>
      </c>
      <c r="O687" s="46" t="str">
        <f aca="false">INDEX(Customers!$C$2:$C$101,MATCH($B687,Customers!$A$2:$A$101,0))</f>
        <v>Farrukhabad</v>
      </c>
      <c r="P687" s="46" t="str">
        <f aca="false">INDEX(Customers!$F$2:$F$101,MATCH($B687,Customers!$A$2:$A$101,0))</f>
        <v>Female</v>
      </c>
      <c r="Q687" s="46" t="str">
        <f aca="false">INDEX(Customers!$B$2:$B$101,MATCH($B687,Customers!$A$2:$A$101,0))</f>
        <v>Ira Chahal</v>
      </c>
      <c r="R687" s="46" t="n">
        <f aca="false">MONTH($E687)</f>
        <v>3</v>
      </c>
      <c r="S687" s="46" t="str">
        <f aca="false">INDEX(Lists!$B$2:$B$13,$R687)</f>
        <v>March</v>
      </c>
      <c r="T687" s="46" t="n">
        <f aca="false">HOUR($F687)</f>
        <v>16</v>
      </c>
      <c r="U687" s="46" t="n">
        <f aca="false">WEEKDAY($E687,2)</f>
        <v>3</v>
      </c>
      <c r="V687" s="46" t="str">
        <f aca="false">INDEX(Lists!$F$2:$F$8,$U687)</f>
        <v>Wednesday</v>
      </c>
      <c r="W687" s="85" t="n">
        <f aca="false">($G687+$H687)-($E687+$F687)</f>
        <v>10.2141319444444</v>
      </c>
      <c r="X687" s="46" t="str">
        <f aca="false">LOOKUP($M687,Lists!$G$2:$G$5,Lists!$H$2:$H$5)</f>
        <v>₹0 - 499</v>
      </c>
      <c r="Y687" s="46" t="str">
        <f aca="false">LOOKUP($W687,Lists!$I$2:$I$7,Lists!$J$2:$J$7)</f>
        <v>Over 10 days</v>
      </c>
    </row>
    <row r="688" customFormat="false" ht="15" hidden="false" customHeight="false" outlineLevel="0" collapsed="false">
      <c r="A688" s="7" t="n">
        <v>687</v>
      </c>
      <c r="B688" s="7" t="s">
        <v>388</v>
      </c>
      <c r="C688" s="7" t="n">
        <v>8</v>
      </c>
      <c r="D688" s="7" t="n">
        <v>5</v>
      </c>
      <c r="E688" s="77" t="n">
        <v>45000</v>
      </c>
      <c r="F688" s="78" t="n">
        <v>0.748090277777778</v>
      </c>
      <c r="G688" s="77" t="n">
        <v>45004</v>
      </c>
      <c r="H688" s="78" t="n">
        <v>0.202013888888889</v>
      </c>
      <c r="I688" s="7" t="s">
        <v>535</v>
      </c>
      <c r="J688" s="7" t="s">
        <v>168</v>
      </c>
      <c r="K688" s="79" t="str">
        <f aca="false">INDEX(Products!$B$2:$B$71,MATCH($C688,Products!$A$2:$A$71,0))</f>
        <v>Qui Box</v>
      </c>
      <c r="L688" s="79" t="str">
        <f aca="false">INDEX(Products!$C$2:$C$71,MATCH($C688,Products!$A$2:$A$71,0))</f>
        <v>Sweets</v>
      </c>
      <c r="M688" s="80" t="n">
        <f aca="false">INDEX(Products!$D$2:$D$71,MATCH($C688,Products!$A$2:$A$71,0))</f>
        <v>252</v>
      </c>
      <c r="N688" s="80" t="n">
        <f aca="false">$D688*$M688</f>
        <v>1260</v>
      </c>
      <c r="O688" s="79" t="str">
        <f aca="false">INDEX(Customers!$C$2:$C$101,MATCH($B688,Customers!$A$2:$A$101,0))</f>
        <v>Cuttack</v>
      </c>
      <c r="P688" s="79" t="str">
        <f aca="false">INDEX(Customers!$F$2:$F$101,MATCH($B688,Customers!$A$2:$A$101,0))</f>
        <v>Male</v>
      </c>
      <c r="Q688" s="79" t="str">
        <f aca="false">INDEX(Customers!$B$2:$B$101,MATCH($B688,Customers!$A$2:$A$101,0))</f>
        <v>Navya Golla</v>
      </c>
      <c r="R688" s="79" t="n">
        <f aca="false">MONTH($E688)</f>
        <v>3</v>
      </c>
      <c r="S688" s="79" t="str">
        <f aca="false">INDEX(Lists!$B$2:$B$13,$R688)</f>
        <v>March</v>
      </c>
      <c r="T688" s="79" t="n">
        <f aca="false">HOUR($F688)</f>
        <v>17</v>
      </c>
      <c r="U688" s="79" t="n">
        <f aca="false">WEEKDAY($E688,2)</f>
        <v>3</v>
      </c>
      <c r="V688" s="79" t="str">
        <f aca="false">INDEX(Lists!$F$2:$F$8,$U688)</f>
        <v>Wednesday</v>
      </c>
      <c r="W688" s="81" t="n">
        <f aca="false">($G688+$H688)-($E688+$F688)</f>
        <v>3.45392361111111</v>
      </c>
      <c r="X688" s="79" t="str">
        <f aca="false">LOOKUP($M688,Lists!$G$2:$G$5,Lists!$H$2:$H$5)</f>
        <v>₹0 - 499</v>
      </c>
      <c r="Y688" s="79" t="str">
        <f aca="false">LOOKUP($W688,Lists!$I$2:$I$7,Lists!$J$2:$J$7)</f>
        <v>2 - 4 days</v>
      </c>
    </row>
    <row r="689" customFormat="false" ht="15" hidden="false" customHeight="false" outlineLevel="0" collapsed="false">
      <c r="A689" s="2" t="n">
        <v>688</v>
      </c>
      <c r="B689" s="2" t="s">
        <v>164</v>
      </c>
      <c r="C689" s="2" t="n">
        <v>54</v>
      </c>
      <c r="D689" s="2" t="n">
        <v>2</v>
      </c>
      <c r="E689" s="82" t="n">
        <v>44954</v>
      </c>
      <c r="F689" s="83" t="n">
        <v>0.793136574074074</v>
      </c>
      <c r="G689" s="82" t="n">
        <v>44956</v>
      </c>
      <c r="H689" s="83" t="n">
        <v>0.577337962962963</v>
      </c>
      <c r="I689" s="2" t="s">
        <v>473</v>
      </c>
      <c r="J689" s="2" t="s">
        <v>168</v>
      </c>
      <c r="K689" s="46" t="str">
        <f aca="false">INDEX(Products!$B$2:$B$71,MATCH($C689,Products!$A$2:$A$71,0))</f>
        <v>Occaecati Gift</v>
      </c>
      <c r="L689" s="46" t="str">
        <f aca="false">INDEX(Products!$C$2:$C$71,MATCH($C689,Products!$A$2:$A$71,0))</f>
        <v>Cake</v>
      </c>
      <c r="M689" s="84" t="n">
        <f aca="false">INDEX(Products!$D$2:$D$71,MATCH($C689,Products!$A$2:$A$71,0))</f>
        <v>1236</v>
      </c>
      <c r="N689" s="84" t="n">
        <f aca="false">$D689*$M689</f>
        <v>2472</v>
      </c>
      <c r="O689" s="46" t="str">
        <f aca="false">INDEX(Customers!$C$2:$C$101,MATCH($B689,Customers!$A$2:$A$101,0))</f>
        <v>Kolkata</v>
      </c>
      <c r="P689" s="46" t="str">
        <f aca="false">INDEX(Customers!$F$2:$F$101,MATCH($B689,Customers!$A$2:$A$101,0))</f>
        <v>Female</v>
      </c>
      <c r="Q689" s="46" t="str">
        <f aca="false">INDEX(Customers!$B$2:$B$101,MATCH($B689,Customers!$A$2:$A$101,0))</f>
        <v>Romil Bajwa</v>
      </c>
      <c r="R689" s="46" t="n">
        <f aca="false">MONTH($E689)</f>
        <v>1</v>
      </c>
      <c r="S689" s="46" t="str">
        <f aca="false">INDEX(Lists!$B$2:$B$13,$R689)</f>
        <v>January</v>
      </c>
      <c r="T689" s="46" t="n">
        <f aca="false">HOUR($F689)</f>
        <v>19</v>
      </c>
      <c r="U689" s="46" t="n">
        <f aca="false">WEEKDAY($E689,2)</f>
        <v>6</v>
      </c>
      <c r="V689" s="46" t="str">
        <f aca="false">INDEX(Lists!$F$2:$F$8,$U689)</f>
        <v>Saturday</v>
      </c>
      <c r="W689" s="85" t="n">
        <f aca="false">($G689+$H689)-($E689+$F689)</f>
        <v>1.78420138888889</v>
      </c>
      <c r="X689" s="46" t="str">
        <f aca="false">LOOKUP($M689,Lists!$G$2:$G$5,Lists!$H$2:$H$5)</f>
        <v>₹1,000 - 1,499</v>
      </c>
      <c r="Y689" s="46" t="str">
        <f aca="false">LOOKUP($W689,Lists!$I$2:$I$7,Lists!$J$2:$J$7)</f>
        <v>0 - 2 days</v>
      </c>
    </row>
    <row r="690" customFormat="false" ht="15" hidden="false" customHeight="false" outlineLevel="0" collapsed="false">
      <c r="A690" s="7" t="n">
        <v>689</v>
      </c>
      <c r="B690" s="7" t="s">
        <v>242</v>
      </c>
      <c r="C690" s="7" t="n">
        <v>66</v>
      </c>
      <c r="D690" s="7" t="n">
        <v>4</v>
      </c>
      <c r="E690" s="77" t="n">
        <v>44987</v>
      </c>
      <c r="F690" s="78" t="n">
        <v>0.244930555555556</v>
      </c>
      <c r="G690" s="77" t="n">
        <v>44992</v>
      </c>
      <c r="H690" s="78" t="n">
        <v>0.458645833333333</v>
      </c>
      <c r="I690" s="7" t="s">
        <v>567</v>
      </c>
      <c r="J690" s="7" t="s">
        <v>33</v>
      </c>
      <c r="K690" s="79" t="str">
        <f aca="false">INDEX(Products!$B$2:$B$71,MATCH($C690,Products!$A$2:$A$71,0))</f>
        <v>Quas Box</v>
      </c>
      <c r="L690" s="79" t="str">
        <f aca="false">INDEX(Products!$C$2:$C$71,MATCH($C690,Products!$A$2:$A$71,0))</f>
        <v>Colors</v>
      </c>
      <c r="M690" s="80" t="n">
        <f aca="false">INDEX(Products!$D$2:$D$71,MATCH($C690,Products!$A$2:$A$71,0))</f>
        <v>610</v>
      </c>
      <c r="N690" s="80" t="n">
        <f aca="false">$D690*$M690</f>
        <v>2440</v>
      </c>
      <c r="O690" s="79" t="str">
        <f aca="false">INDEX(Customers!$C$2:$C$101,MATCH($B690,Customers!$A$2:$A$101,0))</f>
        <v>Guna</v>
      </c>
      <c r="P690" s="79" t="str">
        <f aca="false">INDEX(Customers!$F$2:$F$101,MATCH($B690,Customers!$A$2:$A$101,0))</f>
        <v>Male</v>
      </c>
      <c r="Q690" s="79" t="str">
        <f aca="false">INDEX(Customers!$B$2:$B$101,MATCH($B690,Customers!$A$2:$A$101,0))</f>
        <v>Tara Kannan</v>
      </c>
      <c r="R690" s="79" t="n">
        <f aca="false">MONTH($E690)</f>
        <v>3</v>
      </c>
      <c r="S690" s="79" t="str">
        <f aca="false">INDEX(Lists!$B$2:$B$13,$R690)</f>
        <v>March</v>
      </c>
      <c r="T690" s="79" t="n">
        <f aca="false">HOUR($F690)</f>
        <v>5</v>
      </c>
      <c r="U690" s="79" t="n">
        <f aca="false">WEEKDAY($E690,2)</f>
        <v>4</v>
      </c>
      <c r="V690" s="79" t="str">
        <f aca="false">INDEX(Lists!$F$2:$F$8,$U690)</f>
        <v>Thursday</v>
      </c>
      <c r="W690" s="81" t="n">
        <f aca="false">($G690+$H690)-($E690+$F690)</f>
        <v>5.21371527777778</v>
      </c>
      <c r="X690" s="79" t="str">
        <f aca="false">LOOKUP($M690,Lists!$G$2:$G$5,Lists!$H$2:$H$5)</f>
        <v>₹500 - 999</v>
      </c>
      <c r="Y690" s="79" t="str">
        <f aca="false">LOOKUP($W690,Lists!$I$2:$I$7,Lists!$J$2:$J$7)</f>
        <v>4 - 6 days</v>
      </c>
    </row>
    <row r="691" customFormat="false" ht="15" hidden="false" customHeight="false" outlineLevel="0" collapsed="false">
      <c r="A691" s="2" t="n">
        <v>690</v>
      </c>
      <c r="B691" s="2" t="s">
        <v>347</v>
      </c>
      <c r="C691" s="2" t="n">
        <v>48</v>
      </c>
      <c r="D691" s="2" t="n">
        <v>2</v>
      </c>
      <c r="E691" s="82" t="n">
        <v>45232</v>
      </c>
      <c r="F691" s="83" t="n">
        <v>0.88431712962963</v>
      </c>
      <c r="G691" s="82" t="n">
        <v>45235</v>
      </c>
      <c r="H691" s="83" t="n">
        <v>0.897777777777778</v>
      </c>
      <c r="I691" s="2" t="s">
        <v>438</v>
      </c>
      <c r="J691" s="2" t="s">
        <v>32</v>
      </c>
      <c r="K691" s="46" t="str">
        <f aca="false">INDEX(Products!$B$2:$B$71,MATCH($C691,Products!$A$2:$A$71,0))</f>
        <v>Maiores Gift</v>
      </c>
      <c r="L691" s="46" t="str">
        <f aca="false">INDEX(Products!$C$2:$C$71,MATCH($C691,Products!$A$2:$A$71,0))</f>
        <v>Colors</v>
      </c>
      <c r="M691" s="84" t="n">
        <f aca="false">INDEX(Products!$D$2:$D$71,MATCH($C691,Products!$A$2:$A$71,0))</f>
        <v>433</v>
      </c>
      <c r="N691" s="84" t="n">
        <f aca="false">$D691*$M691</f>
        <v>866</v>
      </c>
      <c r="O691" s="46" t="str">
        <f aca="false">INDEX(Customers!$C$2:$C$101,MATCH($B691,Customers!$A$2:$A$101,0))</f>
        <v>Raurkela Industrial Township</v>
      </c>
      <c r="P691" s="46" t="str">
        <f aca="false">INDEX(Customers!$F$2:$F$101,MATCH($B691,Customers!$A$2:$A$101,0))</f>
        <v>Male</v>
      </c>
      <c r="Q691" s="46" t="str">
        <f aca="false">INDEX(Customers!$B$2:$B$101,MATCH($B691,Customers!$A$2:$A$101,0))</f>
        <v>Aaryahi Sodhi</v>
      </c>
      <c r="R691" s="46" t="n">
        <f aca="false">MONTH($E691)</f>
        <v>11</v>
      </c>
      <c r="S691" s="46" t="str">
        <f aca="false">INDEX(Lists!$B$2:$B$13,$R691)</f>
        <v>November</v>
      </c>
      <c r="T691" s="46" t="n">
        <f aca="false">HOUR($F691)</f>
        <v>21</v>
      </c>
      <c r="U691" s="46" t="n">
        <f aca="false">WEEKDAY($E691,2)</f>
        <v>4</v>
      </c>
      <c r="V691" s="46" t="str">
        <f aca="false">INDEX(Lists!$F$2:$F$8,$U691)</f>
        <v>Thursday</v>
      </c>
      <c r="W691" s="85" t="n">
        <f aca="false">($G691+$H691)-($E691+$F691)</f>
        <v>3.01346064814815</v>
      </c>
      <c r="X691" s="46" t="str">
        <f aca="false">LOOKUP($M691,Lists!$G$2:$G$5,Lists!$H$2:$H$5)</f>
        <v>₹0 - 499</v>
      </c>
      <c r="Y691" s="46" t="str">
        <f aca="false">LOOKUP($W691,Lists!$I$2:$I$7,Lists!$J$2:$J$7)</f>
        <v>2 - 4 days</v>
      </c>
    </row>
    <row r="692" customFormat="false" ht="15" hidden="false" customHeight="false" outlineLevel="0" collapsed="false">
      <c r="A692" s="7" t="n">
        <v>691</v>
      </c>
      <c r="B692" s="7" t="s">
        <v>127</v>
      </c>
      <c r="C692" s="7" t="n">
        <v>48</v>
      </c>
      <c r="D692" s="7" t="n">
        <v>5</v>
      </c>
      <c r="E692" s="77" t="n">
        <v>45236</v>
      </c>
      <c r="F692" s="78" t="n">
        <v>0.224108796296296</v>
      </c>
      <c r="G692" s="77" t="n">
        <v>45240</v>
      </c>
      <c r="H692" s="78" t="n">
        <v>0.464189814814815</v>
      </c>
      <c r="I692" s="7" t="s">
        <v>502</v>
      </c>
      <c r="J692" s="7" t="s">
        <v>32</v>
      </c>
      <c r="K692" s="79" t="str">
        <f aca="false">INDEX(Products!$B$2:$B$71,MATCH($C692,Products!$A$2:$A$71,0))</f>
        <v>Maiores Gift</v>
      </c>
      <c r="L692" s="79" t="str">
        <f aca="false">INDEX(Products!$C$2:$C$71,MATCH($C692,Products!$A$2:$A$71,0))</f>
        <v>Colors</v>
      </c>
      <c r="M692" s="80" t="n">
        <f aca="false">INDEX(Products!$D$2:$D$71,MATCH($C692,Products!$A$2:$A$71,0))</f>
        <v>433</v>
      </c>
      <c r="N692" s="80" t="n">
        <f aca="false">$D692*$M692</f>
        <v>2165</v>
      </c>
      <c r="O692" s="79" t="str">
        <f aca="false">INDEX(Customers!$C$2:$C$101,MATCH($B692,Customers!$A$2:$A$101,0))</f>
        <v>Bulandshahr</v>
      </c>
      <c r="P692" s="79" t="str">
        <f aca="false">INDEX(Customers!$F$2:$F$101,MATCH($B692,Customers!$A$2:$A$101,0))</f>
        <v>Female</v>
      </c>
      <c r="Q692" s="79" t="str">
        <f aca="false">INDEX(Customers!$B$2:$B$101,MATCH($B692,Customers!$A$2:$A$101,0))</f>
        <v>Myra Edwin</v>
      </c>
      <c r="R692" s="79" t="n">
        <f aca="false">MONTH($E692)</f>
        <v>11</v>
      </c>
      <c r="S692" s="79" t="str">
        <f aca="false">INDEX(Lists!$B$2:$B$13,$R692)</f>
        <v>November</v>
      </c>
      <c r="T692" s="79" t="n">
        <f aca="false">HOUR($F692)</f>
        <v>5</v>
      </c>
      <c r="U692" s="79" t="n">
        <f aca="false">WEEKDAY($E692,2)</f>
        <v>1</v>
      </c>
      <c r="V692" s="79" t="str">
        <f aca="false">INDEX(Lists!$F$2:$F$8,$U692)</f>
        <v>Monday</v>
      </c>
      <c r="W692" s="81" t="n">
        <f aca="false">($G692+$H692)-($E692+$F692)</f>
        <v>4.24008101851852</v>
      </c>
      <c r="X692" s="79" t="str">
        <f aca="false">LOOKUP($M692,Lists!$G$2:$G$5,Lists!$H$2:$H$5)</f>
        <v>₹0 - 499</v>
      </c>
      <c r="Y692" s="79" t="str">
        <f aca="false">LOOKUP($W692,Lists!$I$2:$I$7,Lists!$J$2:$J$7)</f>
        <v>4 - 6 days</v>
      </c>
    </row>
    <row r="693" customFormat="false" ht="15" hidden="false" customHeight="false" outlineLevel="0" collapsed="false">
      <c r="A693" s="2" t="n">
        <v>692</v>
      </c>
      <c r="B693" s="2" t="s">
        <v>209</v>
      </c>
      <c r="C693" s="2" t="n">
        <v>15</v>
      </c>
      <c r="D693" s="2" t="n">
        <v>2</v>
      </c>
      <c r="E693" s="82" t="n">
        <v>45149</v>
      </c>
      <c r="F693" s="83" t="n">
        <v>0.295081018518519</v>
      </c>
      <c r="G693" s="82" t="n">
        <v>45156</v>
      </c>
      <c r="H693" s="83" t="n">
        <v>0.280983796296296</v>
      </c>
      <c r="I693" s="2" t="s">
        <v>594</v>
      </c>
      <c r="J693" s="2" t="s">
        <v>168</v>
      </c>
      <c r="K693" s="46" t="str">
        <f aca="false">INDEX(Products!$B$2:$B$71,MATCH($C693,Products!$A$2:$A$71,0))</f>
        <v>Repudiandae Box</v>
      </c>
      <c r="L693" s="46" t="str">
        <f aca="false">INDEX(Products!$C$2:$C$71,MATCH($C693,Products!$A$2:$A$71,0))</f>
        <v>Raksha Bandhan</v>
      </c>
      <c r="M693" s="84" t="n">
        <f aca="false">INDEX(Products!$D$2:$D$71,MATCH($C693,Products!$A$2:$A$71,0))</f>
        <v>1488</v>
      </c>
      <c r="N693" s="84" t="n">
        <f aca="false">$D693*$M693</f>
        <v>2976</v>
      </c>
      <c r="O693" s="46" t="str">
        <f aca="false">INDEX(Customers!$C$2:$C$101,MATCH($B693,Customers!$A$2:$A$101,0))</f>
        <v>Vellore</v>
      </c>
      <c r="P693" s="46" t="str">
        <f aca="false">INDEX(Customers!$F$2:$F$101,MATCH($B693,Customers!$A$2:$A$101,0))</f>
        <v>Male</v>
      </c>
      <c r="Q693" s="46" t="str">
        <f aca="false">INDEX(Customers!$B$2:$B$101,MATCH($B693,Customers!$A$2:$A$101,0))</f>
        <v>Ira Sarna</v>
      </c>
      <c r="R693" s="46" t="n">
        <f aca="false">MONTH($E693)</f>
        <v>8</v>
      </c>
      <c r="S693" s="46" t="str">
        <f aca="false">INDEX(Lists!$B$2:$B$13,$R693)</f>
        <v>August</v>
      </c>
      <c r="T693" s="46" t="n">
        <f aca="false">HOUR($F693)</f>
        <v>7</v>
      </c>
      <c r="U693" s="46" t="n">
        <f aca="false">WEEKDAY($E693,2)</f>
        <v>5</v>
      </c>
      <c r="V693" s="46" t="str">
        <f aca="false">INDEX(Lists!$F$2:$F$8,$U693)</f>
        <v>Friday</v>
      </c>
      <c r="W693" s="85" t="n">
        <f aca="false">($G693+$H693)-($E693+$F693)</f>
        <v>6.98590277777778</v>
      </c>
      <c r="X693" s="46" t="str">
        <f aca="false">LOOKUP($M693,Lists!$G$2:$G$5,Lists!$H$2:$H$5)</f>
        <v>₹1,000 - 1,499</v>
      </c>
      <c r="Y693" s="46" t="str">
        <f aca="false">LOOKUP($W693,Lists!$I$2:$I$7,Lists!$J$2:$J$7)</f>
        <v>6 - 8 days</v>
      </c>
    </row>
    <row r="694" customFormat="false" ht="15" hidden="false" customHeight="false" outlineLevel="0" collapsed="false">
      <c r="A694" s="7" t="n">
        <v>693</v>
      </c>
      <c r="B694" s="7" t="s">
        <v>227</v>
      </c>
      <c r="C694" s="7" t="n">
        <v>4</v>
      </c>
      <c r="D694" s="7" t="n">
        <v>5</v>
      </c>
      <c r="E694" s="77" t="n">
        <v>45234</v>
      </c>
      <c r="F694" s="78" t="n">
        <v>0.992303240740741</v>
      </c>
      <c r="G694" s="77" t="n">
        <v>45237</v>
      </c>
      <c r="H694" s="78" t="n">
        <v>0.230173611111111</v>
      </c>
      <c r="I694" s="7" t="s">
        <v>387</v>
      </c>
      <c r="J694" s="7" t="s">
        <v>32</v>
      </c>
      <c r="K694" s="79" t="str">
        <f aca="false">INDEX(Products!$B$2:$B$71,MATCH($C694,Products!$A$2:$A$71,0))</f>
        <v>Accusantium Set</v>
      </c>
      <c r="L694" s="79" t="str">
        <f aca="false">INDEX(Products!$C$2:$C$71,MATCH($C694,Products!$A$2:$A$71,0))</f>
        <v>Sweets</v>
      </c>
      <c r="M694" s="80" t="n">
        <f aca="false">INDEX(Products!$D$2:$D$71,MATCH($C694,Products!$A$2:$A$71,0))</f>
        <v>1199</v>
      </c>
      <c r="N694" s="80" t="n">
        <f aca="false">$D694*$M694</f>
        <v>5995</v>
      </c>
      <c r="O694" s="79" t="str">
        <f aca="false">INDEX(Customers!$C$2:$C$101,MATCH($B694,Customers!$A$2:$A$101,0))</f>
        <v>Karaikudi</v>
      </c>
      <c r="P694" s="79" t="str">
        <f aca="false">INDEX(Customers!$F$2:$F$101,MATCH($B694,Customers!$A$2:$A$101,0))</f>
        <v>Male</v>
      </c>
      <c r="Q694" s="79" t="str">
        <f aca="false">INDEX(Customers!$B$2:$B$101,MATCH($B694,Customers!$A$2:$A$101,0))</f>
        <v>Rati Dhingra</v>
      </c>
      <c r="R694" s="79" t="n">
        <f aca="false">MONTH($E694)</f>
        <v>11</v>
      </c>
      <c r="S694" s="79" t="str">
        <f aca="false">INDEX(Lists!$B$2:$B$13,$R694)</f>
        <v>November</v>
      </c>
      <c r="T694" s="79" t="n">
        <f aca="false">HOUR($F694)</f>
        <v>23</v>
      </c>
      <c r="U694" s="79" t="n">
        <f aca="false">WEEKDAY($E694,2)</f>
        <v>6</v>
      </c>
      <c r="V694" s="79" t="str">
        <f aca="false">INDEX(Lists!$F$2:$F$8,$U694)</f>
        <v>Saturday</v>
      </c>
      <c r="W694" s="81" t="n">
        <f aca="false">($G694+$H694)-($E694+$F694)</f>
        <v>2.23787037037037</v>
      </c>
      <c r="X694" s="79" t="str">
        <f aca="false">LOOKUP($M694,Lists!$G$2:$G$5,Lists!$H$2:$H$5)</f>
        <v>₹1,000 - 1,499</v>
      </c>
      <c r="Y694" s="79" t="str">
        <f aca="false">LOOKUP($W694,Lists!$I$2:$I$7,Lists!$J$2:$J$7)</f>
        <v>2 - 4 days</v>
      </c>
    </row>
    <row r="695" customFormat="false" ht="15" hidden="false" customHeight="false" outlineLevel="0" collapsed="false">
      <c r="A695" s="2" t="n">
        <v>694</v>
      </c>
      <c r="B695" s="2" t="s">
        <v>172</v>
      </c>
      <c r="C695" s="2" t="n">
        <v>23</v>
      </c>
      <c r="D695" s="2" t="n">
        <v>2</v>
      </c>
      <c r="E695" s="82" t="n">
        <v>45031</v>
      </c>
      <c r="F695" s="83" t="n">
        <v>0.810034722222222</v>
      </c>
      <c r="G695" s="82" t="n">
        <v>45037</v>
      </c>
      <c r="H695" s="83" t="n">
        <v>0.707534722222222</v>
      </c>
      <c r="I695" s="2" t="s">
        <v>467</v>
      </c>
      <c r="J695" s="2" t="s">
        <v>168</v>
      </c>
      <c r="K695" s="46" t="str">
        <f aca="false">INDEX(Products!$B$2:$B$71,MATCH($C695,Products!$A$2:$A$71,0))</f>
        <v>Dignissimos Pack</v>
      </c>
      <c r="L695" s="46" t="str">
        <f aca="false">INDEX(Products!$C$2:$C$71,MATCH($C695,Products!$A$2:$A$71,0))</f>
        <v>Sweets</v>
      </c>
      <c r="M695" s="84" t="n">
        <f aca="false">INDEX(Products!$D$2:$D$71,MATCH($C695,Products!$A$2:$A$71,0))</f>
        <v>1098</v>
      </c>
      <c r="N695" s="84" t="n">
        <f aca="false">$D695*$M695</f>
        <v>2196</v>
      </c>
      <c r="O695" s="46" t="str">
        <f aca="false">INDEX(Customers!$C$2:$C$101,MATCH($B695,Customers!$A$2:$A$101,0))</f>
        <v>Nizamabad</v>
      </c>
      <c r="P695" s="46" t="str">
        <f aca="false">INDEX(Customers!$F$2:$F$101,MATCH($B695,Customers!$A$2:$A$101,0))</f>
        <v>Male</v>
      </c>
      <c r="Q695" s="46" t="str">
        <f aca="false">INDEX(Customers!$B$2:$B$101,MATCH($B695,Customers!$A$2:$A$101,0))</f>
        <v>Eva Vaidya</v>
      </c>
      <c r="R695" s="46" t="n">
        <f aca="false">MONTH($E695)</f>
        <v>4</v>
      </c>
      <c r="S695" s="46" t="str">
        <f aca="false">INDEX(Lists!$B$2:$B$13,$R695)</f>
        <v>April</v>
      </c>
      <c r="T695" s="46" t="n">
        <f aca="false">HOUR($F695)</f>
        <v>19</v>
      </c>
      <c r="U695" s="46" t="n">
        <f aca="false">WEEKDAY($E695,2)</f>
        <v>6</v>
      </c>
      <c r="V695" s="46" t="str">
        <f aca="false">INDEX(Lists!$F$2:$F$8,$U695)</f>
        <v>Saturday</v>
      </c>
      <c r="W695" s="85" t="n">
        <f aca="false">($G695+$H695)-($E695+$F695)</f>
        <v>5.8975</v>
      </c>
      <c r="X695" s="46" t="str">
        <f aca="false">LOOKUP($M695,Lists!$G$2:$G$5,Lists!$H$2:$H$5)</f>
        <v>₹1,000 - 1,499</v>
      </c>
      <c r="Y695" s="46" t="str">
        <f aca="false">LOOKUP($W695,Lists!$I$2:$I$7,Lists!$J$2:$J$7)</f>
        <v>4 - 6 days</v>
      </c>
    </row>
    <row r="696" customFormat="false" ht="15" hidden="false" customHeight="false" outlineLevel="0" collapsed="false">
      <c r="A696" s="7" t="n">
        <v>695</v>
      </c>
      <c r="B696" s="7" t="s">
        <v>242</v>
      </c>
      <c r="C696" s="7" t="n">
        <v>23</v>
      </c>
      <c r="D696" s="7" t="n">
        <v>4</v>
      </c>
      <c r="E696" s="77" t="n">
        <v>44990</v>
      </c>
      <c r="F696" s="78" t="n">
        <v>0.692268518518519</v>
      </c>
      <c r="G696" s="77" t="n">
        <v>44999</v>
      </c>
      <c r="H696" s="78" t="n">
        <v>0.709537037037037</v>
      </c>
      <c r="I696" s="7" t="s">
        <v>422</v>
      </c>
      <c r="J696" s="7" t="s">
        <v>168</v>
      </c>
      <c r="K696" s="79" t="str">
        <f aca="false">INDEX(Products!$B$2:$B$71,MATCH($C696,Products!$A$2:$A$71,0))</f>
        <v>Dignissimos Pack</v>
      </c>
      <c r="L696" s="79" t="str">
        <f aca="false">INDEX(Products!$C$2:$C$71,MATCH($C696,Products!$A$2:$A$71,0))</f>
        <v>Sweets</v>
      </c>
      <c r="M696" s="80" t="n">
        <f aca="false">INDEX(Products!$D$2:$D$71,MATCH($C696,Products!$A$2:$A$71,0))</f>
        <v>1098</v>
      </c>
      <c r="N696" s="80" t="n">
        <f aca="false">$D696*$M696</f>
        <v>4392</v>
      </c>
      <c r="O696" s="79" t="str">
        <f aca="false">INDEX(Customers!$C$2:$C$101,MATCH($B696,Customers!$A$2:$A$101,0))</f>
        <v>Guna</v>
      </c>
      <c r="P696" s="79" t="str">
        <f aca="false">INDEX(Customers!$F$2:$F$101,MATCH($B696,Customers!$A$2:$A$101,0))</f>
        <v>Male</v>
      </c>
      <c r="Q696" s="79" t="str">
        <f aca="false">INDEX(Customers!$B$2:$B$101,MATCH($B696,Customers!$A$2:$A$101,0))</f>
        <v>Tara Kannan</v>
      </c>
      <c r="R696" s="79" t="n">
        <f aca="false">MONTH($E696)</f>
        <v>3</v>
      </c>
      <c r="S696" s="79" t="str">
        <f aca="false">INDEX(Lists!$B$2:$B$13,$R696)</f>
        <v>March</v>
      </c>
      <c r="T696" s="79" t="n">
        <f aca="false">HOUR($F696)</f>
        <v>16</v>
      </c>
      <c r="U696" s="79" t="n">
        <f aca="false">WEEKDAY($E696,2)</f>
        <v>7</v>
      </c>
      <c r="V696" s="79" t="str">
        <f aca="false">INDEX(Lists!$F$2:$F$8,$U696)</f>
        <v>Sunday</v>
      </c>
      <c r="W696" s="81" t="n">
        <f aca="false">($G696+$H696)-($E696+$F696)</f>
        <v>9.01726851851852</v>
      </c>
      <c r="X696" s="79" t="str">
        <f aca="false">LOOKUP($M696,Lists!$G$2:$G$5,Lists!$H$2:$H$5)</f>
        <v>₹1,000 - 1,499</v>
      </c>
      <c r="Y696" s="79" t="str">
        <f aca="false">LOOKUP($W696,Lists!$I$2:$I$7,Lists!$J$2:$J$7)</f>
        <v>8 - 10 days</v>
      </c>
    </row>
    <row r="697" customFormat="false" ht="15" hidden="false" customHeight="false" outlineLevel="0" collapsed="false">
      <c r="A697" s="2" t="n">
        <v>696</v>
      </c>
      <c r="B697" s="2" t="s">
        <v>242</v>
      </c>
      <c r="C697" s="2" t="n">
        <v>13</v>
      </c>
      <c r="D697" s="2" t="n">
        <v>3</v>
      </c>
      <c r="E697" s="82" t="n">
        <v>44992</v>
      </c>
      <c r="F697" s="83" t="n">
        <v>0.112743055555556</v>
      </c>
      <c r="G697" s="82" t="n">
        <v>44999</v>
      </c>
      <c r="H697" s="83" t="n">
        <v>0.631076388888889</v>
      </c>
      <c r="I697" s="2" t="s">
        <v>540</v>
      </c>
      <c r="J697" s="2" t="s">
        <v>33</v>
      </c>
      <c r="K697" s="46" t="str">
        <f aca="false">INDEX(Products!$B$2:$B$71,MATCH($C697,Products!$A$2:$A$71,0))</f>
        <v>Et Set</v>
      </c>
      <c r="L697" s="46" t="str">
        <f aca="false">INDEX(Products!$C$2:$C$71,MATCH($C697,Products!$A$2:$A$71,0))</f>
        <v>Mugs</v>
      </c>
      <c r="M697" s="84" t="n">
        <f aca="false">INDEX(Products!$D$2:$D$71,MATCH($C697,Products!$A$2:$A$71,0))</f>
        <v>1141</v>
      </c>
      <c r="N697" s="84" t="n">
        <f aca="false">$D697*$M697</f>
        <v>3423</v>
      </c>
      <c r="O697" s="46" t="str">
        <f aca="false">INDEX(Customers!$C$2:$C$101,MATCH($B697,Customers!$A$2:$A$101,0))</f>
        <v>Guna</v>
      </c>
      <c r="P697" s="46" t="str">
        <f aca="false">INDEX(Customers!$F$2:$F$101,MATCH($B697,Customers!$A$2:$A$101,0))</f>
        <v>Male</v>
      </c>
      <c r="Q697" s="46" t="str">
        <f aca="false">INDEX(Customers!$B$2:$B$101,MATCH($B697,Customers!$A$2:$A$101,0))</f>
        <v>Tara Kannan</v>
      </c>
      <c r="R697" s="46" t="n">
        <f aca="false">MONTH($E697)</f>
        <v>3</v>
      </c>
      <c r="S697" s="46" t="str">
        <f aca="false">INDEX(Lists!$B$2:$B$13,$R697)</f>
        <v>March</v>
      </c>
      <c r="T697" s="46" t="n">
        <f aca="false">HOUR($F697)</f>
        <v>2</v>
      </c>
      <c r="U697" s="46" t="n">
        <f aca="false">WEEKDAY($E697,2)</f>
        <v>2</v>
      </c>
      <c r="V697" s="46" t="str">
        <f aca="false">INDEX(Lists!$F$2:$F$8,$U697)</f>
        <v>Tuesday</v>
      </c>
      <c r="W697" s="85" t="n">
        <f aca="false">($G697+$H697)-($E697+$F697)</f>
        <v>7.51833333333333</v>
      </c>
      <c r="X697" s="46" t="str">
        <f aca="false">LOOKUP($M697,Lists!$G$2:$G$5,Lists!$H$2:$H$5)</f>
        <v>₹1,000 - 1,499</v>
      </c>
      <c r="Y697" s="46" t="str">
        <f aca="false">LOOKUP($W697,Lists!$I$2:$I$7,Lists!$J$2:$J$7)</f>
        <v>6 - 8 days</v>
      </c>
    </row>
    <row r="698" customFormat="false" ht="15" hidden="false" customHeight="false" outlineLevel="0" collapsed="false">
      <c r="A698" s="7" t="n">
        <v>697</v>
      </c>
      <c r="B698" s="7" t="s">
        <v>190</v>
      </c>
      <c r="C698" s="7" t="n">
        <v>66</v>
      </c>
      <c r="D698" s="7" t="n">
        <v>1</v>
      </c>
      <c r="E698" s="77" t="n">
        <v>44988</v>
      </c>
      <c r="F698" s="78" t="n">
        <v>0.597511574074074</v>
      </c>
      <c r="G698" s="77" t="n">
        <v>44992</v>
      </c>
      <c r="H698" s="78" t="n">
        <v>0.634953703703704</v>
      </c>
      <c r="I698" s="7" t="s">
        <v>420</v>
      </c>
      <c r="J698" s="7" t="s">
        <v>33</v>
      </c>
      <c r="K698" s="79" t="str">
        <f aca="false">INDEX(Products!$B$2:$B$71,MATCH($C698,Products!$A$2:$A$71,0))</f>
        <v>Quas Box</v>
      </c>
      <c r="L698" s="79" t="str">
        <f aca="false">INDEX(Products!$C$2:$C$71,MATCH($C698,Products!$A$2:$A$71,0))</f>
        <v>Colors</v>
      </c>
      <c r="M698" s="80" t="n">
        <f aca="false">INDEX(Products!$D$2:$D$71,MATCH($C698,Products!$A$2:$A$71,0))</f>
        <v>610</v>
      </c>
      <c r="N698" s="80" t="n">
        <f aca="false">$D698*$M698</f>
        <v>610</v>
      </c>
      <c r="O698" s="79" t="str">
        <f aca="false">INDEX(Customers!$C$2:$C$101,MATCH($B698,Customers!$A$2:$A$101,0))</f>
        <v>Farrukhabad</v>
      </c>
      <c r="P698" s="79" t="str">
        <f aca="false">INDEX(Customers!$F$2:$F$101,MATCH($B698,Customers!$A$2:$A$101,0))</f>
        <v>Female</v>
      </c>
      <c r="Q698" s="79" t="str">
        <f aca="false">INDEX(Customers!$B$2:$B$101,MATCH($B698,Customers!$A$2:$A$101,0))</f>
        <v>Ira Chahal</v>
      </c>
      <c r="R698" s="79" t="n">
        <f aca="false">MONTH($E698)</f>
        <v>3</v>
      </c>
      <c r="S698" s="79" t="str">
        <f aca="false">INDEX(Lists!$B$2:$B$13,$R698)</f>
        <v>March</v>
      </c>
      <c r="T698" s="79" t="n">
        <f aca="false">HOUR($F698)</f>
        <v>14</v>
      </c>
      <c r="U698" s="79" t="n">
        <f aca="false">WEEKDAY($E698,2)</f>
        <v>5</v>
      </c>
      <c r="V698" s="79" t="str">
        <f aca="false">INDEX(Lists!$F$2:$F$8,$U698)</f>
        <v>Friday</v>
      </c>
      <c r="W698" s="81" t="n">
        <f aca="false">($G698+$H698)-($E698+$F698)</f>
        <v>4.03744212962963</v>
      </c>
      <c r="X698" s="79" t="str">
        <f aca="false">LOOKUP($M698,Lists!$G$2:$G$5,Lists!$H$2:$H$5)</f>
        <v>₹500 - 999</v>
      </c>
      <c r="Y698" s="79" t="str">
        <f aca="false">LOOKUP($W698,Lists!$I$2:$I$7,Lists!$J$2:$J$7)</f>
        <v>4 - 6 days</v>
      </c>
    </row>
    <row r="699" customFormat="false" ht="15" hidden="false" customHeight="false" outlineLevel="0" collapsed="false">
      <c r="A699" s="2" t="n">
        <v>698</v>
      </c>
      <c r="B699" s="2" t="s">
        <v>283</v>
      </c>
      <c r="C699" s="2" t="n">
        <v>64</v>
      </c>
      <c r="D699" s="2" t="n">
        <v>3</v>
      </c>
      <c r="E699" s="82" t="n">
        <v>45167</v>
      </c>
      <c r="F699" s="83" t="n">
        <v>0.864016203703704</v>
      </c>
      <c r="G699" s="82" t="n">
        <v>45175</v>
      </c>
      <c r="H699" s="83" t="n">
        <v>0.625150462962963</v>
      </c>
      <c r="I699" s="2" t="s">
        <v>516</v>
      </c>
      <c r="J699" s="2" t="s">
        <v>40</v>
      </c>
      <c r="K699" s="46" t="str">
        <f aca="false">INDEX(Products!$B$2:$B$71,MATCH($C699,Products!$A$2:$A$71,0))</f>
        <v>Nostrum Box</v>
      </c>
      <c r="L699" s="46" t="str">
        <f aca="false">INDEX(Products!$C$2:$C$71,MATCH($C699,Products!$A$2:$A$71,0))</f>
        <v>Soft Toys</v>
      </c>
      <c r="M699" s="84" t="n">
        <f aca="false">INDEX(Products!$D$2:$D$71,MATCH($C699,Products!$A$2:$A$71,0))</f>
        <v>1878</v>
      </c>
      <c r="N699" s="84" t="n">
        <f aca="false">$D699*$M699</f>
        <v>5634</v>
      </c>
      <c r="O699" s="46" t="str">
        <f aca="false">INDEX(Customers!$C$2:$C$101,MATCH($B699,Customers!$A$2:$A$101,0))</f>
        <v>Satara</v>
      </c>
      <c r="P699" s="46" t="str">
        <f aca="false">INDEX(Customers!$F$2:$F$101,MATCH($B699,Customers!$A$2:$A$101,0))</f>
        <v>Male</v>
      </c>
      <c r="Q699" s="46" t="str">
        <f aca="false">INDEX(Customers!$B$2:$B$101,MATCH($B699,Customers!$A$2:$A$101,0))</f>
        <v>Riya Wagle</v>
      </c>
      <c r="R699" s="46" t="n">
        <f aca="false">MONTH($E699)</f>
        <v>8</v>
      </c>
      <c r="S699" s="46" t="str">
        <f aca="false">INDEX(Lists!$B$2:$B$13,$R699)</f>
        <v>August</v>
      </c>
      <c r="T699" s="46" t="n">
        <f aca="false">HOUR($F699)</f>
        <v>20</v>
      </c>
      <c r="U699" s="46" t="n">
        <f aca="false">WEEKDAY($E699,2)</f>
        <v>2</v>
      </c>
      <c r="V699" s="46" t="str">
        <f aca="false">INDEX(Lists!$F$2:$F$8,$U699)</f>
        <v>Tuesday</v>
      </c>
      <c r="W699" s="85" t="n">
        <f aca="false">($G699+$H699)-($E699+$F699)</f>
        <v>7.76113425925926</v>
      </c>
      <c r="X699" s="46" t="str">
        <f aca="false">LOOKUP($M699,Lists!$G$2:$G$5,Lists!$H$2:$H$5)</f>
        <v>₹1,500 - 2,000</v>
      </c>
      <c r="Y699" s="46" t="str">
        <f aca="false">LOOKUP($W699,Lists!$I$2:$I$7,Lists!$J$2:$J$7)</f>
        <v>6 - 8 days</v>
      </c>
    </row>
    <row r="700" customFormat="false" ht="15" hidden="false" customHeight="false" outlineLevel="0" collapsed="false">
      <c r="A700" s="7" t="n">
        <v>699</v>
      </c>
      <c r="B700" s="7" t="s">
        <v>154</v>
      </c>
      <c r="C700" s="7" t="n">
        <v>1</v>
      </c>
      <c r="D700" s="7" t="n">
        <v>4</v>
      </c>
      <c r="E700" s="77" t="n">
        <v>45079</v>
      </c>
      <c r="F700" s="78" t="n">
        <v>0.510231481481482</v>
      </c>
      <c r="G700" s="77" t="n">
        <v>45086</v>
      </c>
      <c r="H700" s="78" t="n">
        <v>0.964618055555556</v>
      </c>
      <c r="I700" s="7" t="s">
        <v>312</v>
      </c>
      <c r="J700" s="7" t="s">
        <v>165</v>
      </c>
      <c r="K700" s="79" t="str">
        <f aca="false">INDEX(Products!$B$2:$B$71,MATCH($C700,Products!$A$2:$A$71,0))</f>
        <v>Magnam Set</v>
      </c>
      <c r="L700" s="79" t="str">
        <f aca="false">INDEX(Products!$C$2:$C$71,MATCH($C700,Products!$A$2:$A$71,0))</f>
        <v>Soft Toys</v>
      </c>
      <c r="M700" s="80" t="n">
        <f aca="false">INDEX(Products!$D$2:$D$71,MATCH($C700,Products!$A$2:$A$71,0))</f>
        <v>1935</v>
      </c>
      <c r="N700" s="80" t="n">
        <f aca="false">$D700*$M700</f>
        <v>7740</v>
      </c>
      <c r="O700" s="79" t="str">
        <f aca="false">INDEX(Customers!$C$2:$C$101,MATCH($B700,Customers!$A$2:$A$101,0))</f>
        <v>Orai</v>
      </c>
      <c r="P700" s="79" t="str">
        <f aca="false">INDEX(Customers!$F$2:$F$101,MATCH($B700,Customers!$A$2:$A$101,0))</f>
        <v>Female</v>
      </c>
      <c r="Q700" s="79" t="str">
        <f aca="false">INDEX(Customers!$B$2:$B$101,MATCH($B700,Customers!$A$2:$A$101,0))</f>
        <v>Lagan Kapoor</v>
      </c>
      <c r="R700" s="79" t="n">
        <f aca="false">MONTH($E700)</f>
        <v>6</v>
      </c>
      <c r="S700" s="79" t="str">
        <f aca="false">INDEX(Lists!$B$2:$B$13,$R700)</f>
        <v>June</v>
      </c>
      <c r="T700" s="79" t="n">
        <f aca="false">HOUR($F700)</f>
        <v>12</v>
      </c>
      <c r="U700" s="79" t="n">
        <f aca="false">WEEKDAY($E700,2)</f>
        <v>5</v>
      </c>
      <c r="V700" s="79" t="str">
        <f aca="false">INDEX(Lists!$F$2:$F$8,$U700)</f>
        <v>Friday</v>
      </c>
      <c r="W700" s="81" t="n">
        <f aca="false">($G700+$H700)-($E700+$F700)</f>
        <v>7.45438657407407</v>
      </c>
      <c r="X700" s="79" t="str">
        <f aca="false">LOOKUP($M700,Lists!$G$2:$G$5,Lists!$H$2:$H$5)</f>
        <v>₹1,500 - 2,000</v>
      </c>
      <c r="Y700" s="79" t="str">
        <f aca="false">LOOKUP($W700,Lists!$I$2:$I$7,Lists!$J$2:$J$7)</f>
        <v>6 - 8 days</v>
      </c>
    </row>
    <row r="701" customFormat="false" ht="15" hidden="false" customHeight="false" outlineLevel="0" collapsed="false">
      <c r="A701" s="2" t="n">
        <v>700</v>
      </c>
      <c r="B701" s="2" t="s">
        <v>139</v>
      </c>
      <c r="C701" s="2" t="n">
        <v>6</v>
      </c>
      <c r="D701" s="2" t="n">
        <v>1</v>
      </c>
      <c r="E701" s="82" t="n">
        <v>44989</v>
      </c>
      <c r="F701" s="83" t="n">
        <v>0.762465277777778</v>
      </c>
      <c r="G701" s="82" t="n">
        <v>44994</v>
      </c>
      <c r="H701" s="83" t="n">
        <v>0.571608796296296</v>
      </c>
      <c r="I701" s="2" t="s">
        <v>402</v>
      </c>
      <c r="J701" s="2" t="s">
        <v>33</v>
      </c>
      <c r="K701" s="46" t="str">
        <f aca="false">INDEX(Products!$B$2:$B$71,MATCH($C701,Products!$A$2:$A$71,0))</f>
        <v>Quos Box</v>
      </c>
      <c r="L701" s="46" t="str">
        <f aca="false">INDEX(Products!$C$2:$C$71,MATCH($C701,Products!$A$2:$A$71,0))</f>
        <v>Cake</v>
      </c>
      <c r="M701" s="84" t="n">
        <f aca="false">INDEX(Products!$D$2:$D$71,MATCH($C701,Products!$A$2:$A$71,0))</f>
        <v>1112</v>
      </c>
      <c r="N701" s="84" t="n">
        <f aca="false">$D701*$M701</f>
        <v>1112</v>
      </c>
      <c r="O701" s="46" t="str">
        <f aca="false">INDEX(Customers!$C$2:$C$101,MATCH($B701,Customers!$A$2:$A$101,0))</f>
        <v>Karimnagar</v>
      </c>
      <c r="P701" s="46" t="str">
        <f aca="false">INDEX(Customers!$F$2:$F$101,MATCH($B701,Customers!$A$2:$A$101,0))</f>
        <v>Female</v>
      </c>
      <c r="Q701" s="46" t="str">
        <f aca="false">INDEX(Customers!$B$2:$B$101,MATCH($B701,Customers!$A$2:$A$101,0))</f>
        <v>Rania Mann</v>
      </c>
      <c r="R701" s="46" t="n">
        <f aca="false">MONTH($E701)</f>
        <v>3</v>
      </c>
      <c r="S701" s="46" t="str">
        <f aca="false">INDEX(Lists!$B$2:$B$13,$R701)</f>
        <v>March</v>
      </c>
      <c r="T701" s="46" t="n">
        <f aca="false">HOUR($F701)</f>
        <v>18</v>
      </c>
      <c r="U701" s="46" t="n">
        <f aca="false">WEEKDAY($E701,2)</f>
        <v>6</v>
      </c>
      <c r="V701" s="46" t="str">
        <f aca="false">INDEX(Lists!$F$2:$F$8,$U701)</f>
        <v>Saturday</v>
      </c>
      <c r="W701" s="85" t="n">
        <f aca="false">($G701+$H701)-($E701+$F701)</f>
        <v>4.80914351851852</v>
      </c>
      <c r="X701" s="46" t="str">
        <f aca="false">LOOKUP($M701,Lists!$G$2:$G$5,Lists!$H$2:$H$5)</f>
        <v>₹1,000 - 1,499</v>
      </c>
      <c r="Y701" s="46" t="str">
        <f aca="false">LOOKUP($W701,Lists!$I$2:$I$7,Lists!$J$2:$J$7)</f>
        <v>4 - 6 days</v>
      </c>
    </row>
    <row r="702" customFormat="false" ht="15" hidden="false" customHeight="false" outlineLevel="0" collapsed="false">
      <c r="A702" s="7" t="n">
        <v>701</v>
      </c>
      <c r="B702" s="7" t="s">
        <v>338</v>
      </c>
      <c r="C702" s="7" t="n">
        <v>41</v>
      </c>
      <c r="D702" s="7" t="n">
        <v>5</v>
      </c>
      <c r="E702" s="77" t="n">
        <v>45237</v>
      </c>
      <c r="F702" s="78" t="n">
        <v>0.456643518518519</v>
      </c>
      <c r="G702" s="77" t="n">
        <v>45241</v>
      </c>
      <c r="H702" s="78" t="n">
        <v>0.205856481481482</v>
      </c>
      <c r="I702" s="7" t="s">
        <v>585</v>
      </c>
      <c r="J702" s="7" t="s">
        <v>32</v>
      </c>
      <c r="K702" s="79" t="str">
        <f aca="false">INDEX(Products!$B$2:$B$71,MATCH($C702,Products!$A$2:$A$71,0))</f>
        <v>Aut Box</v>
      </c>
      <c r="L702" s="79" t="str">
        <f aca="false">INDEX(Products!$C$2:$C$71,MATCH($C702,Products!$A$2:$A$71,0))</f>
        <v>Sweets</v>
      </c>
      <c r="M702" s="80" t="n">
        <f aca="false">INDEX(Products!$D$2:$D$71,MATCH($C702,Products!$A$2:$A$71,0))</f>
        <v>1977</v>
      </c>
      <c r="N702" s="80" t="n">
        <f aca="false">$D702*$M702</f>
        <v>9885</v>
      </c>
      <c r="O702" s="79" t="str">
        <f aca="false">INDEX(Customers!$C$2:$C$101,MATCH($B702,Customers!$A$2:$A$101,0))</f>
        <v>Bhopal</v>
      </c>
      <c r="P702" s="79" t="str">
        <f aca="false">INDEX(Customers!$F$2:$F$101,MATCH($B702,Customers!$A$2:$A$101,0))</f>
        <v>Male</v>
      </c>
      <c r="Q702" s="79" t="str">
        <f aca="false">INDEX(Customers!$B$2:$B$101,MATCH($B702,Customers!$A$2:$A$101,0))</f>
        <v>Mohanlal Garde</v>
      </c>
      <c r="R702" s="79" t="n">
        <f aca="false">MONTH($E702)</f>
        <v>11</v>
      </c>
      <c r="S702" s="79" t="str">
        <f aca="false">INDEX(Lists!$B$2:$B$13,$R702)</f>
        <v>November</v>
      </c>
      <c r="T702" s="79" t="n">
        <f aca="false">HOUR($F702)</f>
        <v>10</v>
      </c>
      <c r="U702" s="79" t="n">
        <f aca="false">WEEKDAY($E702,2)</f>
        <v>2</v>
      </c>
      <c r="V702" s="79" t="str">
        <f aca="false">INDEX(Lists!$F$2:$F$8,$U702)</f>
        <v>Tuesday</v>
      </c>
      <c r="W702" s="81" t="n">
        <f aca="false">($G702+$H702)-($E702+$F702)</f>
        <v>3.74921296296296</v>
      </c>
      <c r="X702" s="79" t="str">
        <f aca="false">LOOKUP($M702,Lists!$G$2:$G$5,Lists!$H$2:$H$5)</f>
        <v>₹1,500 - 2,000</v>
      </c>
      <c r="Y702" s="79" t="str">
        <f aca="false">LOOKUP($W702,Lists!$I$2:$I$7,Lists!$J$2:$J$7)</f>
        <v>2 - 4 days</v>
      </c>
    </row>
    <row r="703" customFormat="false" ht="15" hidden="false" customHeight="false" outlineLevel="0" collapsed="false">
      <c r="A703" s="2" t="n">
        <v>702</v>
      </c>
      <c r="B703" s="2" t="s">
        <v>303</v>
      </c>
      <c r="C703" s="2" t="n">
        <v>60</v>
      </c>
      <c r="D703" s="2" t="n">
        <v>1</v>
      </c>
      <c r="E703" s="82" t="n">
        <v>45240</v>
      </c>
      <c r="F703" s="83" t="n">
        <v>0.364166666666667</v>
      </c>
      <c r="G703" s="82" t="n">
        <v>45248</v>
      </c>
      <c r="H703" s="83" t="n">
        <v>0.268171296296296</v>
      </c>
      <c r="I703" s="2" t="s">
        <v>389</v>
      </c>
      <c r="J703" s="2" t="s">
        <v>32</v>
      </c>
      <c r="K703" s="46" t="str">
        <f aca="false">INDEX(Products!$B$2:$B$71,MATCH($C703,Products!$A$2:$A$71,0))</f>
        <v>Ea Set</v>
      </c>
      <c r="L703" s="46" t="str">
        <f aca="false">INDEX(Products!$C$2:$C$71,MATCH($C703,Products!$A$2:$A$71,0))</f>
        <v>Sweets</v>
      </c>
      <c r="M703" s="84" t="n">
        <f aca="false">INDEX(Products!$D$2:$D$71,MATCH($C703,Products!$A$2:$A$71,0))</f>
        <v>827</v>
      </c>
      <c r="N703" s="84" t="n">
        <f aca="false">$D703*$M703</f>
        <v>827</v>
      </c>
      <c r="O703" s="46" t="str">
        <f aca="false">INDEX(Customers!$C$2:$C$101,MATCH($B703,Customers!$A$2:$A$101,0))</f>
        <v>Anand</v>
      </c>
      <c r="P703" s="46" t="str">
        <f aca="false">INDEX(Customers!$F$2:$F$101,MATCH($B703,Customers!$A$2:$A$101,0))</f>
        <v>Male</v>
      </c>
      <c r="Q703" s="46" t="str">
        <f aca="false">INDEX(Customers!$B$2:$B$101,MATCH($B703,Customers!$A$2:$A$101,0))</f>
        <v>Eva Sankaran</v>
      </c>
      <c r="R703" s="46" t="n">
        <f aca="false">MONTH($E703)</f>
        <v>11</v>
      </c>
      <c r="S703" s="46" t="str">
        <f aca="false">INDEX(Lists!$B$2:$B$13,$R703)</f>
        <v>November</v>
      </c>
      <c r="T703" s="46" t="n">
        <f aca="false">HOUR($F703)</f>
        <v>8</v>
      </c>
      <c r="U703" s="46" t="n">
        <f aca="false">WEEKDAY($E703,2)</f>
        <v>5</v>
      </c>
      <c r="V703" s="46" t="str">
        <f aca="false">INDEX(Lists!$F$2:$F$8,$U703)</f>
        <v>Friday</v>
      </c>
      <c r="W703" s="85" t="n">
        <f aca="false">($G703+$H703)-($E703+$F703)</f>
        <v>7.90400462962963</v>
      </c>
      <c r="X703" s="46" t="str">
        <f aca="false">LOOKUP($M703,Lists!$G$2:$G$5,Lists!$H$2:$H$5)</f>
        <v>₹500 - 999</v>
      </c>
      <c r="Y703" s="46" t="str">
        <f aca="false">LOOKUP($W703,Lists!$I$2:$I$7,Lists!$J$2:$J$7)</f>
        <v>6 - 8 days</v>
      </c>
    </row>
    <row r="704" customFormat="false" ht="15" hidden="false" customHeight="false" outlineLevel="0" collapsed="false">
      <c r="A704" s="7" t="n">
        <v>703</v>
      </c>
      <c r="B704" s="7" t="s">
        <v>311</v>
      </c>
      <c r="C704" s="7" t="n">
        <v>53</v>
      </c>
      <c r="D704" s="7" t="n">
        <v>4</v>
      </c>
      <c r="E704" s="77" t="n">
        <v>45161</v>
      </c>
      <c r="F704" s="78" t="n">
        <v>0.6803125</v>
      </c>
      <c r="G704" s="77" t="n">
        <v>45170</v>
      </c>
      <c r="H704" s="78" t="n">
        <v>0.258391203703704</v>
      </c>
      <c r="I704" s="7" t="s">
        <v>454</v>
      </c>
      <c r="J704" s="7" t="s">
        <v>40</v>
      </c>
      <c r="K704" s="79" t="str">
        <f aca="false">INDEX(Products!$B$2:$B$71,MATCH($C704,Products!$A$2:$A$71,0))</f>
        <v>Ipsam Set</v>
      </c>
      <c r="L704" s="79" t="str">
        <f aca="false">INDEX(Products!$C$2:$C$71,MATCH($C704,Products!$A$2:$A$71,0))</f>
        <v>Sweets</v>
      </c>
      <c r="M704" s="80" t="n">
        <f aca="false">INDEX(Products!$D$2:$D$71,MATCH($C704,Products!$A$2:$A$71,0))</f>
        <v>1672</v>
      </c>
      <c r="N704" s="80" t="n">
        <f aca="false">$D704*$M704</f>
        <v>6688</v>
      </c>
      <c r="O704" s="79" t="str">
        <f aca="false">INDEX(Customers!$C$2:$C$101,MATCH($B704,Customers!$A$2:$A$101,0))</f>
        <v>Bhatpara</v>
      </c>
      <c r="P704" s="79" t="str">
        <f aca="false">INDEX(Customers!$F$2:$F$101,MATCH($B704,Customers!$A$2:$A$101,0))</f>
        <v>Male</v>
      </c>
      <c r="Q704" s="79" t="str">
        <f aca="false">INDEX(Customers!$B$2:$B$101,MATCH($B704,Customers!$A$2:$A$101,0))</f>
        <v>Emir Gokhale</v>
      </c>
      <c r="R704" s="79" t="n">
        <f aca="false">MONTH($E704)</f>
        <v>8</v>
      </c>
      <c r="S704" s="79" t="str">
        <f aca="false">INDEX(Lists!$B$2:$B$13,$R704)</f>
        <v>August</v>
      </c>
      <c r="T704" s="79" t="n">
        <f aca="false">HOUR($F704)</f>
        <v>16</v>
      </c>
      <c r="U704" s="79" t="n">
        <f aca="false">WEEKDAY($E704,2)</f>
        <v>3</v>
      </c>
      <c r="V704" s="79" t="str">
        <f aca="false">INDEX(Lists!$F$2:$F$8,$U704)</f>
        <v>Wednesday</v>
      </c>
      <c r="W704" s="81" t="n">
        <f aca="false">($G704+$H704)-($E704+$F704)</f>
        <v>8.5780787037037</v>
      </c>
      <c r="X704" s="79" t="str">
        <f aca="false">LOOKUP($M704,Lists!$G$2:$G$5,Lists!$H$2:$H$5)</f>
        <v>₹1,500 - 2,000</v>
      </c>
      <c r="Y704" s="79" t="str">
        <f aca="false">LOOKUP($W704,Lists!$I$2:$I$7,Lists!$J$2:$J$7)</f>
        <v>8 - 10 days</v>
      </c>
    </row>
    <row r="705" customFormat="false" ht="15" hidden="false" customHeight="false" outlineLevel="0" collapsed="false">
      <c r="A705" s="2" t="n">
        <v>704</v>
      </c>
      <c r="B705" s="2" t="s">
        <v>285</v>
      </c>
      <c r="C705" s="2" t="n">
        <v>55</v>
      </c>
      <c r="D705" s="2" t="n">
        <v>4</v>
      </c>
      <c r="E705" s="82" t="n">
        <v>45167</v>
      </c>
      <c r="F705" s="83" t="n">
        <v>0.102199074074074</v>
      </c>
      <c r="G705" s="82" t="n">
        <v>45168</v>
      </c>
      <c r="H705" s="83" t="n">
        <v>0.567060185185185</v>
      </c>
      <c r="I705" s="2" t="s">
        <v>432</v>
      </c>
      <c r="J705" s="2" t="s">
        <v>40</v>
      </c>
      <c r="K705" s="46" t="str">
        <f aca="false">INDEX(Products!$B$2:$B$71,MATCH($C705,Products!$A$2:$A$71,0))</f>
        <v>Dolores Gift</v>
      </c>
      <c r="L705" s="46" t="str">
        <f aca="false">INDEX(Products!$C$2:$C$71,MATCH($C705,Products!$A$2:$A$71,0))</f>
        <v>Soft Toys</v>
      </c>
      <c r="M705" s="84" t="n">
        <f aca="false">INDEX(Products!$D$2:$D$71,MATCH($C705,Products!$A$2:$A$71,0))</f>
        <v>1904</v>
      </c>
      <c r="N705" s="84" t="n">
        <f aca="false">$D705*$M705</f>
        <v>7616</v>
      </c>
      <c r="O705" s="46" t="str">
        <f aca="false">INDEX(Customers!$C$2:$C$101,MATCH($B705,Customers!$A$2:$A$101,0))</f>
        <v>Kavali</v>
      </c>
      <c r="P705" s="46" t="str">
        <f aca="false">INDEX(Customers!$F$2:$F$101,MATCH($B705,Customers!$A$2:$A$101,0))</f>
        <v>Female</v>
      </c>
      <c r="Q705" s="46" t="str">
        <f aca="false">INDEX(Customers!$B$2:$B$101,MATCH($B705,Customers!$A$2:$A$101,0))</f>
        <v>Akarsh Ramesh</v>
      </c>
      <c r="R705" s="46" t="n">
        <f aca="false">MONTH($E705)</f>
        <v>8</v>
      </c>
      <c r="S705" s="46" t="str">
        <f aca="false">INDEX(Lists!$B$2:$B$13,$R705)</f>
        <v>August</v>
      </c>
      <c r="T705" s="46" t="n">
        <f aca="false">HOUR($F705)</f>
        <v>2</v>
      </c>
      <c r="U705" s="46" t="n">
        <f aca="false">WEEKDAY($E705,2)</f>
        <v>2</v>
      </c>
      <c r="V705" s="46" t="str">
        <f aca="false">INDEX(Lists!$F$2:$F$8,$U705)</f>
        <v>Tuesday</v>
      </c>
      <c r="W705" s="85" t="n">
        <f aca="false">($G705+$H705)-($E705+$F705)</f>
        <v>1.46486111111111</v>
      </c>
      <c r="X705" s="46" t="str">
        <f aca="false">LOOKUP($M705,Lists!$G$2:$G$5,Lists!$H$2:$H$5)</f>
        <v>₹1,500 - 2,000</v>
      </c>
      <c r="Y705" s="46" t="str">
        <f aca="false">LOOKUP($W705,Lists!$I$2:$I$7,Lists!$J$2:$J$7)</f>
        <v>0 - 2 days</v>
      </c>
    </row>
    <row r="706" customFormat="false" ht="15" hidden="false" customHeight="false" outlineLevel="0" collapsed="false">
      <c r="A706" s="7" t="n">
        <v>705</v>
      </c>
      <c r="B706" s="7" t="s">
        <v>133</v>
      </c>
      <c r="C706" s="7" t="n">
        <v>7</v>
      </c>
      <c r="D706" s="7" t="n">
        <v>1</v>
      </c>
      <c r="E706" s="77" t="n">
        <v>44990</v>
      </c>
      <c r="F706" s="78" t="n">
        <v>0.762511574074074</v>
      </c>
      <c r="G706" s="77" t="n">
        <v>44999</v>
      </c>
      <c r="H706" s="78" t="n">
        <v>0.748020833333333</v>
      </c>
      <c r="I706" s="7" t="s">
        <v>528</v>
      </c>
      <c r="J706" s="7" t="s">
        <v>33</v>
      </c>
      <c r="K706" s="79" t="str">
        <f aca="false">INDEX(Products!$B$2:$B$71,MATCH($C706,Products!$A$2:$A$71,0))</f>
        <v>Quos Set</v>
      </c>
      <c r="L706" s="79" t="str">
        <f aca="false">INDEX(Products!$C$2:$C$71,MATCH($C706,Products!$A$2:$A$71,0))</f>
        <v>Soft Toys</v>
      </c>
      <c r="M706" s="80" t="n">
        <f aca="false">INDEX(Products!$D$2:$D$71,MATCH($C706,Products!$A$2:$A$71,0))</f>
        <v>409</v>
      </c>
      <c r="N706" s="80" t="n">
        <f aca="false">$D706*$M706</f>
        <v>409</v>
      </c>
      <c r="O706" s="79" t="str">
        <f aca="false">INDEX(Customers!$C$2:$C$101,MATCH($B706,Customers!$A$2:$A$101,0))</f>
        <v>Miryalaguda</v>
      </c>
      <c r="P706" s="79" t="str">
        <f aca="false">INDEX(Customers!$F$2:$F$101,MATCH($B706,Customers!$A$2:$A$101,0))</f>
        <v>Male</v>
      </c>
      <c r="Q706" s="79" t="str">
        <f aca="false">INDEX(Customers!$B$2:$B$101,MATCH($B706,Customers!$A$2:$A$101,0))</f>
        <v>Tarini Bava</v>
      </c>
      <c r="R706" s="79" t="n">
        <f aca="false">MONTH($E706)</f>
        <v>3</v>
      </c>
      <c r="S706" s="79" t="str">
        <f aca="false">INDEX(Lists!$B$2:$B$13,$R706)</f>
        <v>March</v>
      </c>
      <c r="T706" s="79" t="n">
        <f aca="false">HOUR($F706)</f>
        <v>18</v>
      </c>
      <c r="U706" s="79" t="n">
        <f aca="false">WEEKDAY($E706,2)</f>
        <v>7</v>
      </c>
      <c r="V706" s="79" t="str">
        <f aca="false">INDEX(Lists!$F$2:$F$8,$U706)</f>
        <v>Sunday</v>
      </c>
      <c r="W706" s="81" t="n">
        <f aca="false">($G706+$H706)-($E706+$F706)</f>
        <v>8.98550925925926</v>
      </c>
      <c r="X706" s="79" t="str">
        <f aca="false">LOOKUP($M706,Lists!$G$2:$G$5,Lists!$H$2:$H$5)</f>
        <v>₹0 - 499</v>
      </c>
      <c r="Y706" s="79" t="str">
        <f aca="false">LOOKUP($W706,Lists!$I$2:$I$7,Lists!$J$2:$J$7)</f>
        <v>8 - 10 days</v>
      </c>
    </row>
    <row r="707" customFormat="false" ht="15" hidden="false" customHeight="false" outlineLevel="0" collapsed="false">
      <c r="A707" s="2" t="n">
        <v>706</v>
      </c>
      <c r="B707" s="2" t="s">
        <v>369</v>
      </c>
      <c r="C707" s="2" t="n">
        <v>67</v>
      </c>
      <c r="D707" s="2" t="n">
        <v>2</v>
      </c>
      <c r="E707" s="82" t="n">
        <v>45042</v>
      </c>
      <c r="F707" s="83" t="n">
        <v>0.232766203703704</v>
      </c>
      <c r="G707" s="82" t="n">
        <v>45050</v>
      </c>
      <c r="H707" s="83" t="n">
        <v>0.550810185185185</v>
      </c>
      <c r="I707" s="2" t="s">
        <v>477</v>
      </c>
      <c r="J707" s="2" t="s">
        <v>168</v>
      </c>
      <c r="K707" s="46" t="str">
        <f aca="false">INDEX(Products!$B$2:$B$71,MATCH($C707,Products!$A$2:$A$71,0))</f>
        <v>Maiores Box</v>
      </c>
      <c r="L707" s="46" t="str">
        <f aca="false">INDEX(Products!$C$2:$C$71,MATCH($C707,Products!$A$2:$A$71,0))</f>
        <v>Raksha Bandhan</v>
      </c>
      <c r="M707" s="84" t="n">
        <f aca="false">INDEX(Products!$D$2:$D$71,MATCH($C707,Products!$A$2:$A$71,0))</f>
        <v>1374</v>
      </c>
      <c r="N707" s="84" t="n">
        <f aca="false">$D707*$M707</f>
        <v>2748</v>
      </c>
      <c r="O707" s="46" t="str">
        <f aca="false">INDEX(Customers!$C$2:$C$101,MATCH($B707,Customers!$A$2:$A$101,0))</f>
        <v>New Delhi</v>
      </c>
      <c r="P707" s="46" t="str">
        <f aca="false">INDEX(Customers!$F$2:$F$101,MATCH($B707,Customers!$A$2:$A$101,0))</f>
        <v>Female</v>
      </c>
      <c r="Q707" s="46" t="str">
        <f aca="false">INDEX(Customers!$B$2:$B$101,MATCH($B707,Customers!$A$2:$A$101,0))</f>
        <v>Adira Rajan</v>
      </c>
      <c r="R707" s="46" t="n">
        <f aca="false">MONTH($E707)</f>
        <v>4</v>
      </c>
      <c r="S707" s="46" t="str">
        <f aca="false">INDEX(Lists!$B$2:$B$13,$R707)</f>
        <v>April</v>
      </c>
      <c r="T707" s="46" t="n">
        <f aca="false">HOUR($F707)</f>
        <v>5</v>
      </c>
      <c r="U707" s="46" t="n">
        <f aca="false">WEEKDAY($E707,2)</f>
        <v>3</v>
      </c>
      <c r="V707" s="46" t="str">
        <f aca="false">INDEX(Lists!$F$2:$F$8,$U707)</f>
        <v>Wednesday</v>
      </c>
      <c r="W707" s="85" t="n">
        <f aca="false">($G707+$H707)-($E707+$F707)</f>
        <v>8.31804398148148</v>
      </c>
      <c r="X707" s="46" t="str">
        <f aca="false">LOOKUP($M707,Lists!$G$2:$G$5,Lists!$H$2:$H$5)</f>
        <v>₹1,000 - 1,499</v>
      </c>
      <c r="Y707" s="46" t="str">
        <f aca="false">LOOKUP($W707,Lists!$I$2:$I$7,Lists!$J$2:$J$7)</f>
        <v>8 - 10 days</v>
      </c>
    </row>
    <row r="708" customFormat="false" ht="15" hidden="false" customHeight="false" outlineLevel="0" collapsed="false">
      <c r="A708" s="7" t="n">
        <v>707</v>
      </c>
      <c r="B708" s="7" t="s">
        <v>212</v>
      </c>
      <c r="C708" s="7" t="n">
        <v>70</v>
      </c>
      <c r="D708" s="7" t="n">
        <v>4</v>
      </c>
      <c r="E708" s="77" t="n">
        <v>44960</v>
      </c>
      <c r="F708" s="78" t="n">
        <v>0.262106481481482</v>
      </c>
      <c r="G708" s="77" t="n">
        <v>44969</v>
      </c>
      <c r="H708" s="78" t="n">
        <v>0.0446643518518519</v>
      </c>
      <c r="I708" s="7" t="s">
        <v>592</v>
      </c>
      <c r="J708" s="7" t="s">
        <v>31</v>
      </c>
      <c r="K708" s="79" t="str">
        <f aca="false">INDEX(Products!$B$2:$B$71,MATCH($C708,Products!$A$2:$A$71,0))</f>
        <v>Error Gift</v>
      </c>
      <c r="L708" s="79" t="str">
        <f aca="false">INDEX(Products!$C$2:$C$71,MATCH($C708,Products!$A$2:$A$71,0))</f>
        <v>Sweets</v>
      </c>
      <c r="M708" s="80" t="n">
        <f aca="false">INDEX(Products!$D$2:$D$71,MATCH($C708,Products!$A$2:$A$71,0))</f>
        <v>866</v>
      </c>
      <c r="N708" s="80" t="n">
        <f aca="false">$D708*$M708</f>
        <v>3464</v>
      </c>
      <c r="O708" s="79" t="str">
        <f aca="false">INDEX(Customers!$C$2:$C$101,MATCH($B708,Customers!$A$2:$A$101,0))</f>
        <v>Dibrugarh</v>
      </c>
      <c r="P708" s="79" t="str">
        <f aca="false">INDEX(Customers!$F$2:$F$101,MATCH($B708,Customers!$A$2:$A$101,0))</f>
        <v>Female</v>
      </c>
      <c r="Q708" s="79" t="str">
        <f aca="false">INDEX(Customers!$B$2:$B$101,MATCH($B708,Customers!$A$2:$A$101,0))</f>
        <v>Biju Bajwa</v>
      </c>
      <c r="R708" s="79" t="n">
        <f aca="false">MONTH($E708)</f>
        <v>2</v>
      </c>
      <c r="S708" s="79" t="str">
        <f aca="false">INDEX(Lists!$B$2:$B$13,$R708)</f>
        <v>February</v>
      </c>
      <c r="T708" s="79" t="n">
        <f aca="false">HOUR($F708)</f>
        <v>6</v>
      </c>
      <c r="U708" s="79" t="n">
        <f aca="false">WEEKDAY($E708,2)</f>
        <v>5</v>
      </c>
      <c r="V708" s="79" t="str">
        <f aca="false">INDEX(Lists!$F$2:$F$8,$U708)</f>
        <v>Friday</v>
      </c>
      <c r="W708" s="81" t="n">
        <f aca="false">($G708+$H708)-($E708+$F708)</f>
        <v>8.78255787037037</v>
      </c>
      <c r="X708" s="79" t="str">
        <f aca="false">LOOKUP($M708,Lists!$G$2:$G$5,Lists!$H$2:$H$5)</f>
        <v>₹500 - 999</v>
      </c>
      <c r="Y708" s="79" t="str">
        <f aca="false">LOOKUP($W708,Lists!$I$2:$I$7,Lists!$J$2:$J$7)</f>
        <v>8 - 10 days</v>
      </c>
    </row>
    <row r="709" customFormat="false" ht="15" hidden="false" customHeight="false" outlineLevel="0" collapsed="false">
      <c r="A709" s="2" t="n">
        <v>708</v>
      </c>
      <c r="B709" s="2" t="s">
        <v>127</v>
      </c>
      <c r="C709" s="2" t="n">
        <v>62</v>
      </c>
      <c r="D709" s="2" t="n">
        <v>3</v>
      </c>
      <c r="E709" s="82" t="n">
        <v>44988</v>
      </c>
      <c r="F709" s="83" t="n">
        <v>0.4578125</v>
      </c>
      <c r="G709" s="82" t="n">
        <v>44997</v>
      </c>
      <c r="H709" s="83" t="n">
        <v>0.212210648148148</v>
      </c>
      <c r="I709" s="2" t="s">
        <v>516</v>
      </c>
      <c r="J709" s="2" t="s">
        <v>33</v>
      </c>
      <c r="K709" s="46" t="str">
        <f aca="false">INDEX(Products!$B$2:$B$71,MATCH($C709,Products!$A$2:$A$71,0))</f>
        <v>Sed Set</v>
      </c>
      <c r="L709" s="46" t="str">
        <f aca="false">INDEX(Products!$C$2:$C$71,MATCH($C709,Products!$A$2:$A$71,0))</f>
        <v>Colors</v>
      </c>
      <c r="M709" s="84" t="n">
        <f aca="false">INDEX(Products!$D$2:$D$71,MATCH($C709,Products!$A$2:$A$71,0))</f>
        <v>1356</v>
      </c>
      <c r="N709" s="84" t="n">
        <f aca="false">$D709*$M709</f>
        <v>4068</v>
      </c>
      <c r="O709" s="46" t="str">
        <f aca="false">INDEX(Customers!$C$2:$C$101,MATCH($B709,Customers!$A$2:$A$101,0))</f>
        <v>Bulandshahr</v>
      </c>
      <c r="P709" s="46" t="str">
        <f aca="false">INDEX(Customers!$F$2:$F$101,MATCH($B709,Customers!$A$2:$A$101,0))</f>
        <v>Female</v>
      </c>
      <c r="Q709" s="46" t="str">
        <f aca="false">INDEX(Customers!$B$2:$B$101,MATCH($B709,Customers!$A$2:$A$101,0))</f>
        <v>Myra Edwin</v>
      </c>
      <c r="R709" s="46" t="n">
        <f aca="false">MONTH($E709)</f>
        <v>3</v>
      </c>
      <c r="S709" s="46" t="str">
        <f aca="false">INDEX(Lists!$B$2:$B$13,$R709)</f>
        <v>March</v>
      </c>
      <c r="T709" s="46" t="n">
        <f aca="false">HOUR($F709)</f>
        <v>10</v>
      </c>
      <c r="U709" s="46" t="n">
        <f aca="false">WEEKDAY($E709,2)</f>
        <v>5</v>
      </c>
      <c r="V709" s="46" t="str">
        <f aca="false">INDEX(Lists!$F$2:$F$8,$U709)</f>
        <v>Friday</v>
      </c>
      <c r="W709" s="85" t="n">
        <f aca="false">($G709+$H709)-($E709+$F709)</f>
        <v>8.75439814814815</v>
      </c>
      <c r="X709" s="46" t="str">
        <f aca="false">LOOKUP($M709,Lists!$G$2:$G$5,Lists!$H$2:$H$5)</f>
        <v>₹1,000 - 1,499</v>
      </c>
      <c r="Y709" s="46" t="str">
        <f aca="false">LOOKUP($W709,Lists!$I$2:$I$7,Lists!$J$2:$J$7)</f>
        <v>8 - 10 days</v>
      </c>
    </row>
    <row r="710" customFormat="false" ht="15" hidden="false" customHeight="false" outlineLevel="0" collapsed="false">
      <c r="A710" s="7" t="n">
        <v>709</v>
      </c>
      <c r="B710" s="7" t="s">
        <v>167</v>
      </c>
      <c r="C710" s="7" t="n">
        <v>53</v>
      </c>
      <c r="D710" s="7" t="n">
        <v>5</v>
      </c>
      <c r="E710" s="77" t="n">
        <v>45167</v>
      </c>
      <c r="F710" s="78" t="n">
        <v>0.193113425925926</v>
      </c>
      <c r="G710" s="77" t="n">
        <v>45176</v>
      </c>
      <c r="H710" s="78" t="n">
        <v>0.728645833333333</v>
      </c>
      <c r="I710" s="7" t="s">
        <v>462</v>
      </c>
      <c r="J710" s="7" t="s">
        <v>40</v>
      </c>
      <c r="K710" s="79" t="str">
        <f aca="false">INDEX(Products!$B$2:$B$71,MATCH($C710,Products!$A$2:$A$71,0))</f>
        <v>Ipsam Set</v>
      </c>
      <c r="L710" s="79" t="str">
        <f aca="false">INDEX(Products!$C$2:$C$71,MATCH($C710,Products!$A$2:$A$71,0))</f>
        <v>Sweets</v>
      </c>
      <c r="M710" s="80" t="n">
        <f aca="false">INDEX(Products!$D$2:$D$71,MATCH($C710,Products!$A$2:$A$71,0))</f>
        <v>1672</v>
      </c>
      <c r="N710" s="80" t="n">
        <f aca="false">$D710*$M710</f>
        <v>8360</v>
      </c>
      <c r="O710" s="79" t="str">
        <f aca="false">INDEX(Customers!$C$2:$C$101,MATCH($B710,Customers!$A$2:$A$101,0))</f>
        <v>Tenali</v>
      </c>
      <c r="P710" s="79" t="str">
        <f aca="false">INDEX(Customers!$F$2:$F$101,MATCH($B710,Customers!$A$2:$A$101,0))</f>
        <v>Male</v>
      </c>
      <c r="Q710" s="79" t="str">
        <f aca="false">INDEX(Customers!$B$2:$B$101,MATCH($B710,Customers!$A$2:$A$101,0))</f>
        <v>Amani Ganesh</v>
      </c>
      <c r="R710" s="79" t="n">
        <f aca="false">MONTH($E710)</f>
        <v>8</v>
      </c>
      <c r="S710" s="79" t="str">
        <f aca="false">INDEX(Lists!$B$2:$B$13,$R710)</f>
        <v>August</v>
      </c>
      <c r="T710" s="79" t="n">
        <f aca="false">HOUR($F710)</f>
        <v>4</v>
      </c>
      <c r="U710" s="79" t="n">
        <f aca="false">WEEKDAY($E710,2)</f>
        <v>2</v>
      </c>
      <c r="V710" s="79" t="str">
        <f aca="false">INDEX(Lists!$F$2:$F$8,$U710)</f>
        <v>Tuesday</v>
      </c>
      <c r="W710" s="81" t="n">
        <f aca="false">($G710+$H710)-($E710+$F710)</f>
        <v>9.53553240740741</v>
      </c>
      <c r="X710" s="79" t="str">
        <f aca="false">LOOKUP($M710,Lists!$G$2:$G$5,Lists!$H$2:$H$5)</f>
        <v>₹1,500 - 2,000</v>
      </c>
      <c r="Y710" s="79" t="str">
        <f aca="false">LOOKUP($W710,Lists!$I$2:$I$7,Lists!$J$2:$J$7)</f>
        <v>8 - 10 days</v>
      </c>
    </row>
    <row r="711" customFormat="false" ht="15" hidden="false" customHeight="false" outlineLevel="0" collapsed="false">
      <c r="A711" s="2" t="n">
        <v>710</v>
      </c>
      <c r="B711" s="2" t="s">
        <v>357</v>
      </c>
      <c r="C711" s="2" t="n">
        <v>54</v>
      </c>
      <c r="D711" s="2" t="n">
        <v>5</v>
      </c>
      <c r="E711" s="82" t="n">
        <v>45068</v>
      </c>
      <c r="F711" s="83" t="n">
        <v>0.0646180555555556</v>
      </c>
      <c r="G711" s="82" t="n">
        <v>45075</v>
      </c>
      <c r="H711" s="83" t="n">
        <v>0.0721296296296296</v>
      </c>
      <c r="I711" s="2" t="s">
        <v>434</v>
      </c>
      <c r="J711" s="2" t="s">
        <v>168</v>
      </c>
      <c r="K711" s="46" t="str">
        <f aca="false">INDEX(Products!$B$2:$B$71,MATCH($C711,Products!$A$2:$A$71,0))</f>
        <v>Occaecati Gift</v>
      </c>
      <c r="L711" s="46" t="str">
        <f aca="false">INDEX(Products!$C$2:$C$71,MATCH($C711,Products!$A$2:$A$71,0))</f>
        <v>Cake</v>
      </c>
      <c r="M711" s="84" t="n">
        <f aca="false">INDEX(Products!$D$2:$D$71,MATCH($C711,Products!$A$2:$A$71,0))</f>
        <v>1236</v>
      </c>
      <c r="N711" s="84" t="n">
        <f aca="false">$D711*$M711</f>
        <v>6180</v>
      </c>
      <c r="O711" s="46" t="str">
        <f aca="false">INDEX(Customers!$C$2:$C$101,MATCH($B711,Customers!$A$2:$A$101,0))</f>
        <v>North Dumdum</v>
      </c>
      <c r="P711" s="46" t="str">
        <f aca="false">INDEX(Customers!$F$2:$F$101,MATCH($B711,Customers!$A$2:$A$101,0))</f>
        <v>Female</v>
      </c>
      <c r="Q711" s="46" t="str">
        <f aca="false">INDEX(Customers!$B$2:$B$101,MATCH($B711,Customers!$A$2:$A$101,0))</f>
        <v>Rania Bhatt</v>
      </c>
      <c r="R711" s="46" t="n">
        <f aca="false">MONTH($E711)</f>
        <v>5</v>
      </c>
      <c r="S711" s="46" t="str">
        <f aca="false">INDEX(Lists!$B$2:$B$13,$R711)</f>
        <v>May</v>
      </c>
      <c r="T711" s="46" t="n">
        <f aca="false">HOUR($F711)</f>
        <v>1</v>
      </c>
      <c r="U711" s="46" t="n">
        <f aca="false">WEEKDAY($E711,2)</f>
        <v>1</v>
      </c>
      <c r="V711" s="46" t="str">
        <f aca="false">INDEX(Lists!$F$2:$F$8,$U711)</f>
        <v>Monday</v>
      </c>
      <c r="W711" s="85" t="n">
        <f aca="false">($G711+$H711)-($E711+$F711)</f>
        <v>7.00751157407407</v>
      </c>
      <c r="X711" s="46" t="str">
        <f aca="false">LOOKUP($M711,Lists!$G$2:$G$5,Lists!$H$2:$H$5)</f>
        <v>₹1,000 - 1,499</v>
      </c>
      <c r="Y711" s="46" t="str">
        <f aca="false">LOOKUP($W711,Lists!$I$2:$I$7,Lists!$J$2:$J$7)</f>
        <v>6 - 8 days</v>
      </c>
    </row>
    <row r="712" customFormat="false" ht="15" hidden="false" customHeight="false" outlineLevel="0" collapsed="false">
      <c r="A712" s="7" t="n">
        <v>711</v>
      </c>
      <c r="B712" s="7" t="s">
        <v>375</v>
      </c>
      <c r="C712" s="7" t="n">
        <v>68</v>
      </c>
      <c r="D712" s="7" t="n">
        <v>3</v>
      </c>
      <c r="E712" s="77" t="n">
        <v>44961</v>
      </c>
      <c r="F712" s="78" t="n">
        <v>0.719074074074074</v>
      </c>
      <c r="G712" s="77" t="n">
        <v>44963</v>
      </c>
      <c r="H712" s="78" t="n">
        <v>0.618668981481482</v>
      </c>
      <c r="I712" s="7" t="s">
        <v>594</v>
      </c>
      <c r="J712" s="7" t="s">
        <v>179</v>
      </c>
      <c r="K712" s="79" t="str">
        <f aca="false">INDEX(Products!$B$2:$B$71,MATCH($C712,Products!$A$2:$A$71,0))</f>
        <v>Quas Gift</v>
      </c>
      <c r="L712" s="79" t="str">
        <f aca="false">INDEX(Products!$C$2:$C$71,MATCH($C712,Products!$A$2:$A$71,0))</f>
        <v>Soft Toys</v>
      </c>
      <c r="M712" s="80" t="n">
        <f aca="false">INDEX(Products!$D$2:$D$71,MATCH($C712,Products!$A$2:$A$71,0))</f>
        <v>597</v>
      </c>
      <c r="N712" s="80" t="n">
        <f aca="false">$D712*$M712</f>
        <v>1791</v>
      </c>
      <c r="O712" s="79" t="str">
        <f aca="false">INDEX(Customers!$C$2:$C$101,MATCH($B712,Customers!$A$2:$A$101,0))</f>
        <v>Tumkur</v>
      </c>
      <c r="P712" s="79" t="str">
        <f aca="false">INDEX(Customers!$F$2:$F$101,MATCH($B712,Customers!$A$2:$A$101,0))</f>
        <v>Male</v>
      </c>
      <c r="Q712" s="79" t="str">
        <f aca="false">INDEX(Customers!$B$2:$B$101,MATCH($B712,Customers!$A$2:$A$101,0))</f>
        <v>Mamooty Bawa</v>
      </c>
      <c r="R712" s="79" t="n">
        <f aca="false">MONTH($E712)</f>
        <v>2</v>
      </c>
      <c r="S712" s="79" t="str">
        <f aca="false">INDEX(Lists!$B$2:$B$13,$R712)</f>
        <v>February</v>
      </c>
      <c r="T712" s="79" t="n">
        <f aca="false">HOUR($F712)</f>
        <v>17</v>
      </c>
      <c r="U712" s="79" t="n">
        <f aca="false">WEEKDAY($E712,2)</f>
        <v>6</v>
      </c>
      <c r="V712" s="79" t="str">
        <f aca="false">INDEX(Lists!$F$2:$F$8,$U712)</f>
        <v>Saturday</v>
      </c>
      <c r="W712" s="81" t="n">
        <f aca="false">($G712+$H712)-($E712+$F712)</f>
        <v>1.89959490740741</v>
      </c>
      <c r="X712" s="79" t="str">
        <f aca="false">LOOKUP($M712,Lists!$G$2:$G$5,Lists!$H$2:$H$5)</f>
        <v>₹500 - 999</v>
      </c>
      <c r="Y712" s="79" t="str">
        <f aca="false">LOOKUP($W712,Lists!$I$2:$I$7,Lists!$J$2:$J$7)</f>
        <v>0 - 2 days</v>
      </c>
    </row>
    <row r="713" customFormat="false" ht="15" hidden="false" customHeight="false" outlineLevel="0" collapsed="false">
      <c r="A713" s="2" t="n">
        <v>712</v>
      </c>
      <c r="B713" s="2" t="s">
        <v>275</v>
      </c>
      <c r="C713" s="2" t="n">
        <v>65</v>
      </c>
      <c r="D713" s="2" t="n">
        <v>5</v>
      </c>
      <c r="E713" s="82" t="n">
        <v>45118</v>
      </c>
      <c r="F713" s="83" t="n">
        <v>0.541805555555556</v>
      </c>
      <c r="G713" s="82" t="n">
        <v>45120</v>
      </c>
      <c r="H713" s="83" t="n">
        <v>0.274270833333333</v>
      </c>
      <c r="I713" s="2" t="s">
        <v>408</v>
      </c>
      <c r="J713" s="2" t="s">
        <v>165</v>
      </c>
      <c r="K713" s="46" t="str">
        <f aca="false">INDEX(Products!$B$2:$B$71,MATCH($C713,Products!$A$2:$A$71,0))</f>
        <v>Error Gift</v>
      </c>
      <c r="L713" s="46" t="str">
        <f aca="false">INDEX(Products!$C$2:$C$71,MATCH($C713,Products!$A$2:$A$71,0))</f>
        <v>Raksha Bandhan</v>
      </c>
      <c r="M713" s="84" t="n">
        <f aca="false">INDEX(Products!$D$2:$D$71,MATCH($C713,Products!$A$2:$A$71,0))</f>
        <v>1895</v>
      </c>
      <c r="N713" s="84" t="n">
        <f aca="false">$D713*$M713</f>
        <v>9475</v>
      </c>
      <c r="O713" s="46" t="str">
        <f aca="false">INDEX(Customers!$C$2:$C$101,MATCH($B713,Customers!$A$2:$A$101,0))</f>
        <v>Delhi</v>
      </c>
      <c r="P713" s="46" t="str">
        <f aca="false">INDEX(Customers!$F$2:$F$101,MATCH($B713,Customers!$A$2:$A$101,0))</f>
        <v>Female</v>
      </c>
      <c r="Q713" s="46" t="str">
        <f aca="false">INDEX(Customers!$B$2:$B$101,MATCH($B713,Customers!$A$2:$A$101,0))</f>
        <v>Zain Hegde</v>
      </c>
      <c r="R713" s="46" t="n">
        <f aca="false">MONTH($E713)</f>
        <v>7</v>
      </c>
      <c r="S713" s="46" t="str">
        <f aca="false">INDEX(Lists!$B$2:$B$13,$R713)</f>
        <v>July</v>
      </c>
      <c r="T713" s="46" t="n">
        <f aca="false">HOUR($F713)</f>
        <v>13</v>
      </c>
      <c r="U713" s="46" t="n">
        <f aca="false">WEEKDAY($E713,2)</f>
        <v>2</v>
      </c>
      <c r="V713" s="46" t="str">
        <f aca="false">INDEX(Lists!$F$2:$F$8,$U713)</f>
        <v>Tuesday</v>
      </c>
      <c r="W713" s="85" t="n">
        <f aca="false">($G713+$H713)-($E713+$F713)</f>
        <v>1.73246527777778</v>
      </c>
      <c r="X713" s="46" t="str">
        <f aca="false">LOOKUP($M713,Lists!$G$2:$G$5,Lists!$H$2:$H$5)</f>
        <v>₹1,500 - 2,000</v>
      </c>
      <c r="Y713" s="46" t="str">
        <f aca="false">LOOKUP($W713,Lists!$I$2:$I$7,Lists!$J$2:$J$7)</f>
        <v>0 - 2 days</v>
      </c>
    </row>
    <row r="714" customFormat="false" ht="15" hidden="false" customHeight="false" outlineLevel="0" collapsed="false">
      <c r="A714" s="7" t="n">
        <v>713</v>
      </c>
      <c r="B714" s="7" t="s">
        <v>341</v>
      </c>
      <c r="C714" s="7" t="n">
        <v>37</v>
      </c>
      <c r="D714" s="7" t="n">
        <v>3</v>
      </c>
      <c r="E714" s="77" t="n">
        <v>45238</v>
      </c>
      <c r="F714" s="78" t="n">
        <v>0.97525462962963</v>
      </c>
      <c r="G714" s="77" t="n">
        <v>45245</v>
      </c>
      <c r="H714" s="78" t="n">
        <v>0.952326388888889</v>
      </c>
      <c r="I714" s="7" t="s">
        <v>594</v>
      </c>
      <c r="J714" s="7" t="s">
        <v>32</v>
      </c>
      <c r="K714" s="79" t="str">
        <f aca="false">INDEX(Products!$B$2:$B$71,MATCH($C714,Products!$A$2:$A$71,0))</f>
        <v>Officiis Pack</v>
      </c>
      <c r="L714" s="79" t="str">
        <f aca="false">INDEX(Products!$C$2:$C$71,MATCH($C714,Products!$A$2:$A$71,0))</f>
        <v>Colors</v>
      </c>
      <c r="M714" s="80" t="n">
        <f aca="false">INDEX(Products!$D$2:$D$71,MATCH($C714,Products!$A$2:$A$71,0))</f>
        <v>1428</v>
      </c>
      <c r="N714" s="80" t="n">
        <f aca="false">$D714*$M714</f>
        <v>4284</v>
      </c>
      <c r="O714" s="79" t="str">
        <f aca="false">INDEX(Customers!$C$2:$C$101,MATCH($B714,Customers!$A$2:$A$101,0))</f>
        <v>Ratlam</v>
      </c>
      <c r="P714" s="79" t="str">
        <f aca="false">INDEX(Customers!$F$2:$F$101,MATCH($B714,Customers!$A$2:$A$101,0))</f>
        <v>Male</v>
      </c>
      <c r="Q714" s="79" t="str">
        <f aca="false">INDEX(Customers!$B$2:$B$101,MATCH($B714,Customers!$A$2:$A$101,0))</f>
        <v>Kaira Ramachandran</v>
      </c>
      <c r="R714" s="79" t="n">
        <f aca="false">MONTH($E714)</f>
        <v>11</v>
      </c>
      <c r="S714" s="79" t="str">
        <f aca="false">INDEX(Lists!$B$2:$B$13,$R714)</f>
        <v>November</v>
      </c>
      <c r="T714" s="79" t="n">
        <f aca="false">HOUR($F714)</f>
        <v>23</v>
      </c>
      <c r="U714" s="79" t="n">
        <f aca="false">WEEKDAY($E714,2)</f>
        <v>3</v>
      </c>
      <c r="V714" s="79" t="str">
        <f aca="false">INDEX(Lists!$F$2:$F$8,$U714)</f>
        <v>Wednesday</v>
      </c>
      <c r="W714" s="81" t="n">
        <f aca="false">($G714+$H714)-($E714+$F714)</f>
        <v>6.97707175925926</v>
      </c>
      <c r="X714" s="79" t="str">
        <f aca="false">LOOKUP($M714,Lists!$G$2:$G$5,Lists!$H$2:$H$5)</f>
        <v>₹1,000 - 1,499</v>
      </c>
      <c r="Y714" s="79" t="str">
        <f aca="false">LOOKUP($W714,Lists!$I$2:$I$7,Lists!$J$2:$J$7)</f>
        <v>6 - 8 days</v>
      </c>
    </row>
    <row r="715" customFormat="false" ht="15" hidden="false" customHeight="false" outlineLevel="0" collapsed="false">
      <c r="A715" s="2" t="n">
        <v>714</v>
      </c>
      <c r="B715" s="2" t="s">
        <v>263</v>
      </c>
      <c r="C715" s="2" t="n">
        <v>63</v>
      </c>
      <c r="D715" s="2" t="n">
        <v>2</v>
      </c>
      <c r="E715" s="82" t="n">
        <v>45078</v>
      </c>
      <c r="F715" s="83" t="n">
        <v>0.811215277777778</v>
      </c>
      <c r="G715" s="82" t="n">
        <v>45080</v>
      </c>
      <c r="H715" s="83" t="n">
        <v>0.329178240740741</v>
      </c>
      <c r="I715" s="2" t="s">
        <v>346</v>
      </c>
      <c r="J715" s="2" t="s">
        <v>165</v>
      </c>
      <c r="K715" s="46" t="str">
        <f aca="false">INDEX(Products!$B$2:$B$71,MATCH($C715,Products!$A$2:$A$71,0))</f>
        <v>Adipisci Set</v>
      </c>
      <c r="L715" s="46" t="str">
        <f aca="false">INDEX(Products!$C$2:$C$71,MATCH($C715,Products!$A$2:$A$71,0))</f>
        <v>Sweets</v>
      </c>
      <c r="M715" s="84" t="n">
        <f aca="false">INDEX(Products!$D$2:$D$71,MATCH($C715,Products!$A$2:$A$71,0))</f>
        <v>1348</v>
      </c>
      <c r="N715" s="84" t="n">
        <f aca="false">$D715*$M715</f>
        <v>2696</v>
      </c>
      <c r="O715" s="46" t="str">
        <f aca="false">INDEX(Customers!$C$2:$C$101,MATCH($B715,Customers!$A$2:$A$101,0))</f>
        <v>Bharatpur</v>
      </c>
      <c r="P715" s="46" t="str">
        <f aca="false">INDEX(Customers!$F$2:$F$101,MATCH($B715,Customers!$A$2:$A$101,0))</f>
        <v>Female</v>
      </c>
      <c r="Q715" s="46" t="str">
        <f aca="false">INDEX(Customers!$B$2:$B$101,MATCH($B715,Customers!$A$2:$A$101,0))</f>
        <v>Kismat Kapadia</v>
      </c>
      <c r="R715" s="46" t="n">
        <f aca="false">MONTH($E715)</f>
        <v>6</v>
      </c>
      <c r="S715" s="46" t="str">
        <f aca="false">INDEX(Lists!$B$2:$B$13,$R715)</f>
        <v>June</v>
      </c>
      <c r="T715" s="46" t="n">
        <f aca="false">HOUR($F715)</f>
        <v>19</v>
      </c>
      <c r="U715" s="46" t="n">
        <f aca="false">WEEKDAY($E715,2)</f>
        <v>4</v>
      </c>
      <c r="V715" s="46" t="str">
        <f aca="false">INDEX(Lists!$F$2:$F$8,$U715)</f>
        <v>Thursday</v>
      </c>
      <c r="W715" s="85" t="n">
        <f aca="false">($G715+$H715)-($E715+$F715)</f>
        <v>1.51796296296296</v>
      </c>
      <c r="X715" s="46" t="str">
        <f aca="false">LOOKUP($M715,Lists!$G$2:$G$5,Lists!$H$2:$H$5)</f>
        <v>₹1,000 - 1,499</v>
      </c>
      <c r="Y715" s="46" t="str">
        <f aca="false">LOOKUP($W715,Lists!$I$2:$I$7,Lists!$J$2:$J$7)</f>
        <v>0 - 2 days</v>
      </c>
    </row>
    <row r="716" customFormat="false" ht="15" hidden="false" customHeight="false" outlineLevel="0" collapsed="false">
      <c r="A716" s="7" t="n">
        <v>715</v>
      </c>
      <c r="B716" s="7" t="s">
        <v>309</v>
      </c>
      <c r="C716" s="7" t="n">
        <v>38</v>
      </c>
      <c r="D716" s="7" t="n">
        <v>4</v>
      </c>
      <c r="E716" s="77" t="n">
        <v>45030</v>
      </c>
      <c r="F716" s="78" t="n">
        <v>0.21994212962963</v>
      </c>
      <c r="G716" s="77" t="n">
        <v>45037</v>
      </c>
      <c r="H716" s="78" t="n">
        <v>0.694108796296296</v>
      </c>
      <c r="I716" s="7" t="s">
        <v>584</v>
      </c>
      <c r="J716" s="7" t="s">
        <v>31</v>
      </c>
      <c r="K716" s="79" t="str">
        <f aca="false">INDEX(Products!$B$2:$B$71,MATCH($C716,Products!$A$2:$A$71,0))</f>
        <v>Mollitia Set</v>
      </c>
      <c r="L716" s="79" t="str">
        <f aca="false">INDEX(Products!$C$2:$C$71,MATCH($C716,Products!$A$2:$A$71,0))</f>
        <v>Cake</v>
      </c>
      <c r="M716" s="80" t="n">
        <f aca="false">INDEX(Products!$D$2:$D$71,MATCH($C716,Products!$A$2:$A$71,0))</f>
        <v>562</v>
      </c>
      <c r="N716" s="80" t="n">
        <f aca="false">$D716*$M716</f>
        <v>2248</v>
      </c>
      <c r="O716" s="79" t="str">
        <f aca="false">INDEX(Customers!$C$2:$C$101,MATCH($B716,Customers!$A$2:$A$101,0))</f>
        <v>Madhyamgram</v>
      </c>
      <c r="P716" s="79" t="str">
        <f aca="false">INDEX(Customers!$F$2:$F$101,MATCH($B716,Customers!$A$2:$A$101,0))</f>
        <v>Female</v>
      </c>
      <c r="Q716" s="79" t="str">
        <f aca="false">INDEX(Customers!$B$2:$B$101,MATCH($B716,Customers!$A$2:$A$101,0))</f>
        <v>Hunar Tripathi</v>
      </c>
      <c r="R716" s="79" t="n">
        <f aca="false">MONTH($E716)</f>
        <v>4</v>
      </c>
      <c r="S716" s="79" t="str">
        <f aca="false">INDEX(Lists!$B$2:$B$13,$R716)</f>
        <v>April</v>
      </c>
      <c r="T716" s="79" t="n">
        <f aca="false">HOUR($F716)</f>
        <v>5</v>
      </c>
      <c r="U716" s="79" t="n">
        <f aca="false">WEEKDAY($E716,2)</f>
        <v>5</v>
      </c>
      <c r="V716" s="79" t="str">
        <f aca="false">INDEX(Lists!$F$2:$F$8,$U716)</f>
        <v>Friday</v>
      </c>
      <c r="W716" s="81" t="n">
        <f aca="false">($G716+$H716)-($E716+$F716)</f>
        <v>7.47416666666667</v>
      </c>
      <c r="X716" s="79" t="str">
        <f aca="false">LOOKUP($M716,Lists!$G$2:$G$5,Lists!$H$2:$H$5)</f>
        <v>₹500 - 999</v>
      </c>
      <c r="Y716" s="79" t="str">
        <f aca="false">LOOKUP($W716,Lists!$I$2:$I$7,Lists!$J$2:$J$7)</f>
        <v>6 - 8 days</v>
      </c>
    </row>
    <row r="717" customFormat="false" ht="15" hidden="false" customHeight="false" outlineLevel="0" collapsed="false">
      <c r="A717" s="2" t="n">
        <v>716</v>
      </c>
      <c r="B717" s="2" t="s">
        <v>328</v>
      </c>
      <c r="C717" s="2" t="n">
        <v>40</v>
      </c>
      <c r="D717" s="2" t="n">
        <v>3</v>
      </c>
      <c r="E717" s="82" t="n">
        <v>45157</v>
      </c>
      <c r="F717" s="83" t="n">
        <v>0.970972222222222</v>
      </c>
      <c r="G717" s="82" t="n">
        <v>45164</v>
      </c>
      <c r="H717" s="83" t="n">
        <v>0.0694212962962963</v>
      </c>
      <c r="I717" s="2" t="s">
        <v>217</v>
      </c>
      <c r="J717" s="2" t="s">
        <v>168</v>
      </c>
      <c r="K717" s="46" t="str">
        <f aca="false">INDEX(Products!$B$2:$B$71,MATCH($C717,Products!$A$2:$A$71,0))</f>
        <v>Provident Pack</v>
      </c>
      <c r="L717" s="46" t="str">
        <f aca="false">INDEX(Products!$C$2:$C$71,MATCH($C717,Products!$A$2:$A$71,0))</f>
        <v>Sweets</v>
      </c>
      <c r="M717" s="84" t="n">
        <f aca="false">INDEX(Products!$D$2:$D$71,MATCH($C717,Products!$A$2:$A$71,0))</f>
        <v>1923</v>
      </c>
      <c r="N717" s="84" t="n">
        <f aca="false">$D717*$M717</f>
        <v>5769</v>
      </c>
      <c r="O717" s="46" t="str">
        <f aca="false">INDEX(Customers!$C$2:$C$101,MATCH($B717,Customers!$A$2:$A$101,0))</f>
        <v>Gaya</v>
      </c>
      <c r="P717" s="46" t="str">
        <f aca="false">INDEX(Customers!$F$2:$F$101,MATCH($B717,Customers!$A$2:$A$101,0))</f>
        <v>Female</v>
      </c>
      <c r="Q717" s="46" t="str">
        <f aca="false">INDEX(Customers!$B$2:$B$101,MATCH($B717,Customers!$A$2:$A$101,0))</f>
        <v>Oorja Dayal</v>
      </c>
      <c r="R717" s="46" t="n">
        <f aca="false">MONTH($E717)</f>
        <v>8</v>
      </c>
      <c r="S717" s="46" t="str">
        <f aca="false">INDEX(Lists!$B$2:$B$13,$R717)</f>
        <v>August</v>
      </c>
      <c r="T717" s="46" t="n">
        <f aca="false">HOUR($F717)</f>
        <v>23</v>
      </c>
      <c r="U717" s="46" t="n">
        <f aca="false">WEEKDAY($E717,2)</f>
        <v>6</v>
      </c>
      <c r="V717" s="46" t="str">
        <f aca="false">INDEX(Lists!$F$2:$F$8,$U717)</f>
        <v>Saturday</v>
      </c>
      <c r="W717" s="85" t="n">
        <f aca="false">($G717+$H717)-($E717+$F717)</f>
        <v>6.09844907407407</v>
      </c>
      <c r="X717" s="46" t="str">
        <f aca="false">LOOKUP($M717,Lists!$G$2:$G$5,Lists!$H$2:$H$5)</f>
        <v>₹1,500 - 2,000</v>
      </c>
      <c r="Y717" s="46" t="str">
        <f aca="false">LOOKUP($W717,Lists!$I$2:$I$7,Lists!$J$2:$J$7)</f>
        <v>6 - 8 days</v>
      </c>
    </row>
    <row r="718" customFormat="false" ht="15" hidden="false" customHeight="false" outlineLevel="0" collapsed="false">
      <c r="A718" s="7" t="n">
        <v>717</v>
      </c>
      <c r="B718" s="7" t="s">
        <v>281</v>
      </c>
      <c r="C718" s="7" t="n">
        <v>67</v>
      </c>
      <c r="D718" s="7" t="n">
        <v>5</v>
      </c>
      <c r="E718" s="77" t="n">
        <v>45102</v>
      </c>
      <c r="F718" s="78" t="n">
        <v>0.26287037037037</v>
      </c>
      <c r="G718" s="77" t="n">
        <v>45103</v>
      </c>
      <c r="H718" s="78" t="n">
        <v>0.972777777777778</v>
      </c>
      <c r="I718" s="7" t="s">
        <v>610</v>
      </c>
      <c r="J718" s="7" t="s">
        <v>168</v>
      </c>
      <c r="K718" s="79" t="str">
        <f aca="false">INDEX(Products!$B$2:$B$71,MATCH($C718,Products!$A$2:$A$71,0))</f>
        <v>Maiores Box</v>
      </c>
      <c r="L718" s="79" t="str">
        <f aca="false">INDEX(Products!$C$2:$C$71,MATCH($C718,Products!$A$2:$A$71,0))</f>
        <v>Raksha Bandhan</v>
      </c>
      <c r="M718" s="80" t="n">
        <f aca="false">INDEX(Products!$D$2:$D$71,MATCH($C718,Products!$A$2:$A$71,0))</f>
        <v>1374</v>
      </c>
      <c r="N718" s="80" t="n">
        <f aca="false">$D718*$M718</f>
        <v>6870</v>
      </c>
      <c r="O718" s="79" t="str">
        <f aca="false">INDEX(Customers!$C$2:$C$101,MATCH($B718,Customers!$A$2:$A$101,0))</f>
        <v>Kalyan-Dombivli</v>
      </c>
      <c r="P718" s="79" t="str">
        <f aca="false">INDEX(Customers!$F$2:$F$101,MATCH($B718,Customers!$A$2:$A$101,0))</f>
        <v>Male</v>
      </c>
      <c r="Q718" s="79" t="str">
        <f aca="false">INDEX(Customers!$B$2:$B$101,MATCH($B718,Customers!$A$2:$A$101,0))</f>
        <v>Nirvi Wagle</v>
      </c>
      <c r="R718" s="79" t="n">
        <f aca="false">MONTH($E718)</f>
        <v>6</v>
      </c>
      <c r="S718" s="79" t="str">
        <f aca="false">INDEX(Lists!$B$2:$B$13,$R718)</f>
        <v>June</v>
      </c>
      <c r="T718" s="79" t="n">
        <f aca="false">HOUR($F718)</f>
        <v>6</v>
      </c>
      <c r="U718" s="79" t="n">
        <f aca="false">WEEKDAY($E718,2)</f>
        <v>7</v>
      </c>
      <c r="V718" s="79" t="str">
        <f aca="false">INDEX(Lists!$F$2:$F$8,$U718)</f>
        <v>Sunday</v>
      </c>
      <c r="W718" s="81" t="n">
        <f aca="false">($G718+$H718)-($E718+$F718)</f>
        <v>1.70990740740741</v>
      </c>
      <c r="X718" s="79" t="str">
        <f aca="false">LOOKUP($M718,Lists!$G$2:$G$5,Lists!$H$2:$H$5)</f>
        <v>₹1,000 - 1,499</v>
      </c>
      <c r="Y718" s="79" t="str">
        <f aca="false">LOOKUP($W718,Lists!$I$2:$I$7,Lists!$J$2:$J$7)</f>
        <v>0 - 2 days</v>
      </c>
    </row>
    <row r="719" customFormat="false" ht="15" hidden="false" customHeight="false" outlineLevel="0" collapsed="false">
      <c r="A719" s="2" t="n">
        <v>718</v>
      </c>
      <c r="B719" s="2" t="s">
        <v>194</v>
      </c>
      <c r="C719" s="2" t="n">
        <v>49</v>
      </c>
      <c r="D719" s="2" t="n">
        <v>1</v>
      </c>
      <c r="E719" s="82" t="n">
        <v>44966</v>
      </c>
      <c r="F719" s="83" t="n">
        <v>0.217766203703704</v>
      </c>
      <c r="G719" s="82" t="n">
        <v>44970</v>
      </c>
      <c r="H719" s="83" t="n">
        <v>0.265335648148148</v>
      </c>
      <c r="I719" s="2" t="s">
        <v>426</v>
      </c>
      <c r="J719" s="2" t="s">
        <v>179</v>
      </c>
      <c r="K719" s="46" t="str">
        <f aca="false">INDEX(Products!$B$2:$B$71,MATCH($C719,Products!$A$2:$A$71,0))</f>
        <v>Voluptate Pack</v>
      </c>
      <c r="L719" s="46" t="str">
        <f aca="false">INDEX(Products!$C$2:$C$71,MATCH($C719,Products!$A$2:$A$71,0))</f>
        <v>Colors</v>
      </c>
      <c r="M719" s="84" t="n">
        <f aca="false">INDEX(Products!$D$2:$D$71,MATCH($C719,Products!$A$2:$A$71,0))</f>
        <v>903</v>
      </c>
      <c r="N719" s="84" t="n">
        <f aca="false">$D719*$M719</f>
        <v>903</v>
      </c>
      <c r="O719" s="46" t="str">
        <f aca="false">INDEX(Customers!$C$2:$C$101,MATCH($B719,Customers!$A$2:$A$101,0))</f>
        <v>Noida</v>
      </c>
      <c r="P719" s="46" t="str">
        <f aca="false">INDEX(Customers!$F$2:$F$101,MATCH($B719,Customers!$A$2:$A$101,0))</f>
        <v>Female</v>
      </c>
      <c r="Q719" s="46" t="str">
        <f aca="false">INDEX(Customers!$B$2:$B$101,MATCH($B719,Customers!$A$2:$A$101,0))</f>
        <v>Hridaan Rajagopalan</v>
      </c>
      <c r="R719" s="46" t="n">
        <f aca="false">MONTH($E719)</f>
        <v>2</v>
      </c>
      <c r="S719" s="46" t="str">
        <f aca="false">INDEX(Lists!$B$2:$B$13,$R719)</f>
        <v>February</v>
      </c>
      <c r="T719" s="46" t="n">
        <f aca="false">HOUR($F719)</f>
        <v>5</v>
      </c>
      <c r="U719" s="46" t="n">
        <f aca="false">WEEKDAY($E719,2)</f>
        <v>4</v>
      </c>
      <c r="V719" s="46" t="str">
        <f aca="false">INDEX(Lists!$F$2:$F$8,$U719)</f>
        <v>Thursday</v>
      </c>
      <c r="W719" s="85" t="n">
        <f aca="false">($G719+$H719)-($E719+$F719)</f>
        <v>4.04756944444444</v>
      </c>
      <c r="X719" s="46" t="str">
        <f aca="false">LOOKUP($M719,Lists!$G$2:$G$5,Lists!$H$2:$H$5)</f>
        <v>₹500 - 999</v>
      </c>
      <c r="Y719" s="46" t="str">
        <f aca="false">LOOKUP($W719,Lists!$I$2:$I$7,Lists!$J$2:$J$7)</f>
        <v>4 - 6 days</v>
      </c>
    </row>
    <row r="720" customFormat="false" ht="15" hidden="false" customHeight="false" outlineLevel="0" collapsed="false">
      <c r="A720" s="7" t="n">
        <v>719</v>
      </c>
      <c r="B720" s="7" t="s">
        <v>372</v>
      </c>
      <c r="C720" s="7" t="n">
        <v>57</v>
      </c>
      <c r="D720" s="7" t="n">
        <v>3</v>
      </c>
      <c r="E720" s="77" t="n">
        <v>45119</v>
      </c>
      <c r="F720" s="78" t="n">
        <v>0.3228125</v>
      </c>
      <c r="G720" s="77" t="n">
        <v>45126</v>
      </c>
      <c r="H720" s="78" t="n">
        <v>0.0773611111111111</v>
      </c>
      <c r="I720" s="7" t="s">
        <v>526</v>
      </c>
      <c r="J720" s="7" t="s">
        <v>31</v>
      </c>
      <c r="K720" s="79" t="str">
        <f aca="false">INDEX(Products!$B$2:$B$71,MATCH($C720,Products!$A$2:$A$71,0))</f>
        <v>Voluptatem Box</v>
      </c>
      <c r="L720" s="79" t="str">
        <f aca="false">INDEX(Products!$C$2:$C$71,MATCH($C720,Products!$A$2:$A$71,0))</f>
        <v>Colors</v>
      </c>
      <c r="M720" s="80" t="n">
        <f aca="false">INDEX(Products!$D$2:$D$71,MATCH($C720,Products!$A$2:$A$71,0))</f>
        <v>1582</v>
      </c>
      <c r="N720" s="80" t="n">
        <f aca="false">$D720*$M720</f>
        <v>4746</v>
      </c>
      <c r="O720" s="79" t="str">
        <f aca="false">INDEX(Customers!$C$2:$C$101,MATCH($B720,Customers!$A$2:$A$101,0))</f>
        <v>Dibrugarh</v>
      </c>
      <c r="P720" s="79" t="str">
        <f aca="false">INDEX(Customers!$F$2:$F$101,MATCH($B720,Customers!$A$2:$A$101,0))</f>
        <v>Male</v>
      </c>
      <c r="Q720" s="79" t="str">
        <f aca="false">INDEX(Customers!$B$2:$B$101,MATCH($B720,Customers!$A$2:$A$101,0))</f>
        <v>Zoya Mani</v>
      </c>
      <c r="R720" s="79" t="n">
        <f aca="false">MONTH($E720)</f>
        <v>7</v>
      </c>
      <c r="S720" s="79" t="str">
        <f aca="false">INDEX(Lists!$B$2:$B$13,$R720)</f>
        <v>July</v>
      </c>
      <c r="T720" s="79" t="n">
        <f aca="false">HOUR($F720)</f>
        <v>7</v>
      </c>
      <c r="U720" s="79" t="n">
        <f aca="false">WEEKDAY($E720,2)</f>
        <v>3</v>
      </c>
      <c r="V720" s="79" t="str">
        <f aca="false">INDEX(Lists!$F$2:$F$8,$U720)</f>
        <v>Wednesday</v>
      </c>
      <c r="W720" s="81" t="n">
        <f aca="false">($G720+$H720)-($E720+$F720)</f>
        <v>6.75454861111111</v>
      </c>
      <c r="X720" s="79" t="str">
        <f aca="false">LOOKUP($M720,Lists!$G$2:$G$5,Lists!$H$2:$H$5)</f>
        <v>₹1,500 - 2,000</v>
      </c>
      <c r="Y720" s="79" t="str">
        <f aca="false">LOOKUP($W720,Lists!$I$2:$I$7,Lists!$J$2:$J$7)</f>
        <v>6 - 8 days</v>
      </c>
    </row>
    <row r="721" customFormat="false" ht="15" hidden="false" customHeight="false" outlineLevel="0" collapsed="false">
      <c r="A721" s="2" t="n">
        <v>720</v>
      </c>
      <c r="B721" s="2" t="s">
        <v>239</v>
      </c>
      <c r="C721" s="2" t="n">
        <v>22</v>
      </c>
      <c r="D721" s="2" t="n">
        <v>5</v>
      </c>
      <c r="E721" s="82" t="n">
        <v>45275</v>
      </c>
      <c r="F721" s="83" t="n">
        <v>0.612974537037037</v>
      </c>
      <c r="G721" s="82" t="n">
        <v>45280</v>
      </c>
      <c r="H721" s="83" t="n">
        <v>0.254953703703704</v>
      </c>
      <c r="I721" s="2" t="s">
        <v>605</v>
      </c>
      <c r="J721" s="2" t="s">
        <v>165</v>
      </c>
      <c r="K721" s="46" t="str">
        <f aca="false">INDEX(Products!$B$2:$B$71,MATCH($C721,Products!$A$2:$A$71,0))</f>
        <v>Exercitationem Pack</v>
      </c>
      <c r="L721" s="46" t="str">
        <f aca="false">INDEX(Products!$C$2:$C$71,MATCH($C721,Products!$A$2:$A$71,0))</f>
        <v>Soft Toys</v>
      </c>
      <c r="M721" s="84" t="n">
        <f aca="false">INDEX(Products!$D$2:$D$71,MATCH($C721,Products!$A$2:$A$71,0))</f>
        <v>1639</v>
      </c>
      <c r="N721" s="84" t="n">
        <f aca="false">$D721*$M721</f>
        <v>8195</v>
      </c>
      <c r="O721" s="46" t="str">
        <f aca="false">INDEX(Customers!$C$2:$C$101,MATCH($B721,Customers!$A$2:$A$101,0))</f>
        <v>Maheshtala</v>
      </c>
      <c r="P721" s="46" t="str">
        <f aca="false">INDEX(Customers!$F$2:$F$101,MATCH($B721,Customers!$A$2:$A$101,0))</f>
        <v>Female</v>
      </c>
      <c r="Q721" s="46" t="str">
        <f aca="false">INDEX(Customers!$B$2:$B$101,MATCH($B721,Customers!$A$2:$A$101,0))</f>
        <v>Divit Mahajan</v>
      </c>
      <c r="R721" s="46" t="n">
        <f aca="false">MONTH($E721)</f>
        <v>12</v>
      </c>
      <c r="S721" s="46" t="str">
        <f aca="false">INDEX(Lists!$B$2:$B$13,$R721)</f>
        <v>December</v>
      </c>
      <c r="T721" s="46" t="n">
        <f aca="false">HOUR($F721)</f>
        <v>14</v>
      </c>
      <c r="U721" s="46" t="n">
        <f aca="false">WEEKDAY($E721,2)</f>
        <v>5</v>
      </c>
      <c r="V721" s="46" t="str">
        <f aca="false">INDEX(Lists!$F$2:$F$8,$U721)</f>
        <v>Friday</v>
      </c>
      <c r="W721" s="85" t="n">
        <f aca="false">($G721+$H721)-($E721+$F721)</f>
        <v>4.64197916666667</v>
      </c>
      <c r="X721" s="46" t="str">
        <f aca="false">LOOKUP($M721,Lists!$G$2:$G$5,Lists!$H$2:$H$5)</f>
        <v>₹1,500 - 2,000</v>
      </c>
      <c r="Y721" s="46" t="str">
        <f aca="false">LOOKUP($W721,Lists!$I$2:$I$7,Lists!$J$2:$J$7)</f>
        <v>4 - 6 days</v>
      </c>
    </row>
    <row r="722" customFormat="false" ht="15" hidden="false" customHeight="false" outlineLevel="0" collapsed="false">
      <c r="A722" s="7" t="n">
        <v>721</v>
      </c>
      <c r="B722" s="7" t="s">
        <v>181</v>
      </c>
      <c r="C722" s="7" t="n">
        <v>3</v>
      </c>
      <c r="D722" s="7" t="n">
        <v>5</v>
      </c>
      <c r="E722" s="77" t="n">
        <v>44964</v>
      </c>
      <c r="F722" s="78" t="n">
        <v>0.1446875</v>
      </c>
      <c r="G722" s="77" t="n">
        <v>44974</v>
      </c>
      <c r="H722" s="78" t="n">
        <v>0.769467592592593</v>
      </c>
      <c r="I722" s="7" t="s">
        <v>604</v>
      </c>
      <c r="J722" s="7" t="s">
        <v>179</v>
      </c>
      <c r="K722" s="79" t="str">
        <f aca="false">INDEX(Products!$B$2:$B$71,MATCH($C722,Products!$A$2:$A$71,0))</f>
        <v>Eius Gift</v>
      </c>
      <c r="L722" s="79" t="str">
        <f aca="false">INDEX(Products!$C$2:$C$71,MATCH($C722,Products!$A$2:$A$71,0))</f>
        <v>Colors</v>
      </c>
      <c r="M722" s="80" t="n">
        <f aca="false">INDEX(Products!$D$2:$D$71,MATCH($C722,Products!$A$2:$A$71,0))</f>
        <v>1534</v>
      </c>
      <c r="N722" s="80" t="n">
        <f aca="false">$D722*$M722</f>
        <v>7670</v>
      </c>
      <c r="O722" s="79" t="str">
        <f aca="false">INDEX(Customers!$C$2:$C$101,MATCH($B722,Customers!$A$2:$A$101,0))</f>
        <v>Khandwa</v>
      </c>
      <c r="P722" s="79" t="str">
        <f aca="false">INDEX(Customers!$F$2:$F$101,MATCH($B722,Customers!$A$2:$A$101,0))</f>
        <v>Male</v>
      </c>
      <c r="Q722" s="79" t="str">
        <f aca="false">INDEX(Customers!$B$2:$B$101,MATCH($B722,Customers!$A$2:$A$101,0))</f>
        <v>Ivana Rout</v>
      </c>
      <c r="R722" s="79" t="n">
        <f aca="false">MONTH($E722)</f>
        <v>2</v>
      </c>
      <c r="S722" s="79" t="str">
        <f aca="false">INDEX(Lists!$B$2:$B$13,$R722)</f>
        <v>February</v>
      </c>
      <c r="T722" s="79" t="n">
        <f aca="false">HOUR($F722)</f>
        <v>3</v>
      </c>
      <c r="U722" s="79" t="n">
        <f aca="false">WEEKDAY($E722,2)</f>
        <v>2</v>
      </c>
      <c r="V722" s="79" t="str">
        <f aca="false">INDEX(Lists!$F$2:$F$8,$U722)</f>
        <v>Tuesday</v>
      </c>
      <c r="W722" s="81" t="n">
        <f aca="false">($G722+$H722)-($E722+$F722)</f>
        <v>10.6247800925926</v>
      </c>
      <c r="X722" s="79" t="str">
        <f aca="false">LOOKUP($M722,Lists!$G$2:$G$5,Lists!$H$2:$H$5)</f>
        <v>₹1,500 - 2,000</v>
      </c>
      <c r="Y722" s="79" t="str">
        <f aca="false">LOOKUP($W722,Lists!$I$2:$I$7,Lists!$J$2:$J$7)</f>
        <v>Over 10 days</v>
      </c>
    </row>
    <row r="723" customFormat="false" ht="15" hidden="false" customHeight="false" outlineLevel="0" collapsed="false">
      <c r="A723" s="2" t="n">
        <v>722</v>
      </c>
      <c r="B723" s="2" t="s">
        <v>236</v>
      </c>
      <c r="C723" s="2" t="n">
        <v>13</v>
      </c>
      <c r="D723" s="2" t="n">
        <v>5</v>
      </c>
      <c r="E723" s="82" t="n">
        <v>44987</v>
      </c>
      <c r="F723" s="83" t="n">
        <v>0.729456018518519</v>
      </c>
      <c r="G723" s="82" t="n">
        <v>44993</v>
      </c>
      <c r="H723" s="83" t="n">
        <v>0.338171296296296</v>
      </c>
      <c r="I723" s="2" t="s">
        <v>484</v>
      </c>
      <c r="J723" s="2" t="s">
        <v>33</v>
      </c>
      <c r="K723" s="46" t="str">
        <f aca="false">INDEX(Products!$B$2:$B$71,MATCH($C723,Products!$A$2:$A$71,0))</f>
        <v>Et Set</v>
      </c>
      <c r="L723" s="46" t="str">
        <f aca="false">INDEX(Products!$C$2:$C$71,MATCH($C723,Products!$A$2:$A$71,0))</f>
        <v>Mugs</v>
      </c>
      <c r="M723" s="84" t="n">
        <f aca="false">INDEX(Products!$D$2:$D$71,MATCH($C723,Products!$A$2:$A$71,0))</f>
        <v>1141</v>
      </c>
      <c r="N723" s="84" t="n">
        <f aca="false">$D723*$M723</f>
        <v>5705</v>
      </c>
      <c r="O723" s="46" t="str">
        <f aca="false">INDEX(Customers!$C$2:$C$101,MATCH($B723,Customers!$A$2:$A$101,0))</f>
        <v>Agra</v>
      </c>
      <c r="P723" s="46" t="str">
        <f aca="false">INDEX(Customers!$F$2:$F$101,MATCH($B723,Customers!$A$2:$A$101,0))</f>
        <v>Male</v>
      </c>
      <c r="Q723" s="46" t="str">
        <f aca="false">INDEX(Customers!$B$2:$B$101,MATCH($B723,Customers!$A$2:$A$101,0))</f>
        <v>Seher Mann</v>
      </c>
      <c r="R723" s="46" t="n">
        <f aca="false">MONTH($E723)</f>
        <v>3</v>
      </c>
      <c r="S723" s="46" t="str">
        <f aca="false">INDEX(Lists!$B$2:$B$13,$R723)</f>
        <v>March</v>
      </c>
      <c r="T723" s="46" t="n">
        <f aca="false">HOUR($F723)</f>
        <v>17</v>
      </c>
      <c r="U723" s="46" t="n">
        <f aca="false">WEEKDAY($E723,2)</f>
        <v>4</v>
      </c>
      <c r="V723" s="46" t="str">
        <f aca="false">INDEX(Lists!$F$2:$F$8,$U723)</f>
        <v>Thursday</v>
      </c>
      <c r="W723" s="85" t="n">
        <f aca="false">($G723+$H723)-($E723+$F723)</f>
        <v>5.60871527777778</v>
      </c>
      <c r="X723" s="46" t="str">
        <f aca="false">LOOKUP($M723,Lists!$G$2:$G$5,Lists!$H$2:$H$5)</f>
        <v>₹1,000 - 1,499</v>
      </c>
      <c r="Y723" s="46" t="str">
        <f aca="false">LOOKUP($W723,Lists!$I$2:$I$7,Lists!$J$2:$J$7)</f>
        <v>4 - 6 days</v>
      </c>
    </row>
    <row r="724" customFormat="false" ht="15" hidden="false" customHeight="false" outlineLevel="0" collapsed="false">
      <c r="A724" s="7" t="n">
        <v>723</v>
      </c>
      <c r="B724" s="7" t="s">
        <v>239</v>
      </c>
      <c r="C724" s="7" t="n">
        <v>14</v>
      </c>
      <c r="D724" s="7" t="n">
        <v>3</v>
      </c>
      <c r="E724" s="77" t="n">
        <v>44961</v>
      </c>
      <c r="F724" s="78" t="n">
        <v>0.750659722222222</v>
      </c>
      <c r="G724" s="77" t="n">
        <v>44962</v>
      </c>
      <c r="H724" s="78" t="n">
        <v>0.0399074074074074</v>
      </c>
      <c r="I724" s="7" t="s">
        <v>485</v>
      </c>
      <c r="J724" s="7" t="s">
        <v>31</v>
      </c>
      <c r="K724" s="79" t="str">
        <f aca="false">INDEX(Products!$B$2:$B$71,MATCH($C724,Products!$A$2:$A$71,0))</f>
        <v>Deserunt Box</v>
      </c>
      <c r="L724" s="79" t="str">
        <f aca="false">INDEX(Products!$C$2:$C$71,MATCH($C724,Products!$A$2:$A$71,0))</f>
        <v>Colors</v>
      </c>
      <c r="M724" s="80" t="n">
        <f aca="false">INDEX(Products!$D$2:$D$71,MATCH($C724,Products!$A$2:$A$71,0))</f>
        <v>1915</v>
      </c>
      <c r="N724" s="80" t="n">
        <f aca="false">$D724*$M724</f>
        <v>5745</v>
      </c>
      <c r="O724" s="79" t="str">
        <f aca="false">INDEX(Customers!$C$2:$C$101,MATCH($B724,Customers!$A$2:$A$101,0))</f>
        <v>Maheshtala</v>
      </c>
      <c r="P724" s="79" t="str">
        <f aca="false">INDEX(Customers!$F$2:$F$101,MATCH($B724,Customers!$A$2:$A$101,0))</f>
        <v>Female</v>
      </c>
      <c r="Q724" s="79" t="str">
        <f aca="false">INDEX(Customers!$B$2:$B$101,MATCH($B724,Customers!$A$2:$A$101,0))</f>
        <v>Divit Mahajan</v>
      </c>
      <c r="R724" s="79" t="n">
        <f aca="false">MONTH($E724)</f>
        <v>2</v>
      </c>
      <c r="S724" s="79" t="str">
        <f aca="false">INDEX(Lists!$B$2:$B$13,$R724)</f>
        <v>February</v>
      </c>
      <c r="T724" s="79" t="n">
        <f aca="false">HOUR($F724)</f>
        <v>18</v>
      </c>
      <c r="U724" s="79" t="n">
        <f aca="false">WEEKDAY($E724,2)</f>
        <v>6</v>
      </c>
      <c r="V724" s="79" t="str">
        <f aca="false">INDEX(Lists!$F$2:$F$8,$U724)</f>
        <v>Saturday</v>
      </c>
      <c r="W724" s="81" t="n">
        <f aca="false">($G724+$H724)-($E724+$F724)</f>
        <v>0.289247685185185</v>
      </c>
      <c r="X724" s="79" t="str">
        <f aca="false">LOOKUP($M724,Lists!$G$2:$G$5,Lists!$H$2:$H$5)</f>
        <v>₹1,500 - 2,000</v>
      </c>
      <c r="Y724" s="79" t="str">
        <f aca="false">LOOKUP($W724,Lists!$I$2:$I$7,Lists!$J$2:$J$7)</f>
        <v>0 - 2 days</v>
      </c>
    </row>
    <row r="725" customFormat="false" ht="15" hidden="false" customHeight="false" outlineLevel="0" collapsed="false">
      <c r="A725" s="2" t="n">
        <v>724</v>
      </c>
      <c r="B725" s="2" t="s">
        <v>281</v>
      </c>
      <c r="C725" s="2" t="n">
        <v>51</v>
      </c>
      <c r="D725" s="2" t="n">
        <v>1</v>
      </c>
      <c r="E725" s="82" t="n">
        <v>45024</v>
      </c>
      <c r="F725" s="83" t="n">
        <v>0.959930555555556</v>
      </c>
      <c r="G725" s="82" t="n">
        <v>45032</v>
      </c>
      <c r="H725" s="83" t="n">
        <v>0.333553240740741</v>
      </c>
      <c r="I725" s="2" t="s">
        <v>518</v>
      </c>
      <c r="J725" s="2" t="s">
        <v>165</v>
      </c>
      <c r="K725" s="46" t="str">
        <f aca="false">INDEX(Products!$B$2:$B$71,MATCH($C725,Products!$A$2:$A$71,0))</f>
        <v>Fugit Set</v>
      </c>
      <c r="L725" s="46" t="str">
        <f aca="false">INDEX(Products!$C$2:$C$71,MATCH($C725,Products!$A$2:$A$71,0))</f>
        <v>Soft Toys</v>
      </c>
      <c r="M725" s="84" t="n">
        <f aca="false">INDEX(Products!$D$2:$D$71,MATCH($C725,Products!$A$2:$A$71,0))</f>
        <v>1084</v>
      </c>
      <c r="N725" s="84" t="n">
        <f aca="false">$D725*$M725</f>
        <v>1084</v>
      </c>
      <c r="O725" s="46" t="str">
        <f aca="false">INDEX(Customers!$C$2:$C$101,MATCH($B725,Customers!$A$2:$A$101,0))</f>
        <v>Kalyan-Dombivli</v>
      </c>
      <c r="P725" s="46" t="str">
        <f aca="false">INDEX(Customers!$F$2:$F$101,MATCH($B725,Customers!$A$2:$A$101,0))</f>
        <v>Male</v>
      </c>
      <c r="Q725" s="46" t="str">
        <f aca="false">INDEX(Customers!$B$2:$B$101,MATCH($B725,Customers!$A$2:$A$101,0))</f>
        <v>Nirvi Wagle</v>
      </c>
      <c r="R725" s="46" t="n">
        <f aca="false">MONTH($E725)</f>
        <v>4</v>
      </c>
      <c r="S725" s="46" t="str">
        <f aca="false">INDEX(Lists!$B$2:$B$13,$R725)</f>
        <v>April</v>
      </c>
      <c r="T725" s="46" t="n">
        <f aca="false">HOUR($F725)</f>
        <v>23</v>
      </c>
      <c r="U725" s="46" t="n">
        <f aca="false">WEEKDAY($E725,2)</f>
        <v>6</v>
      </c>
      <c r="V725" s="46" t="str">
        <f aca="false">INDEX(Lists!$F$2:$F$8,$U725)</f>
        <v>Saturday</v>
      </c>
      <c r="W725" s="85" t="n">
        <f aca="false">($G725+$H725)-($E725+$F725)</f>
        <v>7.37362268518519</v>
      </c>
      <c r="X725" s="46" t="str">
        <f aca="false">LOOKUP($M725,Lists!$G$2:$G$5,Lists!$H$2:$H$5)</f>
        <v>₹1,000 - 1,499</v>
      </c>
      <c r="Y725" s="46" t="str">
        <f aca="false">LOOKUP($W725,Lists!$I$2:$I$7,Lists!$J$2:$J$7)</f>
        <v>6 - 8 days</v>
      </c>
    </row>
    <row r="726" customFormat="false" ht="15" hidden="false" customHeight="false" outlineLevel="0" collapsed="false">
      <c r="A726" s="7" t="n">
        <v>725</v>
      </c>
      <c r="B726" s="7" t="s">
        <v>209</v>
      </c>
      <c r="C726" s="7" t="n">
        <v>35</v>
      </c>
      <c r="D726" s="7" t="n">
        <v>3</v>
      </c>
      <c r="E726" s="77" t="n">
        <v>44991</v>
      </c>
      <c r="F726" s="78" t="n">
        <v>0.974513888888889</v>
      </c>
      <c r="G726" s="77" t="n">
        <v>44996</v>
      </c>
      <c r="H726" s="78" t="n">
        <v>0.835960648148148</v>
      </c>
      <c r="I726" s="7" t="s">
        <v>459</v>
      </c>
      <c r="J726" s="7" t="s">
        <v>33</v>
      </c>
      <c r="K726" s="79" t="str">
        <f aca="false">INDEX(Products!$B$2:$B$71,MATCH($C726,Products!$A$2:$A$71,0))</f>
        <v>Nam Gift</v>
      </c>
      <c r="L726" s="79" t="str">
        <f aca="false">INDEX(Products!$C$2:$C$71,MATCH($C726,Products!$A$2:$A$71,0))</f>
        <v>Colors</v>
      </c>
      <c r="M726" s="80" t="n">
        <f aca="false">INDEX(Products!$D$2:$D$71,MATCH($C726,Products!$A$2:$A$71,0))</f>
        <v>1865</v>
      </c>
      <c r="N726" s="80" t="n">
        <f aca="false">$D726*$M726</f>
        <v>5595</v>
      </c>
      <c r="O726" s="79" t="str">
        <f aca="false">INDEX(Customers!$C$2:$C$101,MATCH($B726,Customers!$A$2:$A$101,0))</f>
        <v>Vellore</v>
      </c>
      <c r="P726" s="79" t="str">
        <f aca="false">INDEX(Customers!$F$2:$F$101,MATCH($B726,Customers!$A$2:$A$101,0))</f>
        <v>Male</v>
      </c>
      <c r="Q726" s="79" t="str">
        <f aca="false">INDEX(Customers!$B$2:$B$101,MATCH($B726,Customers!$A$2:$A$101,0))</f>
        <v>Ira Sarna</v>
      </c>
      <c r="R726" s="79" t="n">
        <f aca="false">MONTH($E726)</f>
        <v>3</v>
      </c>
      <c r="S726" s="79" t="str">
        <f aca="false">INDEX(Lists!$B$2:$B$13,$R726)</f>
        <v>March</v>
      </c>
      <c r="T726" s="79" t="n">
        <f aca="false">HOUR($F726)</f>
        <v>23</v>
      </c>
      <c r="U726" s="79" t="n">
        <f aca="false">WEEKDAY($E726,2)</f>
        <v>1</v>
      </c>
      <c r="V726" s="79" t="str">
        <f aca="false">INDEX(Lists!$F$2:$F$8,$U726)</f>
        <v>Monday</v>
      </c>
      <c r="W726" s="81" t="n">
        <f aca="false">($G726+$H726)-($E726+$F726)</f>
        <v>4.86144675925926</v>
      </c>
      <c r="X726" s="79" t="str">
        <f aca="false">LOOKUP($M726,Lists!$G$2:$G$5,Lists!$H$2:$H$5)</f>
        <v>₹1,500 - 2,000</v>
      </c>
      <c r="Y726" s="79" t="str">
        <f aca="false">LOOKUP($W726,Lists!$I$2:$I$7,Lists!$J$2:$J$7)</f>
        <v>4 - 6 days</v>
      </c>
    </row>
    <row r="727" customFormat="false" ht="15" hidden="false" customHeight="false" outlineLevel="0" collapsed="false">
      <c r="A727" s="2" t="n">
        <v>726</v>
      </c>
      <c r="B727" s="2" t="s">
        <v>236</v>
      </c>
      <c r="C727" s="2" t="n">
        <v>34</v>
      </c>
      <c r="D727" s="2" t="n">
        <v>2</v>
      </c>
      <c r="E727" s="82" t="n">
        <v>45159</v>
      </c>
      <c r="F727" s="83" t="n">
        <v>0.798969907407407</v>
      </c>
      <c r="G727" s="82" t="n">
        <v>45169</v>
      </c>
      <c r="H727" s="83" t="n">
        <v>0.787824074074074</v>
      </c>
      <c r="I727" s="2" t="s">
        <v>410</v>
      </c>
      <c r="J727" s="2" t="s">
        <v>40</v>
      </c>
      <c r="K727" s="46" t="str">
        <f aca="false">INDEX(Products!$B$2:$B$71,MATCH($C727,Products!$A$2:$A$71,0))</f>
        <v>Placeat Pack</v>
      </c>
      <c r="L727" s="46" t="str">
        <f aca="false">INDEX(Products!$C$2:$C$71,MATCH($C727,Products!$A$2:$A$71,0))</f>
        <v>Soft Toys</v>
      </c>
      <c r="M727" s="84" t="n">
        <f aca="false">INDEX(Products!$D$2:$D$71,MATCH($C727,Products!$A$2:$A$71,0))</f>
        <v>1335</v>
      </c>
      <c r="N727" s="84" t="n">
        <f aca="false">$D727*$M727</f>
        <v>2670</v>
      </c>
      <c r="O727" s="46" t="str">
        <f aca="false">INDEX(Customers!$C$2:$C$101,MATCH($B727,Customers!$A$2:$A$101,0))</f>
        <v>Agra</v>
      </c>
      <c r="P727" s="46" t="str">
        <f aca="false">INDEX(Customers!$F$2:$F$101,MATCH($B727,Customers!$A$2:$A$101,0))</f>
        <v>Male</v>
      </c>
      <c r="Q727" s="46" t="str">
        <f aca="false">INDEX(Customers!$B$2:$B$101,MATCH($B727,Customers!$A$2:$A$101,0))</f>
        <v>Seher Mann</v>
      </c>
      <c r="R727" s="46" t="n">
        <f aca="false">MONTH($E727)</f>
        <v>8</v>
      </c>
      <c r="S727" s="46" t="str">
        <f aca="false">INDEX(Lists!$B$2:$B$13,$R727)</f>
        <v>August</v>
      </c>
      <c r="T727" s="46" t="n">
        <f aca="false">HOUR($F727)</f>
        <v>19</v>
      </c>
      <c r="U727" s="46" t="n">
        <f aca="false">WEEKDAY($E727,2)</f>
        <v>1</v>
      </c>
      <c r="V727" s="46" t="str">
        <f aca="false">INDEX(Lists!$F$2:$F$8,$U727)</f>
        <v>Monday</v>
      </c>
      <c r="W727" s="85" t="n">
        <f aca="false">($G727+$H727)-($E727+$F727)</f>
        <v>9.98885416666667</v>
      </c>
      <c r="X727" s="46" t="str">
        <f aca="false">LOOKUP($M727,Lists!$G$2:$G$5,Lists!$H$2:$H$5)</f>
        <v>₹1,000 - 1,499</v>
      </c>
      <c r="Y727" s="46" t="str">
        <f aca="false">LOOKUP($W727,Lists!$I$2:$I$7,Lists!$J$2:$J$7)</f>
        <v>8 - 10 days</v>
      </c>
    </row>
    <row r="728" customFormat="false" ht="15" hidden="false" customHeight="false" outlineLevel="0" collapsed="false">
      <c r="A728" s="7" t="n">
        <v>727</v>
      </c>
      <c r="B728" s="7" t="s">
        <v>285</v>
      </c>
      <c r="C728" s="7" t="n">
        <v>12</v>
      </c>
      <c r="D728" s="7" t="n">
        <v>5</v>
      </c>
      <c r="E728" s="77" t="n">
        <v>45248</v>
      </c>
      <c r="F728" s="78" t="n">
        <v>0.0673958333333333</v>
      </c>
      <c r="G728" s="77" t="n">
        <v>45252</v>
      </c>
      <c r="H728" s="78" t="n">
        <v>0.682314814814815</v>
      </c>
      <c r="I728" s="7" t="s">
        <v>175</v>
      </c>
      <c r="J728" s="7" t="s">
        <v>168</v>
      </c>
      <c r="K728" s="79" t="str">
        <f aca="false">INDEX(Products!$B$2:$B$71,MATCH($C728,Products!$A$2:$A$71,0))</f>
        <v>Non Set</v>
      </c>
      <c r="L728" s="79" t="str">
        <f aca="false">INDEX(Products!$C$2:$C$71,MATCH($C728,Products!$A$2:$A$71,0))</f>
        <v>Plants</v>
      </c>
      <c r="M728" s="80" t="n">
        <f aca="false">INDEX(Products!$D$2:$D$71,MATCH($C728,Products!$A$2:$A$71,0))</f>
        <v>672</v>
      </c>
      <c r="N728" s="80" t="n">
        <f aca="false">$D728*$M728</f>
        <v>3360</v>
      </c>
      <c r="O728" s="79" t="str">
        <f aca="false">INDEX(Customers!$C$2:$C$101,MATCH($B728,Customers!$A$2:$A$101,0))</f>
        <v>Kavali</v>
      </c>
      <c r="P728" s="79" t="str">
        <f aca="false">INDEX(Customers!$F$2:$F$101,MATCH($B728,Customers!$A$2:$A$101,0))</f>
        <v>Female</v>
      </c>
      <c r="Q728" s="79" t="str">
        <f aca="false">INDEX(Customers!$B$2:$B$101,MATCH($B728,Customers!$A$2:$A$101,0))</f>
        <v>Akarsh Ramesh</v>
      </c>
      <c r="R728" s="79" t="n">
        <f aca="false">MONTH($E728)</f>
        <v>11</v>
      </c>
      <c r="S728" s="79" t="str">
        <f aca="false">INDEX(Lists!$B$2:$B$13,$R728)</f>
        <v>November</v>
      </c>
      <c r="T728" s="79" t="n">
        <f aca="false">HOUR($F728)</f>
        <v>1</v>
      </c>
      <c r="U728" s="79" t="n">
        <f aca="false">WEEKDAY($E728,2)</f>
        <v>6</v>
      </c>
      <c r="V728" s="79" t="str">
        <f aca="false">INDEX(Lists!$F$2:$F$8,$U728)</f>
        <v>Saturday</v>
      </c>
      <c r="W728" s="81" t="n">
        <f aca="false">($G728+$H728)-($E728+$F728)</f>
        <v>4.61491898148148</v>
      </c>
      <c r="X728" s="79" t="str">
        <f aca="false">LOOKUP($M728,Lists!$G$2:$G$5,Lists!$H$2:$H$5)</f>
        <v>₹500 - 999</v>
      </c>
      <c r="Y728" s="79" t="str">
        <f aca="false">LOOKUP($W728,Lists!$I$2:$I$7,Lists!$J$2:$J$7)</f>
        <v>4 - 6 days</v>
      </c>
    </row>
    <row r="729" customFormat="false" ht="15" hidden="false" customHeight="false" outlineLevel="0" collapsed="false">
      <c r="A729" s="2" t="n">
        <v>728</v>
      </c>
      <c r="B729" s="2" t="s">
        <v>319</v>
      </c>
      <c r="C729" s="2" t="n">
        <v>52</v>
      </c>
      <c r="D729" s="2" t="n">
        <v>2</v>
      </c>
      <c r="E729" s="82" t="n">
        <v>44965</v>
      </c>
      <c r="F729" s="83" t="n">
        <v>0.573449074074074</v>
      </c>
      <c r="G729" s="82" t="n">
        <v>44968</v>
      </c>
      <c r="H729" s="83" t="n">
        <v>0.671712962962963</v>
      </c>
      <c r="I729" s="2" t="s">
        <v>519</v>
      </c>
      <c r="J729" s="2" t="s">
        <v>179</v>
      </c>
      <c r="K729" s="46" t="str">
        <f aca="false">INDEX(Products!$B$2:$B$71,MATCH($C729,Products!$A$2:$A$71,0))</f>
        <v>Dolorum Box</v>
      </c>
      <c r="L729" s="46" t="str">
        <f aca="false">INDEX(Products!$C$2:$C$71,MATCH($C729,Products!$A$2:$A$71,0))</f>
        <v>Raksha Bandhan</v>
      </c>
      <c r="M729" s="84" t="n">
        <f aca="false">INDEX(Products!$D$2:$D$71,MATCH($C729,Products!$A$2:$A$71,0))</f>
        <v>236</v>
      </c>
      <c r="N729" s="84" t="n">
        <f aca="false">$D729*$M729</f>
        <v>472</v>
      </c>
      <c r="O729" s="46" t="str">
        <f aca="false">INDEX(Customers!$C$2:$C$101,MATCH($B729,Customers!$A$2:$A$101,0))</f>
        <v>Parbhani</v>
      </c>
      <c r="P729" s="46" t="str">
        <f aca="false">INDEX(Customers!$F$2:$F$101,MATCH($B729,Customers!$A$2:$A$101,0))</f>
        <v>Male</v>
      </c>
      <c r="Q729" s="46" t="str">
        <f aca="false">INDEX(Customers!$B$2:$B$101,MATCH($B729,Customers!$A$2:$A$101,0))</f>
        <v>Zeeshan Tailor</v>
      </c>
      <c r="R729" s="46" t="n">
        <f aca="false">MONTH($E729)</f>
        <v>2</v>
      </c>
      <c r="S729" s="46" t="str">
        <f aca="false">INDEX(Lists!$B$2:$B$13,$R729)</f>
        <v>February</v>
      </c>
      <c r="T729" s="46" t="n">
        <f aca="false">HOUR($F729)</f>
        <v>13</v>
      </c>
      <c r="U729" s="46" t="n">
        <f aca="false">WEEKDAY($E729,2)</f>
        <v>3</v>
      </c>
      <c r="V729" s="46" t="str">
        <f aca="false">INDEX(Lists!$F$2:$F$8,$U729)</f>
        <v>Wednesday</v>
      </c>
      <c r="W729" s="85" t="n">
        <f aca="false">($G729+$H729)-($E729+$F729)</f>
        <v>3.09826388888889</v>
      </c>
      <c r="X729" s="46" t="str">
        <f aca="false">LOOKUP($M729,Lists!$G$2:$G$5,Lists!$H$2:$H$5)</f>
        <v>₹0 - 499</v>
      </c>
      <c r="Y729" s="46" t="str">
        <f aca="false">LOOKUP($W729,Lists!$I$2:$I$7,Lists!$J$2:$J$7)</f>
        <v>2 - 4 days</v>
      </c>
    </row>
    <row r="730" customFormat="false" ht="15" hidden="false" customHeight="false" outlineLevel="0" collapsed="false">
      <c r="A730" s="7" t="n">
        <v>729</v>
      </c>
      <c r="B730" s="7" t="s">
        <v>198</v>
      </c>
      <c r="C730" s="7" t="n">
        <v>17</v>
      </c>
      <c r="D730" s="7" t="n">
        <v>1</v>
      </c>
      <c r="E730" s="77" t="n">
        <v>44980</v>
      </c>
      <c r="F730" s="78" t="n">
        <v>0.76380787037037</v>
      </c>
      <c r="G730" s="77" t="n">
        <v>44982</v>
      </c>
      <c r="H730" s="78" t="n">
        <v>0.493969907407407</v>
      </c>
      <c r="I730" s="7" t="s">
        <v>463</v>
      </c>
      <c r="J730" s="7" t="s">
        <v>168</v>
      </c>
      <c r="K730" s="79" t="str">
        <f aca="false">INDEX(Products!$B$2:$B$71,MATCH($C730,Products!$A$2:$A$71,0))</f>
        <v>Delectus Gift</v>
      </c>
      <c r="L730" s="79" t="str">
        <f aca="false">INDEX(Products!$C$2:$C$71,MATCH($C730,Products!$A$2:$A$71,0))</f>
        <v>Soft Toys</v>
      </c>
      <c r="M730" s="80" t="n">
        <f aca="false">INDEX(Products!$D$2:$D$71,MATCH($C730,Products!$A$2:$A$71,0))</f>
        <v>1899</v>
      </c>
      <c r="N730" s="80" t="n">
        <f aca="false">$D730*$M730</f>
        <v>1899</v>
      </c>
      <c r="O730" s="79" t="str">
        <f aca="false">INDEX(Customers!$C$2:$C$101,MATCH($B730,Customers!$A$2:$A$101,0))</f>
        <v>Sambhal</v>
      </c>
      <c r="P730" s="79" t="str">
        <f aca="false">INDEX(Customers!$F$2:$F$101,MATCH($B730,Customers!$A$2:$A$101,0))</f>
        <v>Male</v>
      </c>
      <c r="Q730" s="79" t="str">
        <f aca="false">INDEX(Customers!$B$2:$B$101,MATCH($B730,Customers!$A$2:$A$101,0))</f>
        <v>Vardaniya Contractor</v>
      </c>
      <c r="R730" s="79" t="n">
        <f aca="false">MONTH($E730)</f>
        <v>2</v>
      </c>
      <c r="S730" s="79" t="str">
        <f aca="false">INDEX(Lists!$B$2:$B$13,$R730)</f>
        <v>February</v>
      </c>
      <c r="T730" s="79" t="n">
        <f aca="false">HOUR($F730)</f>
        <v>18</v>
      </c>
      <c r="U730" s="79" t="n">
        <f aca="false">WEEKDAY($E730,2)</f>
        <v>4</v>
      </c>
      <c r="V730" s="79" t="str">
        <f aca="false">INDEX(Lists!$F$2:$F$8,$U730)</f>
        <v>Thursday</v>
      </c>
      <c r="W730" s="81" t="n">
        <f aca="false">($G730+$H730)-($E730+$F730)</f>
        <v>1.73016203703704</v>
      </c>
      <c r="X730" s="79" t="str">
        <f aca="false">LOOKUP($M730,Lists!$G$2:$G$5,Lists!$H$2:$H$5)</f>
        <v>₹1,500 - 2,000</v>
      </c>
      <c r="Y730" s="79" t="str">
        <f aca="false">LOOKUP($W730,Lists!$I$2:$I$7,Lists!$J$2:$J$7)</f>
        <v>0 - 2 days</v>
      </c>
    </row>
    <row r="731" customFormat="false" ht="15" hidden="false" customHeight="false" outlineLevel="0" collapsed="false">
      <c r="A731" s="2" t="n">
        <v>730</v>
      </c>
      <c r="B731" s="2" t="s">
        <v>385</v>
      </c>
      <c r="C731" s="2" t="n">
        <v>59</v>
      </c>
      <c r="D731" s="2" t="n">
        <v>1</v>
      </c>
      <c r="E731" s="82" t="n">
        <v>45160</v>
      </c>
      <c r="F731" s="83" t="n">
        <v>0.0861458333333333</v>
      </c>
      <c r="G731" s="82" t="n">
        <v>45163</v>
      </c>
      <c r="H731" s="83" t="n">
        <v>0.944097222222222</v>
      </c>
      <c r="I731" s="2" t="s">
        <v>556</v>
      </c>
      <c r="J731" s="2" t="s">
        <v>40</v>
      </c>
      <c r="K731" s="46" t="str">
        <f aca="false">INDEX(Products!$B$2:$B$71,MATCH($C731,Products!$A$2:$A$71,0))</f>
        <v>Pariatur Box</v>
      </c>
      <c r="L731" s="46" t="str">
        <f aca="false">INDEX(Products!$C$2:$C$71,MATCH($C731,Products!$A$2:$A$71,0))</f>
        <v>Cake</v>
      </c>
      <c r="M731" s="84" t="n">
        <f aca="false">INDEX(Products!$D$2:$D$71,MATCH($C731,Products!$A$2:$A$71,0))</f>
        <v>811</v>
      </c>
      <c r="N731" s="84" t="n">
        <f aca="false">$D731*$M731</f>
        <v>811</v>
      </c>
      <c r="O731" s="46" t="str">
        <f aca="false">INDEX(Customers!$C$2:$C$101,MATCH($B731,Customers!$A$2:$A$101,0))</f>
        <v>Sri Ganganagar</v>
      </c>
      <c r="P731" s="46" t="str">
        <f aca="false">INDEX(Customers!$F$2:$F$101,MATCH($B731,Customers!$A$2:$A$101,0))</f>
        <v>Female</v>
      </c>
      <c r="Q731" s="46" t="str">
        <f aca="false">INDEX(Customers!$B$2:$B$101,MATCH($B731,Customers!$A$2:$A$101,0))</f>
        <v>Nakul Randhawa</v>
      </c>
      <c r="R731" s="46" t="n">
        <f aca="false">MONTH($E731)</f>
        <v>8</v>
      </c>
      <c r="S731" s="46" t="str">
        <f aca="false">INDEX(Lists!$B$2:$B$13,$R731)</f>
        <v>August</v>
      </c>
      <c r="T731" s="46" t="n">
        <f aca="false">HOUR($F731)</f>
        <v>2</v>
      </c>
      <c r="U731" s="46" t="n">
        <f aca="false">WEEKDAY($E731,2)</f>
        <v>2</v>
      </c>
      <c r="V731" s="46" t="str">
        <f aca="false">INDEX(Lists!$F$2:$F$8,$U731)</f>
        <v>Tuesday</v>
      </c>
      <c r="W731" s="85" t="n">
        <f aca="false">($G731+$H731)-($E731+$F731)</f>
        <v>3.85795138888889</v>
      </c>
      <c r="X731" s="46" t="str">
        <f aca="false">LOOKUP($M731,Lists!$G$2:$G$5,Lists!$H$2:$H$5)</f>
        <v>₹500 - 999</v>
      </c>
      <c r="Y731" s="46" t="str">
        <f aca="false">LOOKUP($W731,Lists!$I$2:$I$7,Lists!$J$2:$J$7)</f>
        <v>2 - 4 days</v>
      </c>
    </row>
    <row r="732" customFormat="false" ht="15" hidden="false" customHeight="false" outlineLevel="0" collapsed="false">
      <c r="A732" s="7" t="n">
        <v>731</v>
      </c>
      <c r="B732" s="7" t="s">
        <v>347</v>
      </c>
      <c r="C732" s="7" t="n">
        <v>59</v>
      </c>
      <c r="D732" s="7" t="n">
        <v>5</v>
      </c>
      <c r="E732" s="77" t="n">
        <v>45163</v>
      </c>
      <c r="F732" s="78" t="n">
        <v>0.500925925925926</v>
      </c>
      <c r="G732" s="77" t="n">
        <v>45171</v>
      </c>
      <c r="H732" s="78" t="n">
        <v>0.460081018518519</v>
      </c>
      <c r="I732" s="7" t="s">
        <v>290</v>
      </c>
      <c r="J732" s="7" t="s">
        <v>40</v>
      </c>
      <c r="K732" s="79" t="str">
        <f aca="false">INDEX(Products!$B$2:$B$71,MATCH($C732,Products!$A$2:$A$71,0))</f>
        <v>Pariatur Box</v>
      </c>
      <c r="L732" s="79" t="str">
        <f aca="false">INDEX(Products!$C$2:$C$71,MATCH($C732,Products!$A$2:$A$71,0))</f>
        <v>Cake</v>
      </c>
      <c r="M732" s="80" t="n">
        <f aca="false">INDEX(Products!$D$2:$D$71,MATCH($C732,Products!$A$2:$A$71,0))</f>
        <v>811</v>
      </c>
      <c r="N732" s="80" t="n">
        <f aca="false">$D732*$M732</f>
        <v>4055</v>
      </c>
      <c r="O732" s="79" t="str">
        <f aca="false">INDEX(Customers!$C$2:$C$101,MATCH($B732,Customers!$A$2:$A$101,0))</f>
        <v>Raurkela Industrial Township</v>
      </c>
      <c r="P732" s="79" t="str">
        <f aca="false">INDEX(Customers!$F$2:$F$101,MATCH($B732,Customers!$A$2:$A$101,0))</f>
        <v>Male</v>
      </c>
      <c r="Q732" s="79" t="str">
        <f aca="false">INDEX(Customers!$B$2:$B$101,MATCH($B732,Customers!$A$2:$A$101,0))</f>
        <v>Aaryahi Sodhi</v>
      </c>
      <c r="R732" s="79" t="n">
        <f aca="false">MONTH($E732)</f>
        <v>8</v>
      </c>
      <c r="S732" s="79" t="str">
        <f aca="false">INDEX(Lists!$B$2:$B$13,$R732)</f>
        <v>August</v>
      </c>
      <c r="T732" s="79" t="n">
        <f aca="false">HOUR($F732)</f>
        <v>12</v>
      </c>
      <c r="U732" s="79" t="n">
        <f aca="false">WEEKDAY($E732,2)</f>
        <v>5</v>
      </c>
      <c r="V732" s="79" t="str">
        <f aca="false">INDEX(Lists!$F$2:$F$8,$U732)</f>
        <v>Friday</v>
      </c>
      <c r="W732" s="81" t="n">
        <f aca="false">($G732+$H732)-($E732+$F732)</f>
        <v>7.95915509259259</v>
      </c>
      <c r="X732" s="79" t="str">
        <f aca="false">LOOKUP($M732,Lists!$G$2:$G$5,Lists!$H$2:$H$5)</f>
        <v>₹500 - 999</v>
      </c>
      <c r="Y732" s="79" t="str">
        <f aca="false">LOOKUP($W732,Lists!$I$2:$I$7,Lists!$J$2:$J$7)</f>
        <v>6 - 8 days</v>
      </c>
    </row>
    <row r="733" customFormat="false" ht="15" hidden="false" customHeight="false" outlineLevel="0" collapsed="false">
      <c r="A733" s="2" t="n">
        <v>732</v>
      </c>
      <c r="B733" s="2" t="s">
        <v>357</v>
      </c>
      <c r="C733" s="2" t="n">
        <v>1</v>
      </c>
      <c r="D733" s="2" t="n">
        <v>2</v>
      </c>
      <c r="E733" s="82" t="n">
        <v>45215</v>
      </c>
      <c r="F733" s="83" t="n">
        <v>0.699444444444444</v>
      </c>
      <c r="G733" s="82" t="n">
        <v>45220</v>
      </c>
      <c r="H733" s="83" t="n">
        <v>0.7890625</v>
      </c>
      <c r="I733" s="2" t="s">
        <v>287</v>
      </c>
      <c r="J733" s="2" t="s">
        <v>165</v>
      </c>
      <c r="K733" s="46" t="str">
        <f aca="false">INDEX(Products!$B$2:$B$71,MATCH($C733,Products!$A$2:$A$71,0))</f>
        <v>Magnam Set</v>
      </c>
      <c r="L733" s="46" t="str">
        <f aca="false">INDEX(Products!$C$2:$C$71,MATCH($C733,Products!$A$2:$A$71,0))</f>
        <v>Soft Toys</v>
      </c>
      <c r="M733" s="84" t="n">
        <f aca="false">INDEX(Products!$D$2:$D$71,MATCH($C733,Products!$A$2:$A$71,0))</f>
        <v>1935</v>
      </c>
      <c r="N733" s="84" t="n">
        <f aca="false">$D733*$M733</f>
        <v>3870</v>
      </c>
      <c r="O733" s="46" t="str">
        <f aca="false">INDEX(Customers!$C$2:$C$101,MATCH($B733,Customers!$A$2:$A$101,0))</f>
        <v>North Dumdum</v>
      </c>
      <c r="P733" s="46" t="str">
        <f aca="false">INDEX(Customers!$F$2:$F$101,MATCH($B733,Customers!$A$2:$A$101,0))</f>
        <v>Female</v>
      </c>
      <c r="Q733" s="46" t="str">
        <f aca="false">INDEX(Customers!$B$2:$B$101,MATCH($B733,Customers!$A$2:$A$101,0))</f>
        <v>Rania Bhatt</v>
      </c>
      <c r="R733" s="46" t="n">
        <f aca="false">MONTH($E733)</f>
        <v>10</v>
      </c>
      <c r="S733" s="46" t="str">
        <f aca="false">INDEX(Lists!$B$2:$B$13,$R733)</f>
        <v>October</v>
      </c>
      <c r="T733" s="46" t="n">
        <f aca="false">HOUR($F733)</f>
        <v>16</v>
      </c>
      <c r="U733" s="46" t="n">
        <f aca="false">WEEKDAY($E733,2)</f>
        <v>1</v>
      </c>
      <c r="V733" s="46" t="str">
        <f aca="false">INDEX(Lists!$F$2:$F$8,$U733)</f>
        <v>Monday</v>
      </c>
      <c r="W733" s="85" t="n">
        <f aca="false">($G733+$H733)-($E733+$F733)</f>
        <v>5.08961805555556</v>
      </c>
      <c r="X733" s="46" t="str">
        <f aca="false">LOOKUP($M733,Lists!$G$2:$G$5,Lists!$H$2:$H$5)</f>
        <v>₹1,500 - 2,000</v>
      </c>
      <c r="Y733" s="46" t="str">
        <f aca="false">LOOKUP($W733,Lists!$I$2:$I$7,Lists!$J$2:$J$7)</f>
        <v>4 - 6 days</v>
      </c>
    </row>
    <row r="734" customFormat="false" ht="15" hidden="false" customHeight="false" outlineLevel="0" collapsed="false">
      <c r="A734" s="7" t="n">
        <v>733</v>
      </c>
      <c r="B734" s="7" t="s">
        <v>283</v>
      </c>
      <c r="C734" s="7" t="n">
        <v>32</v>
      </c>
      <c r="D734" s="7" t="n">
        <v>3</v>
      </c>
      <c r="E734" s="77" t="n">
        <v>45017</v>
      </c>
      <c r="F734" s="78" t="n">
        <v>0.0358449074074074</v>
      </c>
      <c r="G734" s="77" t="n">
        <v>45019</v>
      </c>
      <c r="H734" s="78" t="n">
        <v>0.101886574074074</v>
      </c>
      <c r="I734" s="7" t="s">
        <v>474</v>
      </c>
      <c r="J734" s="7" t="s">
        <v>31</v>
      </c>
      <c r="K734" s="79" t="str">
        <f aca="false">INDEX(Products!$B$2:$B$71,MATCH($C734,Products!$A$2:$A$71,0))</f>
        <v>Fuga Set</v>
      </c>
      <c r="L734" s="79" t="str">
        <f aca="false">INDEX(Products!$C$2:$C$71,MATCH($C734,Products!$A$2:$A$71,0))</f>
        <v>Soft Toys</v>
      </c>
      <c r="M734" s="80" t="n">
        <f aca="false">INDEX(Products!$D$2:$D$71,MATCH($C734,Products!$A$2:$A$71,0))</f>
        <v>1792</v>
      </c>
      <c r="N734" s="80" t="n">
        <f aca="false">$D734*$M734</f>
        <v>5376</v>
      </c>
      <c r="O734" s="79" t="str">
        <f aca="false">INDEX(Customers!$C$2:$C$101,MATCH($B734,Customers!$A$2:$A$101,0))</f>
        <v>Satara</v>
      </c>
      <c r="P734" s="79" t="str">
        <f aca="false">INDEX(Customers!$F$2:$F$101,MATCH($B734,Customers!$A$2:$A$101,0))</f>
        <v>Male</v>
      </c>
      <c r="Q734" s="79" t="str">
        <f aca="false">INDEX(Customers!$B$2:$B$101,MATCH($B734,Customers!$A$2:$A$101,0))</f>
        <v>Riya Wagle</v>
      </c>
      <c r="R734" s="79" t="n">
        <f aca="false">MONTH($E734)</f>
        <v>4</v>
      </c>
      <c r="S734" s="79" t="str">
        <f aca="false">INDEX(Lists!$B$2:$B$13,$R734)</f>
        <v>April</v>
      </c>
      <c r="T734" s="79" t="n">
        <f aca="false">HOUR($F734)</f>
        <v>0</v>
      </c>
      <c r="U734" s="79" t="n">
        <f aca="false">WEEKDAY($E734,2)</f>
        <v>6</v>
      </c>
      <c r="V734" s="79" t="str">
        <f aca="false">INDEX(Lists!$F$2:$F$8,$U734)</f>
        <v>Saturday</v>
      </c>
      <c r="W734" s="81" t="n">
        <f aca="false">($G734+$H734)-($E734+$F734)</f>
        <v>2.06604166666667</v>
      </c>
      <c r="X734" s="79" t="str">
        <f aca="false">LOOKUP($M734,Lists!$G$2:$G$5,Lists!$H$2:$H$5)</f>
        <v>₹1,500 - 2,000</v>
      </c>
      <c r="Y734" s="79" t="str">
        <f aca="false">LOOKUP($W734,Lists!$I$2:$I$7,Lists!$J$2:$J$7)</f>
        <v>2 - 4 days</v>
      </c>
    </row>
    <row r="735" customFormat="false" ht="15" hidden="false" customHeight="false" outlineLevel="0" collapsed="false">
      <c r="A735" s="2" t="n">
        <v>734</v>
      </c>
      <c r="B735" s="2" t="s">
        <v>145</v>
      </c>
      <c r="C735" s="2" t="n">
        <v>49</v>
      </c>
      <c r="D735" s="2" t="n">
        <v>3</v>
      </c>
      <c r="E735" s="82" t="n">
        <v>44968</v>
      </c>
      <c r="F735" s="83" t="n">
        <v>0.48931712962963</v>
      </c>
      <c r="G735" s="82" t="n">
        <v>44971</v>
      </c>
      <c r="H735" s="83" t="n">
        <v>0.379236111111111</v>
      </c>
      <c r="I735" s="2" t="s">
        <v>494</v>
      </c>
      <c r="J735" s="2" t="s">
        <v>179</v>
      </c>
      <c r="K735" s="46" t="str">
        <f aca="false">INDEX(Products!$B$2:$B$71,MATCH($C735,Products!$A$2:$A$71,0))</f>
        <v>Voluptate Pack</v>
      </c>
      <c r="L735" s="46" t="str">
        <f aca="false">INDEX(Products!$C$2:$C$71,MATCH($C735,Products!$A$2:$A$71,0))</f>
        <v>Colors</v>
      </c>
      <c r="M735" s="84" t="n">
        <f aca="false">INDEX(Products!$D$2:$D$71,MATCH($C735,Products!$A$2:$A$71,0))</f>
        <v>903</v>
      </c>
      <c r="N735" s="84" t="n">
        <f aca="false">$D735*$M735</f>
        <v>2709</v>
      </c>
      <c r="O735" s="46" t="str">
        <f aca="false">INDEX(Customers!$C$2:$C$101,MATCH($B735,Customers!$A$2:$A$101,0))</f>
        <v>Chinsurah</v>
      </c>
      <c r="P735" s="46" t="str">
        <f aca="false">INDEX(Customers!$F$2:$F$101,MATCH($B735,Customers!$A$2:$A$101,0))</f>
        <v>Female</v>
      </c>
      <c r="Q735" s="46" t="str">
        <f aca="false">INDEX(Customers!$B$2:$B$101,MATCH($B735,Customers!$A$2:$A$101,0))</f>
        <v>Veer Ray</v>
      </c>
      <c r="R735" s="46" t="n">
        <f aca="false">MONTH($E735)</f>
        <v>2</v>
      </c>
      <c r="S735" s="46" t="str">
        <f aca="false">INDEX(Lists!$B$2:$B$13,$R735)</f>
        <v>February</v>
      </c>
      <c r="T735" s="46" t="n">
        <f aca="false">HOUR($F735)</f>
        <v>11</v>
      </c>
      <c r="U735" s="46" t="n">
        <f aca="false">WEEKDAY($E735,2)</f>
        <v>6</v>
      </c>
      <c r="V735" s="46" t="str">
        <f aca="false">INDEX(Lists!$F$2:$F$8,$U735)</f>
        <v>Saturday</v>
      </c>
      <c r="W735" s="85" t="n">
        <f aca="false">($G735+$H735)-($E735+$F735)</f>
        <v>2.88991898148148</v>
      </c>
      <c r="X735" s="46" t="str">
        <f aca="false">LOOKUP($M735,Lists!$G$2:$G$5,Lists!$H$2:$H$5)</f>
        <v>₹500 - 999</v>
      </c>
      <c r="Y735" s="46" t="str">
        <f aca="false">LOOKUP($W735,Lists!$I$2:$I$7,Lists!$J$2:$J$7)</f>
        <v>2 - 4 days</v>
      </c>
    </row>
    <row r="736" customFormat="false" ht="15" hidden="false" customHeight="false" outlineLevel="0" collapsed="false">
      <c r="A736" s="7" t="n">
        <v>735</v>
      </c>
      <c r="B736" s="7" t="s">
        <v>215</v>
      </c>
      <c r="C736" s="7" t="n">
        <v>56</v>
      </c>
      <c r="D736" s="7" t="n">
        <v>1</v>
      </c>
      <c r="E736" s="77" t="n">
        <v>44959</v>
      </c>
      <c r="F736" s="78" t="n">
        <v>0.30724537037037</v>
      </c>
      <c r="G736" s="77" t="n">
        <v>44961</v>
      </c>
      <c r="H736" s="78" t="n">
        <v>0.248587962962963</v>
      </c>
      <c r="I736" s="7" t="s">
        <v>504</v>
      </c>
      <c r="J736" s="7" t="s">
        <v>168</v>
      </c>
      <c r="K736" s="79" t="str">
        <f aca="false">INDEX(Products!$B$2:$B$71,MATCH($C736,Products!$A$2:$A$71,0))</f>
        <v>Quia Gift</v>
      </c>
      <c r="L736" s="79" t="str">
        <f aca="false">INDEX(Products!$C$2:$C$71,MATCH($C736,Products!$A$2:$A$71,0))</f>
        <v>Raksha Bandhan</v>
      </c>
      <c r="M736" s="80" t="n">
        <f aca="false">INDEX(Products!$D$2:$D$71,MATCH($C736,Products!$A$2:$A$71,0))</f>
        <v>1272</v>
      </c>
      <c r="N736" s="80" t="n">
        <f aca="false">$D736*$M736</f>
        <v>1272</v>
      </c>
      <c r="O736" s="79" t="str">
        <f aca="false">INDEX(Customers!$C$2:$C$101,MATCH($B736,Customers!$A$2:$A$101,0))</f>
        <v>Davanagere</v>
      </c>
      <c r="P736" s="79" t="str">
        <f aca="false">INDEX(Customers!$F$2:$F$101,MATCH($B736,Customers!$A$2:$A$101,0))</f>
        <v>Male</v>
      </c>
      <c r="Q736" s="79" t="str">
        <f aca="false">INDEX(Customers!$B$2:$B$101,MATCH($B736,Customers!$A$2:$A$101,0))</f>
        <v>Aradhya Kumar</v>
      </c>
      <c r="R736" s="79" t="n">
        <f aca="false">MONTH($E736)</f>
        <v>2</v>
      </c>
      <c r="S736" s="79" t="str">
        <f aca="false">INDEX(Lists!$B$2:$B$13,$R736)</f>
        <v>February</v>
      </c>
      <c r="T736" s="79" t="n">
        <f aca="false">HOUR($F736)</f>
        <v>7</v>
      </c>
      <c r="U736" s="79" t="n">
        <f aca="false">WEEKDAY($E736,2)</f>
        <v>4</v>
      </c>
      <c r="V736" s="79" t="str">
        <f aca="false">INDEX(Lists!$F$2:$F$8,$U736)</f>
        <v>Thursday</v>
      </c>
      <c r="W736" s="81" t="n">
        <f aca="false">($G736+$H736)-($E736+$F736)</f>
        <v>1.94134259259259</v>
      </c>
      <c r="X736" s="79" t="str">
        <f aca="false">LOOKUP($M736,Lists!$G$2:$G$5,Lists!$H$2:$H$5)</f>
        <v>₹1,000 - 1,499</v>
      </c>
      <c r="Y736" s="79" t="str">
        <f aca="false">LOOKUP($W736,Lists!$I$2:$I$7,Lists!$J$2:$J$7)</f>
        <v>0 - 2 days</v>
      </c>
    </row>
    <row r="737" customFormat="false" ht="15" hidden="false" customHeight="false" outlineLevel="0" collapsed="false">
      <c r="A737" s="2" t="n">
        <v>736</v>
      </c>
      <c r="B737" s="2" t="s">
        <v>145</v>
      </c>
      <c r="C737" s="2" t="n">
        <v>70</v>
      </c>
      <c r="D737" s="2" t="n">
        <v>5</v>
      </c>
      <c r="E737" s="82" t="n">
        <v>45048</v>
      </c>
      <c r="F737" s="83" t="n">
        <v>0.157685185185185</v>
      </c>
      <c r="G737" s="82" t="n">
        <v>45057</v>
      </c>
      <c r="H737" s="83" t="n">
        <v>0.193564814814815</v>
      </c>
      <c r="I737" s="2" t="s">
        <v>387</v>
      </c>
      <c r="J737" s="2" t="s">
        <v>31</v>
      </c>
      <c r="K737" s="46" t="str">
        <f aca="false">INDEX(Products!$B$2:$B$71,MATCH($C737,Products!$A$2:$A$71,0))</f>
        <v>Error Gift</v>
      </c>
      <c r="L737" s="46" t="str">
        <f aca="false">INDEX(Products!$C$2:$C$71,MATCH($C737,Products!$A$2:$A$71,0))</f>
        <v>Sweets</v>
      </c>
      <c r="M737" s="84" t="n">
        <f aca="false">INDEX(Products!$D$2:$D$71,MATCH($C737,Products!$A$2:$A$71,0))</f>
        <v>866</v>
      </c>
      <c r="N737" s="84" t="n">
        <f aca="false">$D737*$M737</f>
        <v>4330</v>
      </c>
      <c r="O737" s="46" t="str">
        <f aca="false">INDEX(Customers!$C$2:$C$101,MATCH($B737,Customers!$A$2:$A$101,0))</f>
        <v>Chinsurah</v>
      </c>
      <c r="P737" s="46" t="str">
        <f aca="false">INDEX(Customers!$F$2:$F$101,MATCH($B737,Customers!$A$2:$A$101,0))</f>
        <v>Female</v>
      </c>
      <c r="Q737" s="46" t="str">
        <f aca="false">INDEX(Customers!$B$2:$B$101,MATCH($B737,Customers!$A$2:$A$101,0))</f>
        <v>Veer Ray</v>
      </c>
      <c r="R737" s="46" t="n">
        <f aca="false">MONTH($E737)</f>
        <v>5</v>
      </c>
      <c r="S737" s="46" t="str">
        <f aca="false">INDEX(Lists!$B$2:$B$13,$R737)</f>
        <v>May</v>
      </c>
      <c r="T737" s="46" t="n">
        <f aca="false">HOUR($F737)</f>
        <v>3</v>
      </c>
      <c r="U737" s="46" t="n">
        <f aca="false">WEEKDAY($E737,2)</f>
        <v>2</v>
      </c>
      <c r="V737" s="46" t="str">
        <f aca="false">INDEX(Lists!$F$2:$F$8,$U737)</f>
        <v>Tuesday</v>
      </c>
      <c r="W737" s="85" t="n">
        <f aca="false">($G737+$H737)-($E737+$F737)</f>
        <v>9.03587962962963</v>
      </c>
      <c r="X737" s="46" t="str">
        <f aca="false">LOOKUP($M737,Lists!$G$2:$G$5,Lists!$H$2:$H$5)</f>
        <v>₹500 - 999</v>
      </c>
      <c r="Y737" s="46" t="str">
        <f aca="false">LOOKUP($W737,Lists!$I$2:$I$7,Lists!$J$2:$J$7)</f>
        <v>8 - 10 days</v>
      </c>
    </row>
    <row r="738" customFormat="false" ht="15" hidden="false" customHeight="false" outlineLevel="0" collapsed="false">
      <c r="A738" s="7" t="n">
        <v>737</v>
      </c>
      <c r="B738" s="7" t="s">
        <v>306</v>
      </c>
      <c r="C738" s="7" t="n">
        <v>46</v>
      </c>
      <c r="D738" s="7" t="n">
        <v>5</v>
      </c>
      <c r="E738" s="77" t="n">
        <v>45183</v>
      </c>
      <c r="F738" s="78" t="n">
        <v>0.316550925925926</v>
      </c>
      <c r="G738" s="77" t="n">
        <v>45186</v>
      </c>
      <c r="H738" s="78" t="n">
        <v>0.567418981481482</v>
      </c>
      <c r="I738" s="7" t="s">
        <v>244</v>
      </c>
      <c r="J738" s="7" t="s">
        <v>168</v>
      </c>
      <c r="K738" s="79" t="str">
        <f aca="false">INDEX(Products!$B$2:$B$71,MATCH($C738,Products!$A$2:$A$71,0))</f>
        <v>Pariatur Set</v>
      </c>
      <c r="L738" s="79" t="str">
        <f aca="false">INDEX(Products!$C$2:$C$71,MATCH($C738,Products!$A$2:$A$71,0))</f>
        <v>Cake</v>
      </c>
      <c r="M738" s="80" t="n">
        <f aca="false">INDEX(Products!$D$2:$D$71,MATCH($C738,Products!$A$2:$A$71,0))</f>
        <v>758</v>
      </c>
      <c r="N738" s="80" t="n">
        <f aca="false">$D738*$M738</f>
        <v>3790</v>
      </c>
      <c r="O738" s="79" t="str">
        <f aca="false">INDEX(Customers!$C$2:$C$101,MATCH($B738,Customers!$A$2:$A$101,0))</f>
        <v>Kalyan-Dombivli</v>
      </c>
      <c r="P738" s="79" t="str">
        <f aca="false">INDEX(Customers!$F$2:$F$101,MATCH($B738,Customers!$A$2:$A$101,0))</f>
        <v>Male</v>
      </c>
      <c r="Q738" s="79" t="str">
        <f aca="false">INDEX(Customers!$B$2:$B$101,MATCH($B738,Customers!$A$2:$A$101,0))</f>
        <v>Ritvik Garde</v>
      </c>
      <c r="R738" s="79" t="n">
        <f aca="false">MONTH($E738)</f>
        <v>9</v>
      </c>
      <c r="S738" s="79" t="str">
        <f aca="false">INDEX(Lists!$B$2:$B$13,$R738)</f>
        <v>September</v>
      </c>
      <c r="T738" s="79" t="n">
        <f aca="false">HOUR($F738)</f>
        <v>7</v>
      </c>
      <c r="U738" s="79" t="n">
        <f aca="false">WEEKDAY($E738,2)</f>
        <v>4</v>
      </c>
      <c r="V738" s="79" t="str">
        <f aca="false">INDEX(Lists!$F$2:$F$8,$U738)</f>
        <v>Thursday</v>
      </c>
      <c r="W738" s="81" t="n">
        <f aca="false">($G738+$H738)-($E738+$F738)</f>
        <v>3.25086805555556</v>
      </c>
      <c r="X738" s="79" t="str">
        <f aca="false">LOOKUP($M738,Lists!$G$2:$G$5,Lists!$H$2:$H$5)</f>
        <v>₹500 - 999</v>
      </c>
      <c r="Y738" s="79" t="str">
        <f aca="false">LOOKUP($W738,Lists!$I$2:$I$7,Lists!$J$2:$J$7)</f>
        <v>2 - 4 days</v>
      </c>
    </row>
    <row r="739" customFormat="false" ht="15" hidden="false" customHeight="false" outlineLevel="0" collapsed="false">
      <c r="A739" s="2" t="n">
        <v>738</v>
      </c>
      <c r="B739" s="2" t="s">
        <v>388</v>
      </c>
      <c r="C739" s="2" t="n">
        <v>16</v>
      </c>
      <c r="D739" s="2" t="n">
        <v>5</v>
      </c>
      <c r="E739" s="82" t="n">
        <v>44988</v>
      </c>
      <c r="F739" s="83" t="n">
        <v>0.683078703703704</v>
      </c>
      <c r="G739" s="82" t="n">
        <v>44994</v>
      </c>
      <c r="H739" s="83" t="n">
        <v>0.067037037037037</v>
      </c>
      <c r="I739" s="2" t="s">
        <v>479</v>
      </c>
      <c r="J739" s="2" t="s">
        <v>33</v>
      </c>
      <c r="K739" s="46" t="str">
        <f aca="false">INDEX(Products!$B$2:$B$71,MATCH($C739,Products!$A$2:$A$71,0))</f>
        <v>Ut Pack</v>
      </c>
      <c r="L739" s="46" t="str">
        <f aca="false">INDEX(Products!$C$2:$C$71,MATCH($C739,Products!$A$2:$A$71,0))</f>
        <v>Sweets</v>
      </c>
      <c r="M739" s="84" t="n">
        <f aca="false">INDEX(Products!$D$2:$D$71,MATCH($C739,Products!$A$2:$A$71,0))</f>
        <v>1721</v>
      </c>
      <c r="N739" s="84" t="n">
        <f aca="false">$D739*$M739</f>
        <v>8605</v>
      </c>
      <c r="O739" s="46" t="str">
        <f aca="false">INDEX(Customers!$C$2:$C$101,MATCH($B739,Customers!$A$2:$A$101,0))</f>
        <v>Cuttack</v>
      </c>
      <c r="P739" s="46" t="str">
        <f aca="false">INDEX(Customers!$F$2:$F$101,MATCH($B739,Customers!$A$2:$A$101,0))</f>
        <v>Male</v>
      </c>
      <c r="Q739" s="46" t="str">
        <f aca="false">INDEX(Customers!$B$2:$B$101,MATCH($B739,Customers!$A$2:$A$101,0))</f>
        <v>Navya Golla</v>
      </c>
      <c r="R739" s="46" t="n">
        <f aca="false">MONTH($E739)</f>
        <v>3</v>
      </c>
      <c r="S739" s="46" t="str">
        <f aca="false">INDEX(Lists!$B$2:$B$13,$R739)</f>
        <v>March</v>
      </c>
      <c r="T739" s="46" t="n">
        <f aca="false">HOUR($F739)</f>
        <v>16</v>
      </c>
      <c r="U739" s="46" t="n">
        <f aca="false">WEEKDAY($E739,2)</f>
        <v>5</v>
      </c>
      <c r="V739" s="46" t="str">
        <f aca="false">INDEX(Lists!$F$2:$F$8,$U739)</f>
        <v>Friday</v>
      </c>
      <c r="W739" s="85" t="n">
        <f aca="false">($G739+$H739)-($E739+$F739)</f>
        <v>5.38395833333333</v>
      </c>
      <c r="X739" s="46" t="str">
        <f aca="false">LOOKUP($M739,Lists!$G$2:$G$5,Lists!$H$2:$H$5)</f>
        <v>₹1,500 - 2,000</v>
      </c>
      <c r="Y739" s="46" t="str">
        <f aca="false">LOOKUP($W739,Lists!$I$2:$I$7,Lists!$J$2:$J$7)</f>
        <v>4 - 6 days</v>
      </c>
    </row>
    <row r="740" customFormat="false" ht="15" hidden="false" customHeight="false" outlineLevel="0" collapsed="false">
      <c r="A740" s="7" t="n">
        <v>739</v>
      </c>
      <c r="B740" s="7" t="s">
        <v>377</v>
      </c>
      <c r="C740" s="7" t="n">
        <v>24</v>
      </c>
      <c r="D740" s="7" t="n">
        <v>5</v>
      </c>
      <c r="E740" s="77" t="n">
        <v>44956</v>
      </c>
      <c r="F740" s="78" t="n">
        <v>0.405439814814815</v>
      </c>
      <c r="G740" s="77" t="n">
        <v>44960</v>
      </c>
      <c r="H740" s="78" t="n">
        <v>0.439965277777778</v>
      </c>
      <c r="I740" s="7" t="s">
        <v>220</v>
      </c>
      <c r="J740" s="7" t="s">
        <v>31</v>
      </c>
      <c r="K740" s="79" t="str">
        <f aca="false">INDEX(Products!$B$2:$B$71,MATCH($C740,Products!$A$2:$A$71,0))</f>
        <v>Ad Box</v>
      </c>
      <c r="L740" s="79" t="str">
        <f aca="false">INDEX(Products!$C$2:$C$71,MATCH($C740,Products!$A$2:$A$71,0))</f>
        <v>Mugs</v>
      </c>
      <c r="M740" s="80" t="n">
        <f aca="false">INDEX(Products!$D$2:$D$71,MATCH($C740,Products!$A$2:$A$71,0))</f>
        <v>535</v>
      </c>
      <c r="N740" s="80" t="n">
        <f aca="false">$D740*$M740</f>
        <v>2675</v>
      </c>
      <c r="O740" s="79" t="str">
        <f aca="false">INDEX(Customers!$C$2:$C$101,MATCH($B740,Customers!$A$2:$A$101,0))</f>
        <v>Deoghar</v>
      </c>
      <c r="P740" s="79" t="str">
        <f aca="false">INDEX(Customers!$F$2:$F$101,MATCH($B740,Customers!$A$2:$A$101,0))</f>
        <v>Female</v>
      </c>
      <c r="Q740" s="79" t="str">
        <f aca="false">INDEX(Customers!$B$2:$B$101,MATCH($B740,Customers!$A$2:$A$101,0))</f>
        <v>Raghav Babu</v>
      </c>
      <c r="R740" s="79" t="n">
        <f aca="false">MONTH($E740)</f>
        <v>1</v>
      </c>
      <c r="S740" s="79" t="str">
        <f aca="false">INDEX(Lists!$B$2:$B$13,$R740)</f>
        <v>January</v>
      </c>
      <c r="T740" s="79" t="n">
        <f aca="false">HOUR($F740)</f>
        <v>9</v>
      </c>
      <c r="U740" s="79" t="n">
        <f aca="false">WEEKDAY($E740,2)</f>
        <v>1</v>
      </c>
      <c r="V740" s="79" t="str">
        <f aca="false">INDEX(Lists!$F$2:$F$8,$U740)</f>
        <v>Monday</v>
      </c>
      <c r="W740" s="81" t="n">
        <f aca="false">($G740+$H740)-($E740+$F740)</f>
        <v>4.03452546296296</v>
      </c>
      <c r="X740" s="79" t="str">
        <f aca="false">LOOKUP($M740,Lists!$G$2:$G$5,Lists!$H$2:$H$5)</f>
        <v>₹500 - 999</v>
      </c>
      <c r="Y740" s="79" t="str">
        <f aca="false">LOOKUP($W740,Lists!$I$2:$I$7,Lists!$J$2:$J$7)</f>
        <v>4 - 6 days</v>
      </c>
    </row>
    <row r="741" customFormat="false" ht="15" hidden="false" customHeight="false" outlineLevel="0" collapsed="false">
      <c r="A741" s="2" t="n">
        <v>740</v>
      </c>
      <c r="B741" s="2" t="s">
        <v>133</v>
      </c>
      <c r="C741" s="2" t="n">
        <v>56</v>
      </c>
      <c r="D741" s="2" t="n">
        <v>4</v>
      </c>
      <c r="E741" s="82" t="n">
        <v>45237</v>
      </c>
      <c r="F741" s="83" t="n">
        <v>0.674976851851852</v>
      </c>
      <c r="G741" s="82" t="n">
        <v>45242</v>
      </c>
      <c r="H741" s="83" t="n">
        <v>0.422118055555556</v>
      </c>
      <c r="I741" s="2" t="s">
        <v>567</v>
      </c>
      <c r="J741" s="2" t="s">
        <v>168</v>
      </c>
      <c r="K741" s="46" t="str">
        <f aca="false">INDEX(Products!$B$2:$B$71,MATCH($C741,Products!$A$2:$A$71,0))</f>
        <v>Quia Gift</v>
      </c>
      <c r="L741" s="46" t="str">
        <f aca="false">INDEX(Products!$C$2:$C$71,MATCH($C741,Products!$A$2:$A$71,0))</f>
        <v>Raksha Bandhan</v>
      </c>
      <c r="M741" s="84" t="n">
        <f aca="false">INDEX(Products!$D$2:$D$71,MATCH($C741,Products!$A$2:$A$71,0))</f>
        <v>1272</v>
      </c>
      <c r="N741" s="84" t="n">
        <f aca="false">$D741*$M741</f>
        <v>5088</v>
      </c>
      <c r="O741" s="46" t="str">
        <f aca="false">INDEX(Customers!$C$2:$C$101,MATCH($B741,Customers!$A$2:$A$101,0))</f>
        <v>Miryalaguda</v>
      </c>
      <c r="P741" s="46" t="str">
        <f aca="false">INDEX(Customers!$F$2:$F$101,MATCH($B741,Customers!$A$2:$A$101,0))</f>
        <v>Male</v>
      </c>
      <c r="Q741" s="46" t="str">
        <f aca="false">INDEX(Customers!$B$2:$B$101,MATCH($B741,Customers!$A$2:$A$101,0))</f>
        <v>Tarini Bava</v>
      </c>
      <c r="R741" s="46" t="n">
        <f aca="false">MONTH($E741)</f>
        <v>11</v>
      </c>
      <c r="S741" s="46" t="str">
        <f aca="false">INDEX(Lists!$B$2:$B$13,$R741)</f>
        <v>November</v>
      </c>
      <c r="T741" s="46" t="n">
        <f aca="false">HOUR($F741)</f>
        <v>16</v>
      </c>
      <c r="U741" s="46" t="n">
        <f aca="false">WEEKDAY($E741,2)</f>
        <v>2</v>
      </c>
      <c r="V741" s="46" t="str">
        <f aca="false">INDEX(Lists!$F$2:$F$8,$U741)</f>
        <v>Tuesday</v>
      </c>
      <c r="W741" s="85" t="n">
        <f aca="false">($G741+$H741)-($E741+$F741)</f>
        <v>4.7471412037037</v>
      </c>
      <c r="X741" s="46" t="str">
        <f aca="false">LOOKUP($M741,Lists!$G$2:$G$5,Lists!$H$2:$H$5)</f>
        <v>₹1,000 - 1,499</v>
      </c>
      <c r="Y741" s="46" t="str">
        <f aca="false">LOOKUP($W741,Lists!$I$2:$I$7,Lists!$J$2:$J$7)</f>
        <v>4 - 6 days</v>
      </c>
    </row>
    <row r="742" customFormat="false" ht="15" hidden="false" customHeight="false" outlineLevel="0" collapsed="false">
      <c r="A742" s="7" t="n">
        <v>741</v>
      </c>
      <c r="B742" s="7" t="s">
        <v>316</v>
      </c>
      <c r="C742" s="7" t="n">
        <v>53</v>
      </c>
      <c r="D742" s="7" t="n">
        <v>5</v>
      </c>
      <c r="E742" s="77" t="n">
        <v>45161</v>
      </c>
      <c r="F742" s="78" t="n">
        <v>0.532743055555556</v>
      </c>
      <c r="G742" s="77" t="n">
        <v>45170</v>
      </c>
      <c r="H742" s="78" t="n">
        <v>0.900914351851852</v>
      </c>
      <c r="I742" s="7" t="s">
        <v>571</v>
      </c>
      <c r="J742" s="7" t="s">
        <v>40</v>
      </c>
      <c r="K742" s="79" t="str">
        <f aca="false">INDEX(Products!$B$2:$B$71,MATCH($C742,Products!$A$2:$A$71,0))</f>
        <v>Ipsam Set</v>
      </c>
      <c r="L742" s="79" t="str">
        <f aca="false">INDEX(Products!$C$2:$C$71,MATCH($C742,Products!$A$2:$A$71,0))</f>
        <v>Sweets</v>
      </c>
      <c r="M742" s="80" t="n">
        <f aca="false">INDEX(Products!$D$2:$D$71,MATCH($C742,Products!$A$2:$A$71,0))</f>
        <v>1672</v>
      </c>
      <c r="N742" s="80" t="n">
        <f aca="false">$D742*$M742</f>
        <v>8360</v>
      </c>
      <c r="O742" s="79" t="str">
        <f aca="false">INDEX(Customers!$C$2:$C$101,MATCH($B742,Customers!$A$2:$A$101,0))</f>
        <v>Hyderabad</v>
      </c>
      <c r="P742" s="79" t="str">
        <f aca="false">INDEX(Customers!$F$2:$F$101,MATCH($B742,Customers!$A$2:$A$101,0))</f>
        <v>Male</v>
      </c>
      <c r="Q742" s="79" t="str">
        <f aca="false">INDEX(Customers!$B$2:$B$101,MATCH($B742,Customers!$A$2:$A$101,0))</f>
        <v>Charvi Karnik</v>
      </c>
      <c r="R742" s="79" t="n">
        <f aca="false">MONTH($E742)</f>
        <v>8</v>
      </c>
      <c r="S742" s="79" t="str">
        <f aca="false">INDEX(Lists!$B$2:$B$13,$R742)</f>
        <v>August</v>
      </c>
      <c r="T742" s="79" t="n">
        <f aca="false">HOUR($F742)</f>
        <v>12</v>
      </c>
      <c r="U742" s="79" t="n">
        <f aca="false">WEEKDAY($E742,2)</f>
        <v>3</v>
      </c>
      <c r="V742" s="79" t="str">
        <f aca="false">INDEX(Lists!$F$2:$F$8,$U742)</f>
        <v>Wednesday</v>
      </c>
      <c r="W742" s="81" t="n">
        <f aca="false">($G742+$H742)-($E742+$F742)</f>
        <v>9.3681712962963</v>
      </c>
      <c r="X742" s="79" t="str">
        <f aca="false">LOOKUP($M742,Lists!$G$2:$G$5,Lists!$H$2:$H$5)</f>
        <v>₹1,500 - 2,000</v>
      </c>
      <c r="Y742" s="79" t="str">
        <f aca="false">LOOKUP($W742,Lists!$I$2:$I$7,Lists!$J$2:$J$7)</f>
        <v>8 - 10 days</v>
      </c>
    </row>
    <row r="743" customFormat="false" ht="15" hidden="false" customHeight="false" outlineLevel="0" collapsed="false">
      <c r="A743" s="2" t="n">
        <v>742</v>
      </c>
      <c r="B743" s="2" t="s">
        <v>363</v>
      </c>
      <c r="C743" s="2" t="n">
        <v>53</v>
      </c>
      <c r="D743" s="2" t="n">
        <v>5</v>
      </c>
      <c r="E743" s="82" t="n">
        <v>45162</v>
      </c>
      <c r="F743" s="83" t="n">
        <v>0.826469907407407</v>
      </c>
      <c r="G743" s="82" t="n">
        <v>45164</v>
      </c>
      <c r="H743" s="83" t="n">
        <v>0.665347222222222</v>
      </c>
      <c r="I743" s="2" t="s">
        <v>519</v>
      </c>
      <c r="J743" s="2" t="s">
        <v>40</v>
      </c>
      <c r="K743" s="46" t="str">
        <f aca="false">INDEX(Products!$B$2:$B$71,MATCH($C743,Products!$A$2:$A$71,0))</f>
        <v>Ipsam Set</v>
      </c>
      <c r="L743" s="46" t="str">
        <f aca="false">INDEX(Products!$C$2:$C$71,MATCH($C743,Products!$A$2:$A$71,0))</f>
        <v>Sweets</v>
      </c>
      <c r="M743" s="84" t="n">
        <f aca="false">INDEX(Products!$D$2:$D$71,MATCH($C743,Products!$A$2:$A$71,0))</f>
        <v>1672</v>
      </c>
      <c r="N743" s="84" t="n">
        <f aca="false">$D743*$M743</f>
        <v>8360</v>
      </c>
      <c r="O743" s="46" t="str">
        <f aca="false">INDEX(Customers!$C$2:$C$101,MATCH($B743,Customers!$A$2:$A$101,0))</f>
        <v>Nellore</v>
      </c>
      <c r="P743" s="46" t="str">
        <f aca="false">INDEX(Customers!$F$2:$F$101,MATCH($B743,Customers!$A$2:$A$101,0))</f>
        <v>Female</v>
      </c>
      <c r="Q743" s="46" t="str">
        <f aca="false">INDEX(Customers!$B$2:$B$101,MATCH($B743,Customers!$A$2:$A$101,0))</f>
        <v>Oorja Dey</v>
      </c>
      <c r="R743" s="46" t="n">
        <f aca="false">MONTH($E743)</f>
        <v>8</v>
      </c>
      <c r="S743" s="46" t="str">
        <f aca="false">INDEX(Lists!$B$2:$B$13,$R743)</f>
        <v>August</v>
      </c>
      <c r="T743" s="46" t="n">
        <f aca="false">HOUR($F743)</f>
        <v>19</v>
      </c>
      <c r="U743" s="46" t="n">
        <f aca="false">WEEKDAY($E743,2)</f>
        <v>4</v>
      </c>
      <c r="V743" s="46" t="str">
        <f aca="false">INDEX(Lists!$F$2:$F$8,$U743)</f>
        <v>Thursday</v>
      </c>
      <c r="W743" s="85" t="n">
        <f aca="false">($G743+$H743)-($E743+$F743)</f>
        <v>1.83887731481481</v>
      </c>
      <c r="X743" s="46" t="str">
        <f aca="false">LOOKUP($M743,Lists!$G$2:$G$5,Lists!$H$2:$H$5)</f>
        <v>₹1,500 - 2,000</v>
      </c>
      <c r="Y743" s="46" t="str">
        <f aca="false">LOOKUP($W743,Lists!$I$2:$I$7,Lists!$J$2:$J$7)</f>
        <v>0 - 2 days</v>
      </c>
    </row>
    <row r="744" customFormat="false" ht="15" hidden="false" customHeight="false" outlineLevel="0" collapsed="false">
      <c r="A744" s="7" t="n">
        <v>743</v>
      </c>
      <c r="B744" s="7" t="s">
        <v>239</v>
      </c>
      <c r="C744" s="7" t="n">
        <v>4</v>
      </c>
      <c r="D744" s="7" t="n">
        <v>2</v>
      </c>
      <c r="E744" s="77" t="n">
        <v>45239</v>
      </c>
      <c r="F744" s="78" t="n">
        <v>0.56119212962963</v>
      </c>
      <c r="G744" s="77" t="n">
        <v>45243</v>
      </c>
      <c r="H744" s="78" t="n">
        <v>0.0530555555555556</v>
      </c>
      <c r="I744" s="7" t="s">
        <v>594</v>
      </c>
      <c r="J744" s="7" t="s">
        <v>32</v>
      </c>
      <c r="K744" s="79" t="str">
        <f aca="false">INDEX(Products!$B$2:$B$71,MATCH($C744,Products!$A$2:$A$71,0))</f>
        <v>Accusantium Set</v>
      </c>
      <c r="L744" s="79" t="str">
        <f aca="false">INDEX(Products!$C$2:$C$71,MATCH($C744,Products!$A$2:$A$71,0))</f>
        <v>Sweets</v>
      </c>
      <c r="M744" s="80" t="n">
        <f aca="false">INDEX(Products!$D$2:$D$71,MATCH($C744,Products!$A$2:$A$71,0))</f>
        <v>1199</v>
      </c>
      <c r="N744" s="80" t="n">
        <f aca="false">$D744*$M744</f>
        <v>2398</v>
      </c>
      <c r="O744" s="79" t="str">
        <f aca="false">INDEX(Customers!$C$2:$C$101,MATCH($B744,Customers!$A$2:$A$101,0))</f>
        <v>Maheshtala</v>
      </c>
      <c r="P744" s="79" t="str">
        <f aca="false">INDEX(Customers!$F$2:$F$101,MATCH($B744,Customers!$A$2:$A$101,0))</f>
        <v>Female</v>
      </c>
      <c r="Q744" s="79" t="str">
        <f aca="false">INDEX(Customers!$B$2:$B$101,MATCH($B744,Customers!$A$2:$A$101,0))</f>
        <v>Divit Mahajan</v>
      </c>
      <c r="R744" s="79" t="n">
        <f aca="false">MONTH($E744)</f>
        <v>11</v>
      </c>
      <c r="S744" s="79" t="str">
        <f aca="false">INDEX(Lists!$B$2:$B$13,$R744)</f>
        <v>November</v>
      </c>
      <c r="T744" s="79" t="n">
        <f aca="false">HOUR($F744)</f>
        <v>13</v>
      </c>
      <c r="U744" s="79" t="n">
        <f aca="false">WEEKDAY($E744,2)</f>
        <v>4</v>
      </c>
      <c r="V744" s="79" t="str">
        <f aca="false">INDEX(Lists!$F$2:$F$8,$U744)</f>
        <v>Thursday</v>
      </c>
      <c r="W744" s="81" t="n">
        <f aca="false">($G744+$H744)-($E744+$F744)</f>
        <v>3.49186342592593</v>
      </c>
      <c r="X744" s="79" t="str">
        <f aca="false">LOOKUP($M744,Lists!$G$2:$G$5,Lists!$H$2:$H$5)</f>
        <v>₹1,000 - 1,499</v>
      </c>
      <c r="Y744" s="79" t="str">
        <f aca="false">LOOKUP($W744,Lists!$I$2:$I$7,Lists!$J$2:$J$7)</f>
        <v>2 - 4 days</v>
      </c>
    </row>
    <row r="745" customFormat="false" ht="15" hidden="false" customHeight="false" outlineLevel="0" collapsed="false">
      <c r="A745" s="2" t="n">
        <v>744</v>
      </c>
      <c r="B745" s="2" t="s">
        <v>183</v>
      </c>
      <c r="C745" s="2" t="n">
        <v>45</v>
      </c>
      <c r="D745" s="2" t="n">
        <v>4</v>
      </c>
      <c r="E745" s="82" t="n">
        <v>45212</v>
      </c>
      <c r="F745" s="83" t="n">
        <v>0.745381944444445</v>
      </c>
      <c r="G745" s="82" t="n">
        <v>45213</v>
      </c>
      <c r="H745" s="83" t="n">
        <v>0.334780092592593</v>
      </c>
      <c r="I745" s="2" t="s">
        <v>443</v>
      </c>
      <c r="J745" s="2" t="s">
        <v>31</v>
      </c>
      <c r="K745" s="46" t="str">
        <f aca="false">INDEX(Products!$B$2:$B$71,MATCH($C745,Products!$A$2:$A$71,0))</f>
        <v>Iusto Set</v>
      </c>
      <c r="L745" s="46" t="str">
        <f aca="false">INDEX(Products!$C$2:$C$71,MATCH($C745,Products!$A$2:$A$71,0))</f>
        <v>Raksha Bandhan</v>
      </c>
      <c r="M745" s="84" t="n">
        <f aca="false">INDEX(Products!$D$2:$D$71,MATCH($C745,Products!$A$2:$A$71,0))</f>
        <v>722</v>
      </c>
      <c r="N745" s="84" t="n">
        <f aca="false">$D745*$M745</f>
        <v>2888</v>
      </c>
      <c r="O745" s="46" t="str">
        <f aca="false">INDEX(Customers!$C$2:$C$101,MATCH($B745,Customers!$A$2:$A$101,0))</f>
        <v>Bidhannagar</v>
      </c>
      <c r="P745" s="46" t="str">
        <f aca="false">INDEX(Customers!$F$2:$F$101,MATCH($B745,Customers!$A$2:$A$101,0))</f>
        <v>Male</v>
      </c>
      <c r="Q745" s="46" t="str">
        <f aca="false">INDEX(Customers!$B$2:$B$101,MATCH($B745,Customers!$A$2:$A$101,0))</f>
        <v>Abram Sandhu</v>
      </c>
      <c r="R745" s="46" t="n">
        <f aca="false">MONTH($E745)</f>
        <v>10</v>
      </c>
      <c r="S745" s="46" t="str">
        <f aca="false">INDEX(Lists!$B$2:$B$13,$R745)</f>
        <v>October</v>
      </c>
      <c r="T745" s="46" t="n">
        <f aca="false">HOUR($F745)</f>
        <v>17</v>
      </c>
      <c r="U745" s="46" t="n">
        <f aca="false">WEEKDAY($E745,2)</f>
        <v>5</v>
      </c>
      <c r="V745" s="46" t="str">
        <f aca="false">INDEX(Lists!$F$2:$F$8,$U745)</f>
        <v>Friday</v>
      </c>
      <c r="W745" s="85" t="n">
        <f aca="false">($G745+$H745)-($E745+$F745)</f>
        <v>0.589398148148148</v>
      </c>
      <c r="X745" s="46" t="str">
        <f aca="false">LOOKUP($M745,Lists!$G$2:$G$5,Lists!$H$2:$H$5)</f>
        <v>₹500 - 999</v>
      </c>
      <c r="Y745" s="46" t="str">
        <f aca="false">LOOKUP($W745,Lists!$I$2:$I$7,Lists!$J$2:$J$7)</f>
        <v>0 - 2 days</v>
      </c>
    </row>
    <row r="746" customFormat="false" ht="15" hidden="false" customHeight="false" outlineLevel="0" collapsed="false">
      <c r="A746" s="7" t="n">
        <v>745</v>
      </c>
      <c r="B746" s="7" t="s">
        <v>260</v>
      </c>
      <c r="C746" s="7" t="n">
        <v>44</v>
      </c>
      <c r="D746" s="7" t="n">
        <v>1</v>
      </c>
      <c r="E746" s="77" t="n">
        <v>45237</v>
      </c>
      <c r="F746" s="78" t="n">
        <v>0.383634259259259</v>
      </c>
      <c r="G746" s="77" t="n">
        <v>45239</v>
      </c>
      <c r="H746" s="78" t="n">
        <v>0.0208796296296296</v>
      </c>
      <c r="I746" s="7" t="s">
        <v>462</v>
      </c>
      <c r="J746" s="7" t="s">
        <v>32</v>
      </c>
      <c r="K746" s="79" t="str">
        <f aca="false">INDEX(Products!$B$2:$B$71,MATCH($C746,Products!$A$2:$A$71,0))</f>
        <v>Dolorum Set</v>
      </c>
      <c r="L746" s="79" t="str">
        <f aca="false">INDEX(Products!$C$2:$C$71,MATCH($C746,Products!$A$2:$A$71,0))</f>
        <v>Plants</v>
      </c>
      <c r="M746" s="80" t="n">
        <f aca="false">INDEX(Products!$D$2:$D$71,MATCH($C746,Products!$A$2:$A$71,0))</f>
        <v>794</v>
      </c>
      <c r="N746" s="80" t="n">
        <f aca="false">$D746*$M746</f>
        <v>794</v>
      </c>
      <c r="O746" s="79" t="str">
        <f aca="false">INDEX(Customers!$C$2:$C$101,MATCH($B746,Customers!$A$2:$A$101,0))</f>
        <v>Dhanbad</v>
      </c>
      <c r="P746" s="79" t="str">
        <f aca="false">INDEX(Customers!$F$2:$F$101,MATCH($B746,Customers!$A$2:$A$101,0))</f>
        <v>Male</v>
      </c>
      <c r="Q746" s="79" t="str">
        <f aca="false">INDEX(Customers!$B$2:$B$101,MATCH($B746,Customers!$A$2:$A$101,0))</f>
        <v>Vardaniya Apte</v>
      </c>
      <c r="R746" s="79" t="n">
        <f aca="false">MONTH($E746)</f>
        <v>11</v>
      </c>
      <c r="S746" s="79" t="str">
        <f aca="false">INDEX(Lists!$B$2:$B$13,$R746)</f>
        <v>November</v>
      </c>
      <c r="T746" s="79" t="n">
        <f aca="false">HOUR($F746)</f>
        <v>9</v>
      </c>
      <c r="U746" s="79" t="n">
        <f aca="false">WEEKDAY($E746,2)</f>
        <v>2</v>
      </c>
      <c r="V746" s="79" t="str">
        <f aca="false">INDEX(Lists!$F$2:$F$8,$U746)</f>
        <v>Tuesday</v>
      </c>
      <c r="W746" s="81" t="n">
        <f aca="false">($G746+$H746)-($E746+$F746)</f>
        <v>1.63724537037037</v>
      </c>
      <c r="X746" s="79" t="str">
        <f aca="false">LOOKUP($M746,Lists!$G$2:$G$5,Lists!$H$2:$H$5)</f>
        <v>₹500 - 999</v>
      </c>
      <c r="Y746" s="79" t="str">
        <f aca="false">LOOKUP($W746,Lists!$I$2:$I$7,Lists!$J$2:$J$7)</f>
        <v>0 - 2 days</v>
      </c>
    </row>
    <row r="747" customFormat="false" ht="15" hidden="false" customHeight="false" outlineLevel="0" collapsed="false">
      <c r="A747" s="2" t="n">
        <v>746</v>
      </c>
      <c r="B747" s="2" t="s">
        <v>257</v>
      </c>
      <c r="C747" s="2" t="n">
        <v>35</v>
      </c>
      <c r="D747" s="2" t="n">
        <v>2</v>
      </c>
      <c r="E747" s="82" t="n">
        <v>44987</v>
      </c>
      <c r="F747" s="83" t="n">
        <v>0.224641203703704</v>
      </c>
      <c r="G747" s="82" t="n">
        <v>44991</v>
      </c>
      <c r="H747" s="83" t="n">
        <v>0.267141203703704</v>
      </c>
      <c r="I747" s="2" t="s">
        <v>523</v>
      </c>
      <c r="J747" s="2" t="s">
        <v>33</v>
      </c>
      <c r="K747" s="46" t="str">
        <f aca="false">INDEX(Products!$B$2:$B$71,MATCH($C747,Products!$A$2:$A$71,0))</f>
        <v>Nam Gift</v>
      </c>
      <c r="L747" s="46" t="str">
        <f aca="false">INDEX(Products!$C$2:$C$71,MATCH($C747,Products!$A$2:$A$71,0))</f>
        <v>Colors</v>
      </c>
      <c r="M747" s="84" t="n">
        <f aca="false">INDEX(Products!$D$2:$D$71,MATCH($C747,Products!$A$2:$A$71,0))</f>
        <v>1865</v>
      </c>
      <c r="N747" s="84" t="n">
        <f aca="false">$D747*$M747</f>
        <v>3730</v>
      </c>
      <c r="O747" s="46" t="str">
        <f aca="false">INDEX(Customers!$C$2:$C$101,MATCH($B747,Customers!$A$2:$A$101,0))</f>
        <v>Kota</v>
      </c>
      <c r="P747" s="46" t="str">
        <f aca="false">INDEX(Customers!$F$2:$F$101,MATCH($B747,Customers!$A$2:$A$101,0))</f>
        <v>Female</v>
      </c>
      <c r="Q747" s="46" t="str">
        <f aca="false">INDEX(Customers!$B$2:$B$101,MATCH($B747,Customers!$A$2:$A$101,0))</f>
        <v>Aradhya Batta</v>
      </c>
      <c r="R747" s="46" t="n">
        <f aca="false">MONTH($E747)</f>
        <v>3</v>
      </c>
      <c r="S747" s="46" t="str">
        <f aca="false">INDEX(Lists!$B$2:$B$13,$R747)</f>
        <v>March</v>
      </c>
      <c r="T747" s="46" t="n">
        <f aca="false">HOUR($F747)</f>
        <v>5</v>
      </c>
      <c r="U747" s="46" t="n">
        <f aca="false">WEEKDAY($E747,2)</f>
        <v>4</v>
      </c>
      <c r="V747" s="46" t="str">
        <f aca="false">INDEX(Lists!$F$2:$F$8,$U747)</f>
        <v>Thursday</v>
      </c>
      <c r="W747" s="85" t="n">
        <f aca="false">($G747+$H747)-($E747+$F747)</f>
        <v>4.0425</v>
      </c>
      <c r="X747" s="46" t="str">
        <f aca="false">LOOKUP($M747,Lists!$G$2:$G$5,Lists!$H$2:$H$5)</f>
        <v>₹1,500 - 2,000</v>
      </c>
      <c r="Y747" s="46" t="str">
        <f aca="false">LOOKUP($W747,Lists!$I$2:$I$7,Lists!$J$2:$J$7)</f>
        <v>4 - 6 days</v>
      </c>
    </row>
    <row r="748" customFormat="false" ht="15" hidden="false" customHeight="false" outlineLevel="0" collapsed="false">
      <c r="A748" s="7" t="n">
        <v>747</v>
      </c>
      <c r="B748" s="7" t="s">
        <v>148</v>
      </c>
      <c r="C748" s="7" t="n">
        <v>6</v>
      </c>
      <c r="D748" s="7" t="n">
        <v>4</v>
      </c>
      <c r="E748" s="77" t="n">
        <v>44991</v>
      </c>
      <c r="F748" s="78" t="n">
        <v>0.155138888888889</v>
      </c>
      <c r="G748" s="77" t="n">
        <v>44996</v>
      </c>
      <c r="H748" s="78" t="n">
        <v>0.693460648148148</v>
      </c>
      <c r="I748" s="7" t="s">
        <v>340</v>
      </c>
      <c r="J748" s="7" t="s">
        <v>33</v>
      </c>
      <c r="K748" s="79" t="str">
        <f aca="false">INDEX(Products!$B$2:$B$71,MATCH($C748,Products!$A$2:$A$71,0))</f>
        <v>Quos Box</v>
      </c>
      <c r="L748" s="79" t="str">
        <f aca="false">INDEX(Products!$C$2:$C$71,MATCH($C748,Products!$A$2:$A$71,0))</f>
        <v>Cake</v>
      </c>
      <c r="M748" s="80" t="n">
        <f aca="false">INDEX(Products!$D$2:$D$71,MATCH($C748,Products!$A$2:$A$71,0))</f>
        <v>1112</v>
      </c>
      <c r="N748" s="80" t="n">
        <f aca="false">$D748*$M748</f>
        <v>4448</v>
      </c>
      <c r="O748" s="79" t="str">
        <f aca="false">INDEX(Customers!$C$2:$C$101,MATCH($B748,Customers!$A$2:$A$101,0))</f>
        <v>Madurai</v>
      </c>
      <c r="P748" s="79" t="str">
        <f aca="false">INDEX(Customers!$F$2:$F$101,MATCH($B748,Customers!$A$2:$A$101,0))</f>
        <v>Female</v>
      </c>
      <c r="Q748" s="79" t="str">
        <f aca="false">INDEX(Customers!$B$2:$B$101,MATCH($B748,Customers!$A$2:$A$101,0))</f>
        <v>Ritvik Borah</v>
      </c>
      <c r="R748" s="79" t="n">
        <f aca="false">MONTH($E748)</f>
        <v>3</v>
      </c>
      <c r="S748" s="79" t="str">
        <f aca="false">INDEX(Lists!$B$2:$B$13,$R748)</f>
        <v>March</v>
      </c>
      <c r="T748" s="79" t="n">
        <f aca="false">HOUR($F748)</f>
        <v>3</v>
      </c>
      <c r="U748" s="79" t="n">
        <f aca="false">WEEKDAY($E748,2)</f>
        <v>1</v>
      </c>
      <c r="V748" s="79" t="str">
        <f aca="false">INDEX(Lists!$F$2:$F$8,$U748)</f>
        <v>Monday</v>
      </c>
      <c r="W748" s="81" t="n">
        <f aca="false">($G748+$H748)-($E748+$F748)</f>
        <v>5.53832175925926</v>
      </c>
      <c r="X748" s="79" t="str">
        <f aca="false">LOOKUP($M748,Lists!$G$2:$G$5,Lists!$H$2:$H$5)</f>
        <v>₹1,000 - 1,499</v>
      </c>
      <c r="Y748" s="79" t="str">
        <f aca="false">LOOKUP($W748,Lists!$I$2:$I$7,Lists!$J$2:$J$7)</f>
        <v>4 - 6 days</v>
      </c>
    </row>
    <row r="749" customFormat="false" ht="15" hidden="false" customHeight="false" outlineLevel="0" collapsed="false">
      <c r="A749" s="2" t="n">
        <v>748</v>
      </c>
      <c r="B749" s="2" t="s">
        <v>336</v>
      </c>
      <c r="C749" s="2" t="n">
        <v>26</v>
      </c>
      <c r="D749" s="2" t="n">
        <v>1</v>
      </c>
      <c r="E749" s="82" t="n">
        <v>44991</v>
      </c>
      <c r="F749" s="83" t="n">
        <v>0.467962962962963</v>
      </c>
      <c r="G749" s="82" t="n">
        <v>44992</v>
      </c>
      <c r="H749" s="83" t="n">
        <v>0.851851851851852</v>
      </c>
      <c r="I749" s="2" t="s">
        <v>584</v>
      </c>
      <c r="J749" s="2" t="s">
        <v>33</v>
      </c>
      <c r="K749" s="46" t="str">
        <f aca="false">INDEX(Products!$B$2:$B$71,MATCH($C749,Products!$A$2:$A$71,0))</f>
        <v>Aliquam Box</v>
      </c>
      <c r="L749" s="46" t="str">
        <f aca="false">INDEX(Products!$C$2:$C$71,MATCH($C749,Products!$A$2:$A$71,0))</f>
        <v>Colors</v>
      </c>
      <c r="M749" s="84" t="n">
        <f aca="false">INDEX(Products!$D$2:$D$71,MATCH($C749,Products!$A$2:$A$71,0))</f>
        <v>289</v>
      </c>
      <c r="N749" s="84" t="n">
        <f aca="false">$D749*$M749</f>
        <v>289</v>
      </c>
      <c r="O749" s="46" t="str">
        <f aca="false">INDEX(Customers!$C$2:$C$101,MATCH($B749,Customers!$A$2:$A$101,0))</f>
        <v>Bhilai</v>
      </c>
      <c r="P749" s="46" t="str">
        <f aca="false">INDEX(Customers!$F$2:$F$101,MATCH($B749,Customers!$A$2:$A$101,0))</f>
        <v>Female</v>
      </c>
      <c r="Q749" s="46" t="str">
        <f aca="false">INDEX(Customers!$B$2:$B$101,MATCH($B749,Customers!$A$2:$A$101,0))</f>
        <v>Vedika Sankaran</v>
      </c>
      <c r="R749" s="46" t="n">
        <f aca="false">MONTH($E749)</f>
        <v>3</v>
      </c>
      <c r="S749" s="46" t="str">
        <f aca="false">INDEX(Lists!$B$2:$B$13,$R749)</f>
        <v>March</v>
      </c>
      <c r="T749" s="46" t="n">
        <f aca="false">HOUR($F749)</f>
        <v>11</v>
      </c>
      <c r="U749" s="46" t="n">
        <f aca="false">WEEKDAY($E749,2)</f>
        <v>1</v>
      </c>
      <c r="V749" s="46" t="str">
        <f aca="false">INDEX(Lists!$F$2:$F$8,$U749)</f>
        <v>Monday</v>
      </c>
      <c r="W749" s="85" t="n">
        <f aca="false">($G749+$H749)-($E749+$F749)</f>
        <v>1.38388888888889</v>
      </c>
      <c r="X749" s="46" t="str">
        <f aca="false">LOOKUP($M749,Lists!$G$2:$G$5,Lists!$H$2:$H$5)</f>
        <v>₹0 - 499</v>
      </c>
      <c r="Y749" s="46" t="str">
        <f aca="false">LOOKUP($W749,Lists!$I$2:$I$7,Lists!$J$2:$J$7)</f>
        <v>0 - 2 days</v>
      </c>
    </row>
    <row r="750" customFormat="false" ht="15" hidden="false" customHeight="false" outlineLevel="0" collapsed="false">
      <c r="A750" s="7" t="n">
        <v>749</v>
      </c>
      <c r="B750" s="7" t="s">
        <v>390</v>
      </c>
      <c r="C750" s="7" t="n">
        <v>12</v>
      </c>
      <c r="D750" s="7" t="n">
        <v>2</v>
      </c>
      <c r="E750" s="77" t="n">
        <v>45096</v>
      </c>
      <c r="F750" s="78" t="n">
        <v>0.550891203703704</v>
      </c>
      <c r="G750" s="77" t="n">
        <v>45101</v>
      </c>
      <c r="H750" s="78" t="n">
        <v>0.150844907407407</v>
      </c>
      <c r="I750" s="7" t="s">
        <v>503</v>
      </c>
      <c r="J750" s="7" t="s">
        <v>168</v>
      </c>
      <c r="K750" s="79" t="str">
        <f aca="false">INDEX(Products!$B$2:$B$71,MATCH($C750,Products!$A$2:$A$71,0))</f>
        <v>Non Set</v>
      </c>
      <c r="L750" s="79" t="str">
        <f aca="false">INDEX(Products!$C$2:$C$71,MATCH($C750,Products!$A$2:$A$71,0))</f>
        <v>Plants</v>
      </c>
      <c r="M750" s="80" t="n">
        <f aca="false">INDEX(Products!$D$2:$D$71,MATCH($C750,Products!$A$2:$A$71,0))</f>
        <v>672</v>
      </c>
      <c r="N750" s="80" t="n">
        <f aca="false">$D750*$M750</f>
        <v>1344</v>
      </c>
      <c r="O750" s="79" t="str">
        <f aca="false">INDEX(Customers!$C$2:$C$101,MATCH($B750,Customers!$A$2:$A$101,0))</f>
        <v>Dhanbad</v>
      </c>
      <c r="P750" s="79" t="str">
        <f aca="false">INDEX(Customers!$F$2:$F$101,MATCH($B750,Customers!$A$2:$A$101,0))</f>
        <v>Female</v>
      </c>
      <c r="Q750" s="79" t="str">
        <f aca="false">INDEX(Customers!$B$2:$B$101,MATCH($B750,Customers!$A$2:$A$101,0))</f>
        <v>Ranbir Loyal</v>
      </c>
      <c r="R750" s="79" t="n">
        <f aca="false">MONTH($E750)</f>
        <v>6</v>
      </c>
      <c r="S750" s="79" t="str">
        <f aca="false">INDEX(Lists!$B$2:$B$13,$R750)</f>
        <v>June</v>
      </c>
      <c r="T750" s="79" t="n">
        <f aca="false">HOUR($F750)</f>
        <v>13</v>
      </c>
      <c r="U750" s="79" t="n">
        <f aca="false">WEEKDAY($E750,2)</f>
        <v>1</v>
      </c>
      <c r="V750" s="79" t="str">
        <f aca="false">INDEX(Lists!$F$2:$F$8,$U750)</f>
        <v>Monday</v>
      </c>
      <c r="W750" s="81" t="n">
        <f aca="false">($G750+$H750)-($E750+$F750)</f>
        <v>4.5999537037037</v>
      </c>
      <c r="X750" s="79" t="str">
        <f aca="false">LOOKUP($M750,Lists!$G$2:$G$5,Lists!$H$2:$H$5)</f>
        <v>₹500 - 999</v>
      </c>
      <c r="Y750" s="79" t="str">
        <f aca="false">LOOKUP($W750,Lists!$I$2:$I$7,Lists!$J$2:$J$7)</f>
        <v>4 - 6 days</v>
      </c>
    </row>
    <row r="751" customFormat="false" ht="15" hidden="false" customHeight="false" outlineLevel="0" collapsed="false">
      <c r="A751" s="2" t="n">
        <v>750</v>
      </c>
      <c r="B751" s="2" t="s">
        <v>181</v>
      </c>
      <c r="C751" s="2" t="n">
        <v>19</v>
      </c>
      <c r="D751" s="2" t="n">
        <v>3</v>
      </c>
      <c r="E751" s="82" t="n">
        <v>44965</v>
      </c>
      <c r="F751" s="83" t="n">
        <v>0.390752314814815</v>
      </c>
      <c r="G751" s="82" t="n">
        <v>44971</v>
      </c>
      <c r="H751" s="83" t="n">
        <v>0.933819444444444</v>
      </c>
      <c r="I751" s="2" t="s">
        <v>305</v>
      </c>
      <c r="J751" s="2" t="s">
        <v>179</v>
      </c>
      <c r="K751" s="46" t="str">
        <f aca="false">INDEX(Products!$B$2:$B$71,MATCH($C751,Products!$A$2:$A$71,0))</f>
        <v>Iure Gift</v>
      </c>
      <c r="L751" s="46" t="str">
        <f aca="false">INDEX(Products!$C$2:$C$71,MATCH($C751,Products!$A$2:$A$71,0))</f>
        <v>Mugs</v>
      </c>
      <c r="M751" s="84" t="n">
        <f aca="false">INDEX(Products!$D$2:$D$71,MATCH($C751,Products!$A$2:$A$71,0))</f>
        <v>1234</v>
      </c>
      <c r="N751" s="84" t="n">
        <f aca="false">$D751*$M751</f>
        <v>3702</v>
      </c>
      <c r="O751" s="46" t="str">
        <f aca="false">INDEX(Customers!$C$2:$C$101,MATCH($B751,Customers!$A$2:$A$101,0))</f>
        <v>Khandwa</v>
      </c>
      <c r="P751" s="46" t="str">
        <f aca="false">INDEX(Customers!$F$2:$F$101,MATCH($B751,Customers!$A$2:$A$101,0))</f>
        <v>Male</v>
      </c>
      <c r="Q751" s="46" t="str">
        <f aca="false">INDEX(Customers!$B$2:$B$101,MATCH($B751,Customers!$A$2:$A$101,0))</f>
        <v>Ivana Rout</v>
      </c>
      <c r="R751" s="46" t="n">
        <f aca="false">MONTH($E751)</f>
        <v>2</v>
      </c>
      <c r="S751" s="46" t="str">
        <f aca="false">INDEX(Lists!$B$2:$B$13,$R751)</f>
        <v>February</v>
      </c>
      <c r="T751" s="46" t="n">
        <f aca="false">HOUR($F751)</f>
        <v>9</v>
      </c>
      <c r="U751" s="46" t="n">
        <f aca="false">WEEKDAY($E751,2)</f>
        <v>3</v>
      </c>
      <c r="V751" s="46" t="str">
        <f aca="false">INDEX(Lists!$F$2:$F$8,$U751)</f>
        <v>Wednesday</v>
      </c>
      <c r="W751" s="85" t="n">
        <f aca="false">($G751+$H751)-($E751+$F751)</f>
        <v>6.54306712962963</v>
      </c>
      <c r="X751" s="46" t="str">
        <f aca="false">LOOKUP($M751,Lists!$G$2:$G$5,Lists!$H$2:$H$5)</f>
        <v>₹1,000 - 1,499</v>
      </c>
      <c r="Y751" s="46" t="str">
        <f aca="false">LOOKUP($W751,Lists!$I$2:$I$7,Lists!$J$2:$J$7)</f>
        <v>6 - 8 days</v>
      </c>
    </row>
    <row r="752" customFormat="false" ht="15" hidden="false" customHeight="false" outlineLevel="0" collapsed="false">
      <c r="A752" s="7" t="n">
        <v>751</v>
      </c>
      <c r="B752" s="7" t="s">
        <v>350</v>
      </c>
      <c r="C752" s="7" t="n">
        <v>23</v>
      </c>
      <c r="D752" s="7" t="n">
        <v>5</v>
      </c>
      <c r="E752" s="77" t="n">
        <v>45026</v>
      </c>
      <c r="F752" s="78" t="n">
        <v>0.300393518518519</v>
      </c>
      <c r="G752" s="77" t="n">
        <v>45031</v>
      </c>
      <c r="H752" s="78" t="n">
        <v>0.0781712962962963</v>
      </c>
      <c r="I752" s="7" t="s">
        <v>376</v>
      </c>
      <c r="J752" s="7" t="s">
        <v>168</v>
      </c>
      <c r="K752" s="79" t="str">
        <f aca="false">INDEX(Products!$B$2:$B$71,MATCH($C752,Products!$A$2:$A$71,0))</f>
        <v>Dignissimos Pack</v>
      </c>
      <c r="L752" s="79" t="str">
        <f aca="false">INDEX(Products!$C$2:$C$71,MATCH($C752,Products!$A$2:$A$71,0))</f>
        <v>Sweets</v>
      </c>
      <c r="M752" s="80" t="n">
        <f aca="false">INDEX(Products!$D$2:$D$71,MATCH($C752,Products!$A$2:$A$71,0))</f>
        <v>1098</v>
      </c>
      <c r="N752" s="80" t="n">
        <f aca="false">$D752*$M752</f>
        <v>5490</v>
      </c>
      <c r="O752" s="79" t="str">
        <f aca="false">INDEX(Customers!$C$2:$C$101,MATCH($B752,Customers!$A$2:$A$101,0))</f>
        <v>Tiruchirappalli</v>
      </c>
      <c r="P752" s="79" t="str">
        <f aca="false">INDEX(Customers!$F$2:$F$101,MATCH($B752,Customers!$A$2:$A$101,0))</f>
        <v>Male</v>
      </c>
      <c r="Q752" s="79" t="str">
        <f aca="false">INDEX(Customers!$B$2:$B$101,MATCH($B752,Customers!$A$2:$A$101,0))</f>
        <v>Anahita Shankar</v>
      </c>
      <c r="R752" s="79" t="n">
        <f aca="false">MONTH($E752)</f>
        <v>4</v>
      </c>
      <c r="S752" s="79" t="str">
        <f aca="false">INDEX(Lists!$B$2:$B$13,$R752)</f>
        <v>April</v>
      </c>
      <c r="T752" s="79" t="n">
        <f aca="false">HOUR($F752)</f>
        <v>7</v>
      </c>
      <c r="U752" s="79" t="n">
        <f aca="false">WEEKDAY($E752,2)</f>
        <v>1</v>
      </c>
      <c r="V752" s="79" t="str">
        <f aca="false">INDEX(Lists!$F$2:$F$8,$U752)</f>
        <v>Monday</v>
      </c>
      <c r="W752" s="81" t="n">
        <f aca="false">($G752+$H752)-($E752+$F752)</f>
        <v>4.77777777777778</v>
      </c>
      <c r="X752" s="79" t="str">
        <f aca="false">LOOKUP($M752,Lists!$G$2:$G$5,Lists!$H$2:$H$5)</f>
        <v>₹1,000 - 1,499</v>
      </c>
      <c r="Y752" s="79" t="str">
        <f aca="false">LOOKUP($W752,Lists!$I$2:$I$7,Lists!$J$2:$J$7)</f>
        <v>4 - 6 days</v>
      </c>
    </row>
    <row r="753" customFormat="false" ht="15" hidden="false" customHeight="false" outlineLevel="0" collapsed="false">
      <c r="A753" s="2" t="n">
        <v>752</v>
      </c>
      <c r="B753" s="2" t="s">
        <v>206</v>
      </c>
      <c r="C753" s="2" t="n">
        <v>3</v>
      </c>
      <c r="D753" s="2" t="n">
        <v>5</v>
      </c>
      <c r="E753" s="82" t="n">
        <v>44967</v>
      </c>
      <c r="F753" s="83" t="n">
        <v>0.484733796296296</v>
      </c>
      <c r="G753" s="82" t="n">
        <v>44969</v>
      </c>
      <c r="H753" s="83" t="n">
        <v>0.441643518518519</v>
      </c>
      <c r="I753" s="2" t="s">
        <v>195</v>
      </c>
      <c r="J753" s="2" t="s">
        <v>179</v>
      </c>
      <c r="K753" s="46" t="str">
        <f aca="false">INDEX(Products!$B$2:$B$71,MATCH($C753,Products!$A$2:$A$71,0))</f>
        <v>Eius Gift</v>
      </c>
      <c r="L753" s="46" t="str">
        <f aca="false">INDEX(Products!$C$2:$C$71,MATCH($C753,Products!$A$2:$A$71,0))</f>
        <v>Colors</v>
      </c>
      <c r="M753" s="84" t="n">
        <f aca="false">INDEX(Products!$D$2:$D$71,MATCH($C753,Products!$A$2:$A$71,0))</f>
        <v>1534</v>
      </c>
      <c r="N753" s="84" t="n">
        <f aca="false">$D753*$M753</f>
        <v>7670</v>
      </c>
      <c r="O753" s="46" t="str">
        <f aca="false">INDEX(Customers!$C$2:$C$101,MATCH($B753,Customers!$A$2:$A$101,0))</f>
        <v>Bhatpara</v>
      </c>
      <c r="P753" s="46" t="str">
        <f aca="false">INDEX(Customers!$F$2:$F$101,MATCH($B753,Customers!$A$2:$A$101,0))</f>
        <v>Male</v>
      </c>
      <c r="Q753" s="46" t="str">
        <f aca="false">INDEX(Customers!$B$2:$B$101,MATCH($B753,Customers!$A$2:$A$101,0))</f>
        <v>Hridaan Sood</v>
      </c>
      <c r="R753" s="46" t="n">
        <f aca="false">MONTH($E753)</f>
        <v>2</v>
      </c>
      <c r="S753" s="46" t="str">
        <f aca="false">INDEX(Lists!$B$2:$B$13,$R753)</f>
        <v>February</v>
      </c>
      <c r="T753" s="46" t="n">
        <f aca="false">HOUR($F753)</f>
        <v>11</v>
      </c>
      <c r="U753" s="46" t="n">
        <f aca="false">WEEKDAY($E753,2)</f>
        <v>5</v>
      </c>
      <c r="V753" s="46" t="str">
        <f aca="false">INDEX(Lists!$F$2:$F$8,$U753)</f>
        <v>Friday</v>
      </c>
      <c r="W753" s="85" t="n">
        <f aca="false">($G753+$H753)-($E753+$F753)</f>
        <v>1.95690972222222</v>
      </c>
      <c r="X753" s="46" t="str">
        <f aca="false">LOOKUP($M753,Lists!$G$2:$G$5,Lists!$H$2:$H$5)</f>
        <v>₹1,500 - 2,000</v>
      </c>
      <c r="Y753" s="46" t="str">
        <f aca="false">LOOKUP($W753,Lists!$I$2:$I$7,Lists!$J$2:$J$7)</f>
        <v>0 - 2 days</v>
      </c>
    </row>
    <row r="754" customFormat="false" ht="15" hidden="false" customHeight="false" outlineLevel="0" collapsed="false">
      <c r="A754" s="7" t="n">
        <v>753</v>
      </c>
      <c r="B754" s="7" t="s">
        <v>239</v>
      </c>
      <c r="C754" s="7" t="n">
        <v>60</v>
      </c>
      <c r="D754" s="7" t="n">
        <v>1</v>
      </c>
      <c r="E754" s="77" t="n">
        <v>45236</v>
      </c>
      <c r="F754" s="78" t="n">
        <v>0.288634259259259</v>
      </c>
      <c r="G754" s="77" t="n">
        <v>45242</v>
      </c>
      <c r="H754" s="78" t="n">
        <v>0.200706018518519</v>
      </c>
      <c r="I754" s="7" t="s">
        <v>590</v>
      </c>
      <c r="J754" s="7" t="s">
        <v>32</v>
      </c>
      <c r="K754" s="79" t="str">
        <f aca="false">INDEX(Products!$B$2:$B$71,MATCH($C754,Products!$A$2:$A$71,0))</f>
        <v>Ea Set</v>
      </c>
      <c r="L754" s="79" t="str">
        <f aca="false">INDEX(Products!$C$2:$C$71,MATCH($C754,Products!$A$2:$A$71,0))</f>
        <v>Sweets</v>
      </c>
      <c r="M754" s="80" t="n">
        <f aca="false">INDEX(Products!$D$2:$D$71,MATCH($C754,Products!$A$2:$A$71,0))</f>
        <v>827</v>
      </c>
      <c r="N754" s="80" t="n">
        <f aca="false">$D754*$M754</f>
        <v>827</v>
      </c>
      <c r="O754" s="79" t="str">
        <f aca="false">INDEX(Customers!$C$2:$C$101,MATCH($B754,Customers!$A$2:$A$101,0))</f>
        <v>Maheshtala</v>
      </c>
      <c r="P754" s="79" t="str">
        <f aca="false">INDEX(Customers!$F$2:$F$101,MATCH($B754,Customers!$A$2:$A$101,0))</f>
        <v>Female</v>
      </c>
      <c r="Q754" s="79" t="str">
        <f aca="false">INDEX(Customers!$B$2:$B$101,MATCH($B754,Customers!$A$2:$A$101,0))</f>
        <v>Divit Mahajan</v>
      </c>
      <c r="R754" s="79" t="n">
        <f aca="false">MONTH($E754)</f>
        <v>11</v>
      </c>
      <c r="S754" s="79" t="str">
        <f aca="false">INDEX(Lists!$B$2:$B$13,$R754)</f>
        <v>November</v>
      </c>
      <c r="T754" s="79" t="n">
        <f aca="false">HOUR($F754)</f>
        <v>6</v>
      </c>
      <c r="U754" s="79" t="n">
        <f aca="false">WEEKDAY($E754,2)</f>
        <v>1</v>
      </c>
      <c r="V754" s="79" t="str">
        <f aca="false">INDEX(Lists!$F$2:$F$8,$U754)</f>
        <v>Monday</v>
      </c>
      <c r="W754" s="81" t="n">
        <f aca="false">($G754+$H754)-($E754+$F754)</f>
        <v>5.91207175925926</v>
      </c>
      <c r="X754" s="79" t="str">
        <f aca="false">LOOKUP($M754,Lists!$G$2:$G$5,Lists!$H$2:$H$5)</f>
        <v>₹500 - 999</v>
      </c>
      <c r="Y754" s="79" t="str">
        <f aca="false">LOOKUP($W754,Lists!$I$2:$I$7,Lists!$J$2:$J$7)</f>
        <v>4 - 6 days</v>
      </c>
    </row>
    <row r="755" customFormat="false" ht="15" hidden="false" customHeight="false" outlineLevel="0" collapsed="false">
      <c r="A755" s="2" t="n">
        <v>754</v>
      </c>
      <c r="B755" s="2" t="s">
        <v>347</v>
      </c>
      <c r="C755" s="2" t="n">
        <v>51</v>
      </c>
      <c r="D755" s="2" t="n">
        <v>2</v>
      </c>
      <c r="E755" s="82" t="n">
        <v>45231</v>
      </c>
      <c r="F755" s="83" t="n">
        <v>0.861493055555556</v>
      </c>
      <c r="G755" s="82" t="n">
        <v>45238</v>
      </c>
      <c r="H755" s="83" t="n">
        <v>0.925844907407407</v>
      </c>
      <c r="I755" s="2" t="s">
        <v>528</v>
      </c>
      <c r="J755" s="2" t="s">
        <v>165</v>
      </c>
      <c r="K755" s="46" t="str">
        <f aca="false">INDEX(Products!$B$2:$B$71,MATCH($C755,Products!$A$2:$A$71,0))</f>
        <v>Fugit Set</v>
      </c>
      <c r="L755" s="46" t="str">
        <f aca="false">INDEX(Products!$C$2:$C$71,MATCH($C755,Products!$A$2:$A$71,0))</f>
        <v>Soft Toys</v>
      </c>
      <c r="M755" s="84" t="n">
        <f aca="false">INDEX(Products!$D$2:$D$71,MATCH($C755,Products!$A$2:$A$71,0))</f>
        <v>1084</v>
      </c>
      <c r="N755" s="84" t="n">
        <f aca="false">$D755*$M755</f>
        <v>2168</v>
      </c>
      <c r="O755" s="46" t="str">
        <f aca="false">INDEX(Customers!$C$2:$C$101,MATCH($B755,Customers!$A$2:$A$101,0))</f>
        <v>Raurkela Industrial Township</v>
      </c>
      <c r="P755" s="46" t="str">
        <f aca="false">INDEX(Customers!$F$2:$F$101,MATCH($B755,Customers!$A$2:$A$101,0))</f>
        <v>Male</v>
      </c>
      <c r="Q755" s="46" t="str">
        <f aca="false">INDEX(Customers!$B$2:$B$101,MATCH($B755,Customers!$A$2:$A$101,0))</f>
        <v>Aaryahi Sodhi</v>
      </c>
      <c r="R755" s="46" t="n">
        <f aca="false">MONTH($E755)</f>
        <v>11</v>
      </c>
      <c r="S755" s="46" t="str">
        <f aca="false">INDEX(Lists!$B$2:$B$13,$R755)</f>
        <v>November</v>
      </c>
      <c r="T755" s="46" t="n">
        <f aca="false">HOUR($F755)</f>
        <v>20</v>
      </c>
      <c r="U755" s="46" t="n">
        <f aca="false">WEEKDAY($E755,2)</f>
        <v>3</v>
      </c>
      <c r="V755" s="46" t="str">
        <f aca="false">INDEX(Lists!$F$2:$F$8,$U755)</f>
        <v>Wednesday</v>
      </c>
      <c r="W755" s="85" t="n">
        <f aca="false">($G755+$H755)-($E755+$F755)</f>
        <v>7.06435185185185</v>
      </c>
      <c r="X755" s="46" t="str">
        <f aca="false">LOOKUP($M755,Lists!$G$2:$G$5,Lists!$H$2:$H$5)</f>
        <v>₹1,000 - 1,499</v>
      </c>
      <c r="Y755" s="46" t="str">
        <f aca="false">LOOKUP($W755,Lists!$I$2:$I$7,Lists!$J$2:$J$7)</f>
        <v>6 - 8 days</v>
      </c>
    </row>
    <row r="756" customFormat="false" ht="15" hidden="false" customHeight="false" outlineLevel="0" collapsed="false">
      <c r="A756" s="7" t="n">
        <v>755</v>
      </c>
      <c r="B756" s="7" t="s">
        <v>215</v>
      </c>
      <c r="C756" s="7" t="n">
        <v>6</v>
      </c>
      <c r="D756" s="7" t="n">
        <v>5</v>
      </c>
      <c r="E756" s="77" t="n">
        <v>44984</v>
      </c>
      <c r="F756" s="78" t="n">
        <v>0.689884259259259</v>
      </c>
      <c r="G756" s="77" t="n">
        <v>44991</v>
      </c>
      <c r="H756" s="78" t="n">
        <v>0.0950462962962963</v>
      </c>
      <c r="I756" s="7" t="s">
        <v>187</v>
      </c>
      <c r="J756" s="7" t="s">
        <v>33</v>
      </c>
      <c r="K756" s="79" t="str">
        <f aca="false">INDEX(Products!$B$2:$B$71,MATCH($C756,Products!$A$2:$A$71,0))</f>
        <v>Quos Box</v>
      </c>
      <c r="L756" s="79" t="str">
        <f aca="false">INDEX(Products!$C$2:$C$71,MATCH($C756,Products!$A$2:$A$71,0))</f>
        <v>Cake</v>
      </c>
      <c r="M756" s="80" t="n">
        <f aca="false">INDEX(Products!$D$2:$D$71,MATCH($C756,Products!$A$2:$A$71,0))</f>
        <v>1112</v>
      </c>
      <c r="N756" s="80" t="n">
        <f aca="false">$D756*$M756</f>
        <v>5560</v>
      </c>
      <c r="O756" s="79" t="str">
        <f aca="false">INDEX(Customers!$C$2:$C$101,MATCH($B756,Customers!$A$2:$A$101,0))</f>
        <v>Davanagere</v>
      </c>
      <c r="P756" s="79" t="str">
        <f aca="false">INDEX(Customers!$F$2:$F$101,MATCH($B756,Customers!$A$2:$A$101,0))</f>
        <v>Male</v>
      </c>
      <c r="Q756" s="79" t="str">
        <f aca="false">INDEX(Customers!$B$2:$B$101,MATCH($B756,Customers!$A$2:$A$101,0))</f>
        <v>Aradhya Kumar</v>
      </c>
      <c r="R756" s="79" t="n">
        <f aca="false">MONTH($E756)</f>
        <v>2</v>
      </c>
      <c r="S756" s="79" t="str">
        <f aca="false">INDEX(Lists!$B$2:$B$13,$R756)</f>
        <v>February</v>
      </c>
      <c r="T756" s="79" t="n">
        <f aca="false">HOUR($F756)</f>
        <v>16</v>
      </c>
      <c r="U756" s="79" t="n">
        <f aca="false">WEEKDAY($E756,2)</f>
        <v>1</v>
      </c>
      <c r="V756" s="79" t="str">
        <f aca="false">INDEX(Lists!$F$2:$F$8,$U756)</f>
        <v>Monday</v>
      </c>
      <c r="W756" s="81" t="n">
        <f aca="false">($G756+$H756)-($E756+$F756)</f>
        <v>6.40516203703704</v>
      </c>
      <c r="X756" s="79" t="str">
        <f aca="false">LOOKUP($M756,Lists!$G$2:$G$5,Lists!$H$2:$H$5)</f>
        <v>₹1,000 - 1,499</v>
      </c>
      <c r="Y756" s="79" t="str">
        <f aca="false">LOOKUP($W756,Lists!$I$2:$I$7,Lists!$J$2:$J$7)</f>
        <v>6 - 8 days</v>
      </c>
    </row>
    <row r="757" customFormat="false" ht="15" hidden="false" customHeight="false" outlineLevel="0" collapsed="false">
      <c r="A757" s="2" t="n">
        <v>756</v>
      </c>
      <c r="B757" s="2" t="s">
        <v>206</v>
      </c>
      <c r="C757" s="2" t="n">
        <v>51</v>
      </c>
      <c r="D757" s="2" t="n">
        <v>4</v>
      </c>
      <c r="E757" s="82" t="n">
        <v>45136</v>
      </c>
      <c r="F757" s="83" t="n">
        <v>0.767673611111111</v>
      </c>
      <c r="G757" s="82" t="n">
        <v>45141</v>
      </c>
      <c r="H757" s="83" t="n">
        <v>0.413912037037037</v>
      </c>
      <c r="I757" s="2" t="s">
        <v>296</v>
      </c>
      <c r="J757" s="2" t="s">
        <v>165</v>
      </c>
      <c r="K757" s="46" t="str">
        <f aca="false">INDEX(Products!$B$2:$B$71,MATCH($C757,Products!$A$2:$A$71,0))</f>
        <v>Fugit Set</v>
      </c>
      <c r="L757" s="46" t="str">
        <f aca="false">INDEX(Products!$C$2:$C$71,MATCH($C757,Products!$A$2:$A$71,0))</f>
        <v>Soft Toys</v>
      </c>
      <c r="M757" s="84" t="n">
        <f aca="false">INDEX(Products!$D$2:$D$71,MATCH($C757,Products!$A$2:$A$71,0))</f>
        <v>1084</v>
      </c>
      <c r="N757" s="84" t="n">
        <f aca="false">$D757*$M757</f>
        <v>4336</v>
      </c>
      <c r="O757" s="46" t="str">
        <f aca="false">INDEX(Customers!$C$2:$C$101,MATCH($B757,Customers!$A$2:$A$101,0))</f>
        <v>Bhatpara</v>
      </c>
      <c r="P757" s="46" t="str">
        <f aca="false">INDEX(Customers!$F$2:$F$101,MATCH($B757,Customers!$A$2:$A$101,0))</f>
        <v>Male</v>
      </c>
      <c r="Q757" s="46" t="str">
        <f aca="false">INDEX(Customers!$B$2:$B$101,MATCH($B757,Customers!$A$2:$A$101,0))</f>
        <v>Hridaan Sood</v>
      </c>
      <c r="R757" s="46" t="n">
        <f aca="false">MONTH($E757)</f>
        <v>7</v>
      </c>
      <c r="S757" s="46" t="str">
        <f aca="false">INDEX(Lists!$B$2:$B$13,$R757)</f>
        <v>July</v>
      </c>
      <c r="T757" s="46" t="n">
        <f aca="false">HOUR($F757)</f>
        <v>18</v>
      </c>
      <c r="U757" s="46" t="n">
        <f aca="false">WEEKDAY($E757,2)</f>
        <v>6</v>
      </c>
      <c r="V757" s="46" t="str">
        <f aca="false">INDEX(Lists!$F$2:$F$8,$U757)</f>
        <v>Saturday</v>
      </c>
      <c r="W757" s="85" t="n">
        <f aca="false">($G757+$H757)-($E757+$F757)</f>
        <v>4.64623842592593</v>
      </c>
      <c r="X757" s="46" t="str">
        <f aca="false">LOOKUP($M757,Lists!$G$2:$G$5,Lists!$H$2:$H$5)</f>
        <v>₹1,000 - 1,499</v>
      </c>
      <c r="Y757" s="46" t="str">
        <f aca="false">LOOKUP($W757,Lists!$I$2:$I$7,Lists!$J$2:$J$7)</f>
        <v>4 - 6 days</v>
      </c>
    </row>
    <row r="758" customFormat="false" ht="15" hidden="false" customHeight="false" outlineLevel="0" collapsed="false">
      <c r="A758" s="7" t="n">
        <v>757</v>
      </c>
      <c r="B758" s="7" t="s">
        <v>124</v>
      </c>
      <c r="C758" s="7" t="n">
        <v>2</v>
      </c>
      <c r="D758" s="7" t="n">
        <v>3</v>
      </c>
      <c r="E758" s="77" t="n">
        <v>44969</v>
      </c>
      <c r="F758" s="78" t="n">
        <v>0.433252314814815</v>
      </c>
      <c r="G758" s="77" t="n">
        <v>44977</v>
      </c>
      <c r="H758" s="78" t="n">
        <v>0.194768518518519</v>
      </c>
      <c r="I758" s="7" t="s">
        <v>565</v>
      </c>
      <c r="J758" s="7" t="s">
        <v>179</v>
      </c>
      <c r="K758" s="79" t="str">
        <f aca="false">INDEX(Products!$B$2:$B$71,MATCH($C758,Products!$A$2:$A$71,0))</f>
        <v>Voluptas Box</v>
      </c>
      <c r="L758" s="79" t="str">
        <f aca="false">INDEX(Products!$C$2:$C$71,MATCH($C758,Products!$A$2:$A$71,0))</f>
        <v>Plants</v>
      </c>
      <c r="M758" s="80" t="n">
        <f aca="false">INDEX(Products!$D$2:$D$71,MATCH($C758,Products!$A$2:$A$71,0))</f>
        <v>441</v>
      </c>
      <c r="N758" s="80" t="n">
        <f aca="false">$D758*$M758</f>
        <v>1323</v>
      </c>
      <c r="O758" s="79" t="str">
        <f aca="false">INDEX(Customers!$C$2:$C$101,MATCH($B758,Customers!$A$2:$A$101,0))</f>
        <v>Panchkula</v>
      </c>
      <c r="P758" s="79" t="str">
        <f aca="false">INDEX(Customers!$F$2:$F$101,MATCH($B758,Customers!$A$2:$A$101,0))</f>
        <v>Female</v>
      </c>
      <c r="Q758" s="79" t="str">
        <f aca="false">INDEX(Customers!$B$2:$B$101,MATCH($B758,Customers!$A$2:$A$101,0))</f>
        <v>Tara Krishnan</v>
      </c>
      <c r="R758" s="79" t="n">
        <f aca="false">MONTH($E758)</f>
        <v>2</v>
      </c>
      <c r="S758" s="79" t="str">
        <f aca="false">INDEX(Lists!$B$2:$B$13,$R758)</f>
        <v>February</v>
      </c>
      <c r="T758" s="79" t="n">
        <f aca="false">HOUR($F758)</f>
        <v>10</v>
      </c>
      <c r="U758" s="79" t="n">
        <f aca="false">WEEKDAY($E758,2)</f>
        <v>7</v>
      </c>
      <c r="V758" s="79" t="str">
        <f aca="false">INDEX(Lists!$F$2:$F$8,$U758)</f>
        <v>Sunday</v>
      </c>
      <c r="W758" s="81" t="n">
        <f aca="false">($G758+$H758)-($E758+$F758)</f>
        <v>7.7615162037037</v>
      </c>
      <c r="X758" s="79" t="str">
        <f aca="false">LOOKUP($M758,Lists!$G$2:$G$5,Lists!$H$2:$H$5)</f>
        <v>₹0 - 499</v>
      </c>
      <c r="Y758" s="79" t="str">
        <f aca="false">LOOKUP($W758,Lists!$I$2:$I$7,Lists!$J$2:$J$7)</f>
        <v>6 - 8 days</v>
      </c>
    </row>
    <row r="759" customFormat="false" ht="15" hidden="false" customHeight="false" outlineLevel="0" collapsed="false">
      <c r="A759" s="2" t="n">
        <v>758</v>
      </c>
      <c r="B759" s="2" t="s">
        <v>233</v>
      </c>
      <c r="C759" s="2" t="n">
        <v>40</v>
      </c>
      <c r="D759" s="2" t="n">
        <v>5</v>
      </c>
      <c r="E759" s="82" t="n">
        <v>45215</v>
      </c>
      <c r="F759" s="83" t="n">
        <v>0.383634259259259</v>
      </c>
      <c r="G759" s="82" t="n">
        <v>45219</v>
      </c>
      <c r="H759" s="83" t="n">
        <v>0.157615740740741</v>
      </c>
      <c r="I759" s="2" t="s">
        <v>141</v>
      </c>
      <c r="J759" s="2" t="s">
        <v>168</v>
      </c>
      <c r="K759" s="46" t="str">
        <f aca="false">INDEX(Products!$B$2:$B$71,MATCH($C759,Products!$A$2:$A$71,0))</f>
        <v>Provident Pack</v>
      </c>
      <c r="L759" s="46" t="str">
        <f aca="false">INDEX(Products!$C$2:$C$71,MATCH($C759,Products!$A$2:$A$71,0))</f>
        <v>Sweets</v>
      </c>
      <c r="M759" s="84" t="n">
        <f aca="false">INDEX(Products!$D$2:$D$71,MATCH($C759,Products!$A$2:$A$71,0))</f>
        <v>1923</v>
      </c>
      <c r="N759" s="84" t="n">
        <f aca="false">$D759*$M759</f>
        <v>9615</v>
      </c>
      <c r="O759" s="46" t="str">
        <f aca="false">INDEX(Customers!$C$2:$C$101,MATCH($B759,Customers!$A$2:$A$101,0))</f>
        <v>Vellore</v>
      </c>
      <c r="P759" s="46" t="str">
        <f aca="false">INDEX(Customers!$F$2:$F$101,MATCH($B759,Customers!$A$2:$A$101,0))</f>
        <v>Female</v>
      </c>
      <c r="Q759" s="46" t="str">
        <f aca="false">INDEX(Customers!$B$2:$B$101,MATCH($B759,Customers!$A$2:$A$101,0))</f>
        <v>Yasmin Sheth</v>
      </c>
      <c r="R759" s="46" t="n">
        <f aca="false">MONTH($E759)</f>
        <v>10</v>
      </c>
      <c r="S759" s="46" t="str">
        <f aca="false">INDEX(Lists!$B$2:$B$13,$R759)</f>
        <v>October</v>
      </c>
      <c r="T759" s="46" t="n">
        <f aca="false">HOUR($F759)</f>
        <v>9</v>
      </c>
      <c r="U759" s="46" t="n">
        <f aca="false">WEEKDAY($E759,2)</f>
        <v>1</v>
      </c>
      <c r="V759" s="46" t="str">
        <f aca="false">INDEX(Lists!$F$2:$F$8,$U759)</f>
        <v>Monday</v>
      </c>
      <c r="W759" s="85" t="n">
        <f aca="false">($G759+$H759)-($E759+$F759)</f>
        <v>3.77398148148148</v>
      </c>
      <c r="X759" s="46" t="str">
        <f aca="false">LOOKUP($M759,Lists!$G$2:$G$5,Lists!$H$2:$H$5)</f>
        <v>₹1,500 - 2,000</v>
      </c>
      <c r="Y759" s="46" t="str">
        <f aca="false">LOOKUP($W759,Lists!$I$2:$I$7,Lists!$J$2:$J$7)</f>
        <v>2 - 4 days</v>
      </c>
    </row>
    <row r="760" customFormat="false" ht="15" hidden="false" customHeight="false" outlineLevel="0" collapsed="false">
      <c r="A760" s="7" t="n">
        <v>759</v>
      </c>
      <c r="B760" s="7" t="s">
        <v>350</v>
      </c>
      <c r="C760" s="7" t="n">
        <v>48</v>
      </c>
      <c r="D760" s="7" t="n">
        <v>5</v>
      </c>
      <c r="E760" s="77" t="n">
        <v>45232</v>
      </c>
      <c r="F760" s="78" t="n">
        <v>0.25849537037037</v>
      </c>
      <c r="G760" s="77" t="n">
        <v>45241</v>
      </c>
      <c r="H760" s="78" t="n">
        <v>0.254814814814815</v>
      </c>
      <c r="I760" s="7" t="s">
        <v>205</v>
      </c>
      <c r="J760" s="7" t="s">
        <v>32</v>
      </c>
      <c r="K760" s="79" t="str">
        <f aca="false">INDEX(Products!$B$2:$B$71,MATCH($C760,Products!$A$2:$A$71,0))</f>
        <v>Maiores Gift</v>
      </c>
      <c r="L760" s="79" t="str">
        <f aca="false">INDEX(Products!$C$2:$C$71,MATCH($C760,Products!$A$2:$A$71,0))</f>
        <v>Colors</v>
      </c>
      <c r="M760" s="80" t="n">
        <f aca="false">INDEX(Products!$D$2:$D$71,MATCH($C760,Products!$A$2:$A$71,0))</f>
        <v>433</v>
      </c>
      <c r="N760" s="80" t="n">
        <f aca="false">$D760*$M760</f>
        <v>2165</v>
      </c>
      <c r="O760" s="79" t="str">
        <f aca="false">INDEX(Customers!$C$2:$C$101,MATCH($B760,Customers!$A$2:$A$101,0))</f>
        <v>Tiruchirappalli</v>
      </c>
      <c r="P760" s="79" t="str">
        <f aca="false">INDEX(Customers!$F$2:$F$101,MATCH($B760,Customers!$A$2:$A$101,0))</f>
        <v>Male</v>
      </c>
      <c r="Q760" s="79" t="str">
        <f aca="false">INDEX(Customers!$B$2:$B$101,MATCH($B760,Customers!$A$2:$A$101,0))</f>
        <v>Anahita Shankar</v>
      </c>
      <c r="R760" s="79" t="n">
        <f aca="false">MONTH($E760)</f>
        <v>11</v>
      </c>
      <c r="S760" s="79" t="str">
        <f aca="false">INDEX(Lists!$B$2:$B$13,$R760)</f>
        <v>November</v>
      </c>
      <c r="T760" s="79" t="n">
        <f aca="false">HOUR($F760)</f>
        <v>6</v>
      </c>
      <c r="U760" s="79" t="n">
        <f aca="false">WEEKDAY($E760,2)</f>
        <v>4</v>
      </c>
      <c r="V760" s="79" t="str">
        <f aca="false">INDEX(Lists!$F$2:$F$8,$U760)</f>
        <v>Thursday</v>
      </c>
      <c r="W760" s="81" t="n">
        <f aca="false">($G760+$H760)-($E760+$F760)</f>
        <v>8.99631944444444</v>
      </c>
      <c r="X760" s="79" t="str">
        <f aca="false">LOOKUP($M760,Lists!$G$2:$G$5,Lists!$H$2:$H$5)</f>
        <v>₹0 - 499</v>
      </c>
      <c r="Y760" s="79" t="str">
        <f aca="false">LOOKUP($W760,Lists!$I$2:$I$7,Lists!$J$2:$J$7)</f>
        <v>8 - 10 days</v>
      </c>
    </row>
    <row r="761" customFormat="false" ht="15" hidden="false" customHeight="false" outlineLevel="0" collapsed="false">
      <c r="A761" s="2" t="n">
        <v>760</v>
      </c>
      <c r="B761" s="2" t="s">
        <v>233</v>
      </c>
      <c r="C761" s="2" t="n">
        <v>18</v>
      </c>
      <c r="D761" s="2" t="n">
        <v>1</v>
      </c>
      <c r="E761" s="82" t="n">
        <v>45188</v>
      </c>
      <c r="F761" s="83" t="n">
        <v>0.102835648148148</v>
      </c>
      <c r="G761" s="82" t="n">
        <v>45190</v>
      </c>
      <c r="H761" s="83" t="n">
        <v>0.56224537037037</v>
      </c>
      <c r="I761" s="2" t="s">
        <v>387</v>
      </c>
      <c r="J761" s="2" t="s">
        <v>31</v>
      </c>
      <c r="K761" s="46" t="str">
        <f aca="false">INDEX(Products!$B$2:$B$71,MATCH($C761,Products!$A$2:$A$71,0))</f>
        <v>Nemo Set</v>
      </c>
      <c r="L761" s="46" t="str">
        <f aca="false">INDEX(Products!$C$2:$C$71,MATCH($C761,Products!$A$2:$A$71,0))</f>
        <v>Plants</v>
      </c>
      <c r="M761" s="84" t="n">
        <f aca="false">INDEX(Products!$D$2:$D$71,MATCH($C761,Products!$A$2:$A$71,0))</f>
        <v>781</v>
      </c>
      <c r="N761" s="84" t="n">
        <f aca="false">$D761*$M761</f>
        <v>781</v>
      </c>
      <c r="O761" s="46" t="str">
        <f aca="false">INDEX(Customers!$C$2:$C$101,MATCH($B761,Customers!$A$2:$A$101,0))</f>
        <v>Vellore</v>
      </c>
      <c r="P761" s="46" t="str">
        <f aca="false">INDEX(Customers!$F$2:$F$101,MATCH($B761,Customers!$A$2:$A$101,0))</f>
        <v>Female</v>
      </c>
      <c r="Q761" s="46" t="str">
        <f aca="false">INDEX(Customers!$B$2:$B$101,MATCH($B761,Customers!$A$2:$A$101,0))</f>
        <v>Yasmin Sheth</v>
      </c>
      <c r="R761" s="46" t="n">
        <f aca="false">MONTH($E761)</f>
        <v>9</v>
      </c>
      <c r="S761" s="46" t="str">
        <f aca="false">INDEX(Lists!$B$2:$B$13,$R761)</f>
        <v>September</v>
      </c>
      <c r="T761" s="46" t="n">
        <f aca="false">HOUR($F761)</f>
        <v>2</v>
      </c>
      <c r="U761" s="46" t="n">
        <f aca="false">WEEKDAY($E761,2)</f>
        <v>2</v>
      </c>
      <c r="V761" s="46" t="str">
        <f aca="false">INDEX(Lists!$F$2:$F$8,$U761)</f>
        <v>Tuesday</v>
      </c>
      <c r="W761" s="85" t="n">
        <f aca="false">($G761+$H761)-($E761+$F761)</f>
        <v>2.45940972222222</v>
      </c>
      <c r="X761" s="46" t="str">
        <f aca="false">LOOKUP($M761,Lists!$G$2:$G$5,Lists!$H$2:$H$5)</f>
        <v>₹500 - 999</v>
      </c>
      <c r="Y761" s="46" t="str">
        <f aca="false">LOOKUP($W761,Lists!$I$2:$I$7,Lists!$J$2:$J$7)</f>
        <v>2 - 4 days</v>
      </c>
    </row>
    <row r="762" customFormat="false" ht="15" hidden="false" customHeight="false" outlineLevel="0" collapsed="false">
      <c r="A762" s="7" t="n">
        <v>761</v>
      </c>
      <c r="B762" s="7" t="s">
        <v>145</v>
      </c>
      <c r="C762" s="7" t="n">
        <v>24</v>
      </c>
      <c r="D762" s="7" t="n">
        <v>5</v>
      </c>
      <c r="E762" s="77" t="n">
        <v>45034</v>
      </c>
      <c r="F762" s="78" t="n">
        <v>0.142511574074074</v>
      </c>
      <c r="G762" s="77" t="n">
        <v>45041</v>
      </c>
      <c r="H762" s="78" t="n">
        <v>0.495671296296296</v>
      </c>
      <c r="I762" s="7" t="s">
        <v>160</v>
      </c>
      <c r="J762" s="7" t="s">
        <v>31</v>
      </c>
      <c r="K762" s="79" t="str">
        <f aca="false">INDEX(Products!$B$2:$B$71,MATCH($C762,Products!$A$2:$A$71,0))</f>
        <v>Ad Box</v>
      </c>
      <c r="L762" s="79" t="str">
        <f aca="false">INDEX(Products!$C$2:$C$71,MATCH($C762,Products!$A$2:$A$71,0))</f>
        <v>Mugs</v>
      </c>
      <c r="M762" s="80" t="n">
        <f aca="false">INDEX(Products!$D$2:$D$71,MATCH($C762,Products!$A$2:$A$71,0))</f>
        <v>535</v>
      </c>
      <c r="N762" s="80" t="n">
        <f aca="false">$D762*$M762</f>
        <v>2675</v>
      </c>
      <c r="O762" s="79" t="str">
        <f aca="false">INDEX(Customers!$C$2:$C$101,MATCH($B762,Customers!$A$2:$A$101,0))</f>
        <v>Chinsurah</v>
      </c>
      <c r="P762" s="79" t="str">
        <f aca="false">INDEX(Customers!$F$2:$F$101,MATCH($B762,Customers!$A$2:$A$101,0))</f>
        <v>Female</v>
      </c>
      <c r="Q762" s="79" t="str">
        <f aca="false">INDEX(Customers!$B$2:$B$101,MATCH($B762,Customers!$A$2:$A$101,0))</f>
        <v>Veer Ray</v>
      </c>
      <c r="R762" s="79" t="n">
        <f aca="false">MONTH($E762)</f>
        <v>4</v>
      </c>
      <c r="S762" s="79" t="str">
        <f aca="false">INDEX(Lists!$B$2:$B$13,$R762)</f>
        <v>April</v>
      </c>
      <c r="T762" s="79" t="n">
        <f aca="false">HOUR($F762)</f>
        <v>3</v>
      </c>
      <c r="U762" s="79" t="n">
        <f aca="false">WEEKDAY($E762,2)</f>
        <v>2</v>
      </c>
      <c r="V762" s="79" t="str">
        <f aca="false">INDEX(Lists!$F$2:$F$8,$U762)</f>
        <v>Tuesday</v>
      </c>
      <c r="W762" s="81" t="n">
        <f aca="false">($G762+$H762)-($E762+$F762)</f>
        <v>7.35315972222222</v>
      </c>
      <c r="X762" s="79" t="str">
        <f aca="false">LOOKUP($M762,Lists!$G$2:$G$5,Lists!$H$2:$H$5)</f>
        <v>₹500 - 999</v>
      </c>
      <c r="Y762" s="79" t="str">
        <f aca="false">LOOKUP($W762,Lists!$I$2:$I$7,Lists!$J$2:$J$7)</f>
        <v>6 - 8 days</v>
      </c>
    </row>
    <row r="763" customFormat="false" ht="15" hidden="false" customHeight="false" outlineLevel="0" collapsed="false">
      <c r="A763" s="2" t="n">
        <v>762</v>
      </c>
      <c r="B763" s="2" t="s">
        <v>294</v>
      </c>
      <c r="C763" s="2" t="n">
        <v>50</v>
      </c>
      <c r="D763" s="2" t="n">
        <v>1</v>
      </c>
      <c r="E763" s="82" t="n">
        <v>44983</v>
      </c>
      <c r="F763" s="83" t="n">
        <v>0.424525462962963</v>
      </c>
      <c r="G763" s="82" t="n">
        <v>44986</v>
      </c>
      <c r="H763" s="83" t="n">
        <v>0.16412037037037</v>
      </c>
      <c r="I763" s="2" t="s">
        <v>197</v>
      </c>
      <c r="J763" s="2" t="s">
        <v>33</v>
      </c>
      <c r="K763" s="46" t="str">
        <f aca="false">INDEX(Products!$B$2:$B$71,MATCH($C763,Products!$A$2:$A$71,0))</f>
        <v>Eligendi Set</v>
      </c>
      <c r="L763" s="46" t="str">
        <f aca="false">INDEX(Products!$C$2:$C$71,MATCH($C763,Products!$A$2:$A$71,0))</f>
        <v>Plants</v>
      </c>
      <c r="M763" s="84" t="n">
        <f aca="false">INDEX(Products!$D$2:$D$71,MATCH($C763,Products!$A$2:$A$71,0))</f>
        <v>422</v>
      </c>
      <c r="N763" s="84" t="n">
        <f aca="false">$D763*$M763</f>
        <v>422</v>
      </c>
      <c r="O763" s="46" t="str">
        <f aca="false">INDEX(Customers!$C$2:$C$101,MATCH($B763,Customers!$A$2:$A$101,0))</f>
        <v>Srikakulam</v>
      </c>
      <c r="P763" s="46" t="str">
        <f aca="false">INDEX(Customers!$F$2:$F$101,MATCH($B763,Customers!$A$2:$A$101,0))</f>
        <v>Male</v>
      </c>
      <c r="Q763" s="46" t="str">
        <f aca="false">INDEX(Customers!$B$2:$B$101,MATCH($B763,Customers!$A$2:$A$101,0))</f>
        <v>Indrajit Kale</v>
      </c>
      <c r="R763" s="46" t="n">
        <f aca="false">MONTH($E763)</f>
        <v>2</v>
      </c>
      <c r="S763" s="46" t="str">
        <f aca="false">INDEX(Lists!$B$2:$B$13,$R763)</f>
        <v>February</v>
      </c>
      <c r="T763" s="46" t="n">
        <f aca="false">HOUR($F763)</f>
        <v>10</v>
      </c>
      <c r="U763" s="46" t="n">
        <f aca="false">WEEKDAY($E763,2)</f>
        <v>7</v>
      </c>
      <c r="V763" s="46" t="str">
        <f aca="false">INDEX(Lists!$F$2:$F$8,$U763)</f>
        <v>Sunday</v>
      </c>
      <c r="W763" s="85" t="n">
        <f aca="false">($G763+$H763)-($E763+$F763)</f>
        <v>2.73959490740741</v>
      </c>
      <c r="X763" s="46" t="str">
        <f aca="false">LOOKUP($M763,Lists!$G$2:$G$5,Lists!$H$2:$H$5)</f>
        <v>₹0 - 499</v>
      </c>
      <c r="Y763" s="46" t="str">
        <f aca="false">LOOKUP($W763,Lists!$I$2:$I$7,Lists!$J$2:$J$7)</f>
        <v>2 - 4 days</v>
      </c>
    </row>
    <row r="764" customFormat="false" ht="15" hidden="false" customHeight="false" outlineLevel="0" collapsed="false">
      <c r="A764" s="7" t="n">
        <v>763</v>
      </c>
      <c r="B764" s="7" t="s">
        <v>311</v>
      </c>
      <c r="C764" s="7" t="n">
        <v>29</v>
      </c>
      <c r="D764" s="7" t="n">
        <v>4</v>
      </c>
      <c r="E764" s="77" t="n">
        <v>44987</v>
      </c>
      <c r="F764" s="78" t="n">
        <v>0.640381944444444</v>
      </c>
      <c r="G764" s="77" t="n">
        <v>44989</v>
      </c>
      <c r="H764" s="78" t="n">
        <v>0.187581018518519</v>
      </c>
      <c r="I764" s="7" t="s">
        <v>509</v>
      </c>
      <c r="J764" s="7" t="s">
        <v>33</v>
      </c>
      <c r="K764" s="79" t="str">
        <f aca="false">INDEX(Products!$B$2:$B$71,MATCH($C764,Products!$A$2:$A$71,0))</f>
        <v>In Set</v>
      </c>
      <c r="L764" s="79" t="str">
        <f aca="false">INDEX(Products!$C$2:$C$71,MATCH($C764,Products!$A$2:$A$71,0))</f>
        <v>Colors</v>
      </c>
      <c r="M764" s="80" t="n">
        <f aca="false">INDEX(Products!$D$2:$D$71,MATCH($C764,Products!$A$2:$A$71,0))</f>
        <v>1252</v>
      </c>
      <c r="N764" s="80" t="n">
        <f aca="false">$D764*$M764</f>
        <v>5008</v>
      </c>
      <c r="O764" s="79" t="str">
        <f aca="false">INDEX(Customers!$C$2:$C$101,MATCH($B764,Customers!$A$2:$A$101,0))</f>
        <v>Bhatpara</v>
      </c>
      <c r="P764" s="79" t="str">
        <f aca="false">INDEX(Customers!$F$2:$F$101,MATCH($B764,Customers!$A$2:$A$101,0))</f>
        <v>Male</v>
      </c>
      <c r="Q764" s="79" t="str">
        <f aca="false">INDEX(Customers!$B$2:$B$101,MATCH($B764,Customers!$A$2:$A$101,0))</f>
        <v>Emir Gokhale</v>
      </c>
      <c r="R764" s="79" t="n">
        <f aca="false">MONTH($E764)</f>
        <v>3</v>
      </c>
      <c r="S764" s="79" t="str">
        <f aca="false">INDEX(Lists!$B$2:$B$13,$R764)</f>
        <v>March</v>
      </c>
      <c r="T764" s="79" t="n">
        <f aca="false">HOUR($F764)</f>
        <v>15</v>
      </c>
      <c r="U764" s="79" t="n">
        <f aca="false">WEEKDAY($E764,2)</f>
        <v>4</v>
      </c>
      <c r="V764" s="79" t="str">
        <f aca="false">INDEX(Lists!$F$2:$F$8,$U764)</f>
        <v>Thursday</v>
      </c>
      <c r="W764" s="81" t="n">
        <f aca="false">($G764+$H764)-($E764+$F764)</f>
        <v>1.54719907407407</v>
      </c>
      <c r="X764" s="79" t="str">
        <f aca="false">LOOKUP($M764,Lists!$G$2:$G$5,Lists!$H$2:$H$5)</f>
        <v>₹1,000 - 1,499</v>
      </c>
      <c r="Y764" s="79" t="str">
        <f aca="false">LOOKUP($W764,Lists!$I$2:$I$7,Lists!$J$2:$J$7)</f>
        <v>0 - 2 days</v>
      </c>
    </row>
    <row r="765" customFormat="false" ht="15" hidden="false" customHeight="false" outlineLevel="0" collapsed="false">
      <c r="A765" s="2" t="n">
        <v>764</v>
      </c>
      <c r="B765" s="2" t="s">
        <v>221</v>
      </c>
      <c r="C765" s="2" t="n">
        <v>65</v>
      </c>
      <c r="D765" s="2" t="n">
        <v>3</v>
      </c>
      <c r="E765" s="82" t="n">
        <v>45139</v>
      </c>
      <c r="F765" s="83" t="n">
        <v>0.833055555555556</v>
      </c>
      <c r="G765" s="82" t="n">
        <v>45143</v>
      </c>
      <c r="H765" s="83" t="n">
        <v>0.392083333333333</v>
      </c>
      <c r="I765" s="2" t="s">
        <v>220</v>
      </c>
      <c r="J765" s="2" t="s">
        <v>165</v>
      </c>
      <c r="K765" s="46" t="str">
        <f aca="false">INDEX(Products!$B$2:$B$71,MATCH($C765,Products!$A$2:$A$71,0))</f>
        <v>Error Gift</v>
      </c>
      <c r="L765" s="46" t="str">
        <f aca="false">INDEX(Products!$C$2:$C$71,MATCH($C765,Products!$A$2:$A$71,0))</f>
        <v>Raksha Bandhan</v>
      </c>
      <c r="M765" s="84" t="n">
        <f aca="false">INDEX(Products!$D$2:$D$71,MATCH($C765,Products!$A$2:$A$71,0))</f>
        <v>1895</v>
      </c>
      <c r="N765" s="84" t="n">
        <f aca="false">$D765*$M765</f>
        <v>5685</v>
      </c>
      <c r="O765" s="46" t="str">
        <f aca="false">INDEX(Customers!$C$2:$C$101,MATCH($B765,Customers!$A$2:$A$101,0))</f>
        <v>Kamarhati</v>
      </c>
      <c r="P765" s="46" t="str">
        <f aca="false">INDEX(Customers!$F$2:$F$101,MATCH($B765,Customers!$A$2:$A$101,0))</f>
        <v>Male</v>
      </c>
      <c r="Q765" s="46" t="str">
        <f aca="false">INDEX(Customers!$B$2:$B$101,MATCH($B765,Customers!$A$2:$A$101,0))</f>
        <v>Kaira Bahl</v>
      </c>
      <c r="R765" s="46" t="n">
        <f aca="false">MONTH($E765)</f>
        <v>8</v>
      </c>
      <c r="S765" s="46" t="str">
        <f aca="false">INDEX(Lists!$B$2:$B$13,$R765)</f>
        <v>August</v>
      </c>
      <c r="T765" s="46" t="n">
        <f aca="false">HOUR($F765)</f>
        <v>19</v>
      </c>
      <c r="U765" s="46" t="n">
        <f aca="false">WEEKDAY($E765,2)</f>
        <v>2</v>
      </c>
      <c r="V765" s="46" t="str">
        <f aca="false">INDEX(Lists!$F$2:$F$8,$U765)</f>
        <v>Tuesday</v>
      </c>
      <c r="W765" s="85" t="n">
        <f aca="false">($G765+$H765)-($E765+$F765)</f>
        <v>3.55902777777778</v>
      </c>
      <c r="X765" s="46" t="str">
        <f aca="false">LOOKUP($M765,Lists!$G$2:$G$5,Lists!$H$2:$H$5)</f>
        <v>₹1,500 - 2,000</v>
      </c>
      <c r="Y765" s="46" t="str">
        <f aca="false">LOOKUP($W765,Lists!$I$2:$I$7,Lists!$J$2:$J$7)</f>
        <v>2 - 4 days</v>
      </c>
    </row>
    <row r="766" customFormat="false" ht="15" hidden="false" customHeight="false" outlineLevel="0" collapsed="false">
      <c r="A766" s="7" t="n">
        <v>765</v>
      </c>
      <c r="B766" s="7" t="s">
        <v>269</v>
      </c>
      <c r="C766" s="7" t="n">
        <v>41</v>
      </c>
      <c r="D766" s="7" t="n">
        <v>2</v>
      </c>
      <c r="E766" s="77" t="n">
        <v>45233</v>
      </c>
      <c r="F766" s="78" t="n">
        <v>0.109490740740741</v>
      </c>
      <c r="G766" s="77" t="n">
        <v>45236</v>
      </c>
      <c r="H766" s="78" t="n">
        <v>0.161423611111111</v>
      </c>
      <c r="I766" s="7" t="s">
        <v>160</v>
      </c>
      <c r="J766" s="7" t="s">
        <v>32</v>
      </c>
      <c r="K766" s="79" t="str">
        <f aca="false">INDEX(Products!$B$2:$B$71,MATCH($C766,Products!$A$2:$A$71,0))</f>
        <v>Aut Box</v>
      </c>
      <c r="L766" s="79" t="str">
        <f aca="false">INDEX(Products!$C$2:$C$71,MATCH($C766,Products!$A$2:$A$71,0))</f>
        <v>Sweets</v>
      </c>
      <c r="M766" s="80" t="n">
        <f aca="false">INDEX(Products!$D$2:$D$71,MATCH($C766,Products!$A$2:$A$71,0))</f>
        <v>1977</v>
      </c>
      <c r="N766" s="80" t="n">
        <f aca="false">$D766*$M766</f>
        <v>3954</v>
      </c>
      <c r="O766" s="79" t="str">
        <f aca="false">INDEX(Customers!$C$2:$C$101,MATCH($B766,Customers!$A$2:$A$101,0))</f>
        <v>Imphal</v>
      </c>
      <c r="P766" s="79" t="str">
        <f aca="false">INDEX(Customers!$F$2:$F$101,MATCH($B766,Customers!$A$2:$A$101,0))</f>
        <v>Male</v>
      </c>
      <c r="Q766" s="79" t="str">
        <f aca="false">INDEX(Customers!$B$2:$B$101,MATCH($B766,Customers!$A$2:$A$101,0))</f>
        <v>Umang Luthra</v>
      </c>
      <c r="R766" s="79" t="n">
        <f aca="false">MONTH($E766)</f>
        <v>11</v>
      </c>
      <c r="S766" s="79" t="str">
        <f aca="false">INDEX(Lists!$B$2:$B$13,$R766)</f>
        <v>November</v>
      </c>
      <c r="T766" s="79" t="n">
        <f aca="false">HOUR($F766)</f>
        <v>2</v>
      </c>
      <c r="U766" s="79" t="n">
        <f aca="false">WEEKDAY($E766,2)</f>
        <v>5</v>
      </c>
      <c r="V766" s="79" t="str">
        <f aca="false">INDEX(Lists!$F$2:$F$8,$U766)</f>
        <v>Friday</v>
      </c>
      <c r="W766" s="81" t="n">
        <f aca="false">($G766+$H766)-($E766+$F766)</f>
        <v>3.05193287037037</v>
      </c>
      <c r="X766" s="79" t="str">
        <f aca="false">LOOKUP($M766,Lists!$G$2:$G$5,Lists!$H$2:$H$5)</f>
        <v>₹1,500 - 2,000</v>
      </c>
      <c r="Y766" s="79" t="str">
        <f aca="false">LOOKUP($W766,Lists!$I$2:$I$7,Lists!$J$2:$J$7)</f>
        <v>2 - 4 days</v>
      </c>
    </row>
    <row r="767" customFormat="false" ht="15" hidden="false" customHeight="false" outlineLevel="0" collapsed="false">
      <c r="A767" s="2" t="n">
        <v>766</v>
      </c>
      <c r="B767" s="2" t="s">
        <v>331</v>
      </c>
      <c r="C767" s="2" t="n">
        <v>1</v>
      </c>
      <c r="D767" s="2" t="n">
        <v>4</v>
      </c>
      <c r="E767" s="82" t="n">
        <v>45109</v>
      </c>
      <c r="F767" s="83" t="n">
        <v>0.686724537037037</v>
      </c>
      <c r="G767" s="82" t="n">
        <v>45114</v>
      </c>
      <c r="H767" s="83" t="n">
        <v>0.0137037037037037</v>
      </c>
      <c r="I767" s="2" t="s">
        <v>412</v>
      </c>
      <c r="J767" s="2" t="s">
        <v>165</v>
      </c>
      <c r="K767" s="46" t="str">
        <f aca="false">INDEX(Products!$B$2:$B$71,MATCH($C767,Products!$A$2:$A$71,0))</f>
        <v>Magnam Set</v>
      </c>
      <c r="L767" s="46" t="str">
        <f aca="false">INDEX(Products!$C$2:$C$71,MATCH($C767,Products!$A$2:$A$71,0))</f>
        <v>Soft Toys</v>
      </c>
      <c r="M767" s="84" t="n">
        <f aca="false">INDEX(Products!$D$2:$D$71,MATCH($C767,Products!$A$2:$A$71,0))</f>
        <v>1935</v>
      </c>
      <c r="N767" s="84" t="n">
        <f aca="false">$D767*$M767</f>
        <v>7740</v>
      </c>
      <c r="O767" s="46" t="str">
        <f aca="false">INDEX(Customers!$C$2:$C$101,MATCH($B767,Customers!$A$2:$A$101,0))</f>
        <v>Panchkula</v>
      </c>
      <c r="P767" s="46" t="str">
        <f aca="false">INDEX(Customers!$F$2:$F$101,MATCH($B767,Customers!$A$2:$A$101,0))</f>
        <v>Female</v>
      </c>
      <c r="Q767" s="46" t="str">
        <f aca="false">INDEX(Customers!$B$2:$B$101,MATCH($B767,Customers!$A$2:$A$101,0))</f>
        <v>Gokul Ahluwalia</v>
      </c>
      <c r="R767" s="46" t="n">
        <f aca="false">MONTH($E767)</f>
        <v>7</v>
      </c>
      <c r="S767" s="46" t="str">
        <f aca="false">INDEX(Lists!$B$2:$B$13,$R767)</f>
        <v>July</v>
      </c>
      <c r="T767" s="46" t="n">
        <f aca="false">HOUR($F767)</f>
        <v>16</v>
      </c>
      <c r="U767" s="46" t="n">
        <f aca="false">WEEKDAY($E767,2)</f>
        <v>7</v>
      </c>
      <c r="V767" s="46" t="str">
        <f aca="false">INDEX(Lists!$F$2:$F$8,$U767)</f>
        <v>Sunday</v>
      </c>
      <c r="W767" s="85" t="n">
        <f aca="false">($G767+$H767)-($E767+$F767)</f>
        <v>4.32697916666667</v>
      </c>
      <c r="X767" s="46" t="str">
        <f aca="false">LOOKUP($M767,Lists!$G$2:$G$5,Lists!$H$2:$H$5)</f>
        <v>₹1,500 - 2,000</v>
      </c>
      <c r="Y767" s="46" t="str">
        <f aca="false">LOOKUP($W767,Lists!$I$2:$I$7,Lists!$J$2:$J$7)</f>
        <v>4 - 6 days</v>
      </c>
    </row>
    <row r="768" customFormat="false" ht="15" hidden="false" customHeight="false" outlineLevel="0" collapsed="false">
      <c r="A768" s="7" t="n">
        <v>767</v>
      </c>
      <c r="B768" s="7" t="s">
        <v>331</v>
      </c>
      <c r="C768" s="7" t="n">
        <v>13</v>
      </c>
      <c r="D768" s="7" t="n">
        <v>2</v>
      </c>
      <c r="E768" s="77" t="n">
        <v>44988</v>
      </c>
      <c r="F768" s="78" t="n">
        <v>0.0980671296296296</v>
      </c>
      <c r="G768" s="77" t="n">
        <v>44989</v>
      </c>
      <c r="H768" s="78" t="n">
        <v>0.0103356481481482</v>
      </c>
      <c r="I768" s="7" t="s">
        <v>548</v>
      </c>
      <c r="J768" s="7" t="s">
        <v>33</v>
      </c>
      <c r="K768" s="79" t="str">
        <f aca="false">INDEX(Products!$B$2:$B$71,MATCH($C768,Products!$A$2:$A$71,0))</f>
        <v>Et Set</v>
      </c>
      <c r="L768" s="79" t="str">
        <f aca="false">INDEX(Products!$C$2:$C$71,MATCH($C768,Products!$A$2:$A$71,0))</f>
        <v>Mugs</v>
      </c>
      <c r="M768" s="80" t="n">
        <f aca="false">INDEX(Products!$D$2:$D$71,MATCH($C768,Products!$A$2:$A$71,0))</f>
        <v>1141</v>
      </c>
      <c r="N768" s="80" t="n">
        <f aca="false">$D768*$M768</f>
        <v>2282</v>
      </c>
      <c r="O768" s="79" t="str">
        <f aca="false">INDEX(Customers!$C$2:$C$101,MATCH($B768,Customers!$A$2:$A$101,0))</f>
        <v>Panchkula</v>
      </c>
      <c r="P768" s="79" t="str">
        <f aca="false">INDEX(Customers!$F$2:$F$101,MATCH($B768,Customers!$A$2:$A$101,0))</f>
        <v>Female</v>
      </c>
      <c r="Q768" s="79" t="str">
        <f aca="false">INDEX(Customers!$B$2:$B$101,MATCH($B768,Customers!$A$2:$A$101,0))</f>
        <v>Gokul Ahluwalia</v>
      </c>
      <c r="R768" s="79" t="n">
        <f aca="false">MONTH($E768)</f>
        <v>3</v>
      </c>
      <c r="S768" s="79" t="str">
        <f aca="false">INDEX(Lists!$B$2:$B$13,$R768)</f>
        <v>March</v>
      </c>
      <c r="T768" s="79" t="n">
        <f aca="false">HOUR($F768)</f>
        <v>2</v>
      </c>
      <c r="U768" s="79" t="n">
        <f aca="false">WEEKDAY($E768,2)</f>
        <v>5</v>
      </c>
      <c r="V768" s="79" t="str">
        <f aca="false">INDEX(Lists!$F$2:$F$8,$U768)</f>
        <v>Friday</v>
      </c>
      <c r="W768" s="81" t="n">
        <f aca="false">($G768+$H768)-($E768+$F768)</f>
        <v>0.912268518518519</v>
      </c>
      <c r="X768" s="79" t="str">
        <f aca="false">LOOKUP($M768,Lists!$G$2:$G$5,Lists!$H$2:$H$5)</f>
        <v>₹1,000 - 1,499</v>
      </c>
      <c r="Y768" s="79" t="str">
        <f aca="false">LOOKUP($W768,Lists!$I$2:$I$7,Lists!$J$2:$J$7)</f>
        <v>0 - 2 days</v>
      </c>
    </row>
    <row r="769" customFormat="false" ht="15" hidden="false" customHeight="false" outlineLevel="0" collapsed="false">
      <c r="A769" s="2" t="n">
        <v>768</v>
      </c>
      <c r="B769" s="2" t="s">
        <v>357</v>
      </c>
      <c r="C769" s="2" t="n">
        <v>1</v>
      </c>
      <c r="D769" s="2" t="n">
        <v>1</v>
      </c>
      <c r="E769" s="82" t="n">
        <v>45241</v>
      </c>
      <c r="F769" s="83" t="n">
        <v>0.776168981481482</v>
      </c>
      <c r="G769" s="82" t="n">
        <v>45246</v>
      </c>
      <c r="H769" s="83" t="n">
        <v>0.513680555555556</v>
      </c>
      <c r="I769" s="2" t="s">
        <v>416</v>
      </c>
      <c r="J769" s="2" t="s">
        <v>165</v>
      </c>
      <c r="K769" s="46" t="str">
        <f aca="false">INDEX(Products!$B$2:$B$71,MATCH($C769,Products!$A$2:$A$71,0))</f>
        <v>Magnam Set</v>
      </c>
      <c r="L769" s="46" t="str">
        <f aca="false">INDEX(Products!$C$2:$C$71,MATCH($C769,Products!$A$2:$A$71,0))</f>
        <v>Soft Toys</v>
      </c>
      <c r="M769" s="84" t="n">
        <f aca="false">INDEX(Products!$D$2:$D$71,MATCH($C769,Products!$A$2:$A$71,0))</f>
        <v>1935</v>
      </c>
      <c r="N769" s="84" t="n">
        <f aca="false">$D769*$M769</f>
        <v>1935</v>
      </c>
      <c r="O769" s="46" t="str">
        <f aca="false">INDEX(Customers!$C$2:$C$101,MATCH($B769,Customers!$A$2:$A$101,0))</f>
        <v>North Dumdum</v>
      </c>
      <c r="P769" s="46" t="str">
        <f aca="false">INDEX(Customers!$F$2:$F$101,MATCH($B769,Customers!$A$2:$A$101,0))</f>
        <v>Female</v>
      </c>
      <c r="Q769" s="46" t="str">
        <f aca="false">INDEX(Customers!$B$2:$B$101,MATCH($B769,Customers!$A$2:$A$101,0))</f>
        <v>Rania Bhatt</v>
      </c>
      <c r="R769" s="46" t="n">
        <f aca="false">MONTH($E769)</f>
        <v>11</v>
      </c>
      <c r="S769" s="46" t="str">
        <f aca="false">INDEX(Lists!$B$2:$B$13,$R769)</f>
        <v>November</v>
      </c>
      <c r="T769" s="46" t="n">
        <f aca="false">HOUR($F769)</f>
        <v>18</v>
      </c>
      <c r="U769" s="46" t="n">
        <f aca="false">WEEKDAY($E769,2)</f>
        <v>6</v>
      </c>
      <c r="V769" s="46" t="str">
        <f aca="false">INDEX(Lists!$F$2:$F$8,$U769)</f>
        <v>Saturday</v>
      </c>
      <c r="W769" s="85" t="n">
        <f aca="false">($G769+$H769)-($E769+$F769)</f>
        <v>4.73751157407407</v>
      </c>
      <c r="X769" s="46" t="str">
        <f aca="false">LOOKUP($M769,Lists!$G$2:$G$5,Lists!$H$2:$H$5)</f>
        <v>₹1,500 - 2,000</v>
      </c>
      <c r="Y769" s="46" t="str">
        <f aca="false">LOOKUP($W769,Lists!$I$2:$I$7,Lists!$J$2:$J$7)</f>
        <v>4 - 6 days</v>
      </c>
    </row>
    <row r="770" customFormat="false" ht="15" hidden="false" customHeight="false" outlineLevel="0" collapsed="false">
      <c r="A770" s="7" t="n">
        <v>769</v>
      </c>
      <c r="B770" s="7" t="s">
        <v>196</v>
      </c>
      <c r="C770" s="7" t="n">
        <v>28</v>
      </c>
      <c r="D770" s="7" t="n">
        <v>2</v>
      </c>
      <c r="E770" s="77" t="n">
        <v>45163</v>
      </c>
      <c r="F770" s="78" t="n">
        <v>0.401145833333333</v>
      </c>
      <c r="G770" s="77" t="n">
        <v>45171</v>
      </c>
      <c r="H770" s="78" t="n">
        <v>0.840509259259259</v>
      </c>
      <c r="I770" s="7" t="s">
        <v>514</v>
      </c>
      <c r="J770" s="7" t="s">
        <v>40</v>
      </c>
      <c r="K770" s="79" t="str">
        <f aca="false">INDEX(Products!$B$2:$B$71,MATCH($C770,Products!$A$2:$A$71,0))</f>
        <v>Velit Set</v>
      </c>
      <c r="L770" s="79" t="str">
        <f aca="false">INDEX(Products!$C$2:$C$71,MATCH($C770,Products!$A$2:$A$71,0))</f>
        <v>Sweets</v>
      </c>
      <c r="M770" s="80" t="n">
        <f aca="false">INDEX(Products!$D$2:$D$71,MATCH($C770,Products!$A$2:$A$71,0))</f>
        <v>1778</v>
      </c>
      <c r="N770" s="80" t="n">
        <f aca="false">$D770*$M770</f>
        <v>3556</v>
      </c>
      <c r="O770" s="79" t="str">
        <f aca="false">INDEX(Customers!$C$2:$C$101,MATCH($B770,Customers!$A$2:$A$101,0))</f>
        <v>Haridwar</v>
      </c>
      <c r="P770" s="79" t="str">
        <f aca="false">INDEX(Customers!$F$2:$F$101,MATCH($B770,Customers!$A$2:$A$101,0))</f>
        <v>Female</v>
      </c>
      <c r="Q770" s="79" t="str">
        <f aca="false">INDEX(Customers!$B$2:$B$101,MATCH($B770,Customers!$A$2:$A$101,0))</f>
        <v>Badal Sathe</v>
      </c>
      <c r="R770" s="79" t="n">
        <f aca="false">MONTH($E770)</f>
        <v>8</v>
      </c>
      <c r="S770" s="79" t="str">
        <f aca="false">INDEX(Lists!$B$2:$B$13,$R770)</f>
        <v>August</v>
      </c>
      <c r="T770" s="79" t="n">
        <f aca="false">HOUR($F770)</f>
        <v>9</v>
      </c>
      <c r="U770" s="79" t="n">
        <f aca="false">WEEKDAY($E770,2)</f>
        <v>5</v>
      </c>
      <c r="V770" s="79" t="str">
        <f aca="false">INDEX(Lists!$F$2:$F$8,$U770)</f>
        <v>Friday</v>
      </c>
      <c r="W770" s="81" t="n">
        <f aca="false">($G770+$H770)-($E770+$F770)</f>
        <v>8.43936342592593</v>
      </c>
      <c r="X770" s="79" t="str">
        <f aca="false">LOOKUP($M770,Lists!$G$2:$G$5,Lists!$H$2:$H$5)</f>
        <v>₹1,500 - 2,000</v>
      </c>
      <c r="Y770" s="79" t="str">
        <f aca="false">LOOKUP($W770,Lists!$I$2:$I$7,Lists!$J$2:$J$7)</f>
        <v>8 - 10 days</v>
      </c>
    </row>
    <row r="771" customFormat="false" ht="15" hidden="false" customHeight="false" outlineLevel="0" collapsed="false">
      <c r="A771" s="2" t="n">
        <v>770</v>
      </c>
      <c r="B771" s="2" t="s">
        <v>338</v>
      </c>
      <c r="C771" s="2" t="n">
        <v>25</v>
      </c>
      <c r="D771" s="2" t="n">
        <v>3</v>
      </c>
      <c r="E771" s="82" t="n">
        <v>45075</v>
      </c>
      <c r="F771" s="83" t="n">
        <v>0.0145486111111111</v>
      </c>
      <c r="G771" s="82" t="n">
        <v>45084</v>
      </c>
      <c r="H771" s="83" t="n">
        <v>0.402222222222222</v>
      </c>
      <c r="I771" s="2" t="s">
        <v>518</v>
      </c>
      <c r="J771" s="2" t="s">
        <v>168</v>
      </c>
      <c r="K771" s="46" t="str">
        <f aca="false">INDEX(Products!$B$2:$B$71,MATCH($C771,Products!$A$2:$A$71,0))</f>
        <v>Qui Gift</v>
      </c>
      <c r="L771" s="46" t="str">
        <f aca="false">INDEX(Products!$C$2:$C$71,MATCH($C771,Products!$A$2:$A$71,0))</f>
        <v>Plants</v>
      </c>
      <c r="M771" s="84" t="n">
        <f aca="false">INDEX(Products!$D$2:$D$71,MATCH($C771,Products!$A$2:$A$71,0))</f>
        <v>1202</v>
      </c>
      <c r="N771" s="84" t="n">
        <f aca="false">$D771*$M771</f>
        <v>3606</v>
      </c>
      <c r="O771" s="46" t="str">
        <f aca="false">INDEX(Customers!$C$2:$C$101,MATCH($B771,Customers!$A$2:$A$101,0))</f>
        <v>Bhopal</v>
      </c>
      <c r="P771" s="46" t="str">
        <f aca="false">INDEX(Customers!$F$2:$F$101,MATCH($B771,Customers!$A$2:$A$101,0))</f>
        <v>Male</v>
      </c>
      <c r="Q771" s="46" t="str">
        <f aca="false">INDEX(Customers!$B$2:$B$101,MATCH($B771,Customers!$A$2:$A$101,0))</f>
        <v>Mohanlal Garde</v>
      </c>
      <c r="R771" s="46" t="n">
        <f aca="false">MONTH($E771)</f>
        <v>5</v>
      </c>
      <c r="S771" s="46" t="str">
        <f aca="false">INDEX(Lists!$B$2:$B$13,$R771)</f>
        <v>May</v>
      </c>
      <c r="T771" s="46" t="n">
        <f aca="false">HOUR($F771)</f>
        <v>0</v>
      </c>
      <c r="U771" s="46" t="n">
        <f aca="false">WEEKDAY($E771,2)</f>
        <v>1</v>
      </c>
      <c r="V771" s="46" t="str">
        <f aca="false">INDEX(Lists!$F$2:$F$8,$U771)</f>
        <v>Monday</v>
      </c>
      <c r="W771" s="85" t="n">
        <f aca="false">($G771+$H771)-($E771+$F771)</f>
        <v>9.38767361111111</v>
      </c>
      <c r="X771" s="46" t="str">
        <f aca="false">LOOKUP($M771,Lists!$G$2:$G$5,Lists!$H$2:$H$5)</f>
        <v>₹1,000 - 1,499</v>
      </c>
      <c r="Y771" s="46" t="str">
        <f aca="false">LOOKUP($W771,Lists!$I$2:$I$7,Lists!$J$2:$J$7)</f>
        <v>8 - 10 days</v>
      </c>
    </row>
    <row r="772" customFormat="false" ht="15" hidden="false" customHeight="false" outlineLevel="0" collapsed="false">
      <c r="A772" s="7" t="n">
        <v>771</v>
      </c>
      <c r="B772" s="7" t="s">
        <v>272</v>
      </c>
      <c r="C772" s="7" t="n">
        <v>9</v>
      </c>
      <c r="D772" s="7" t="n">
        <v>2</v>
      </c>
      <c r="E772" s="77" t="n">
        <v>45164</v>
      </c>
      <c r="F772" s="78" t="n">
        <v>0.708414351851852</v>
      </c>
      <c r="G772" s="77" t="n">
        <v>45170</v>
      </c>
      <c r="H772" s="78" t="n">
        <v>0.454351851851852</v>
      </c>
      <c r="I772" s="7" t="s">
        <v>606</v>
      </c>
      <c r="J772" s="7" t="s">
        <v>40</v>
      </c>
      <c r="K772" s="79" t="str">
        <f aca="false">INDEX(Products!$B$2:$B$71,MATCH($C772,Products!$A$2:$A$71,0))</f>
        <v>Aperiam Box</v>
      </c>
      <c r="L772" s="79" t="str">
        <f aca="false">INDEX(Products!$C$2:$C$71,MATCH($C772,Products!$A$2:$A$71,0))</f>
        <v>Colors</v>
      </c>
      <c r="M772" s="80" t="n">
        <f aca="false">INDEX(Products!$D$2:$D$71,MATCH($C772,Products!$A$2:$A$71,0))</f>
        <v>1605</v>
      </c>
      <c r="N772" s="80" t="n">
        <f aca="false">$D772*$M772</f>
        <v>3210</v>
      </c>
      <c r="O772" s="79" t="str">
        <f aca="false">INDEX(Customers!$C$2:$C$101,MATCH($B772,Customers!$A$2:$A$101,0))</f>
        <v>Haridwar</v>
      </c>
      <c r="P772" s="79" t="str">
        <f aca="false">INDEX(Customers!$F$2:$F$101,MATCH($B772,Customers!$A$2:$A$101,0))</f>
        <v>Male</v>
      </c>
      <c r="Q772" s="79" t="str">
        <f aca="false">INDEX(Customers!$B$2:$B$101,MATCH($B772,Customers!$A$2:$A$101,0))</f>
        <v>Pihu Choudhury</v>
      </c>
      <c r="R772" s="79" t="n">
        <f aca="false">MONTH($E772)</f>
        <v>8</v>
      </c>
      <c r="S772" s="79" t="str">
        <f aca="false">INDEX(Lists!$B$2:$B$13,$R772)</f>
        <v>August</v>
      </c>
      <c r="T772" s="79" t="n">
        <f aca="false">HOUR($F772)</f>
        <v>17</v>
      </c>
      <c r="U772" s="79" t="n">
        <f aca="false">WEEKDAY($E772,2)</f>
        <v>6</v>
      </c>
      <c r="V772" s="79" t="str">
        <f aca="false">INDEX(Lists!$F$2:$F$8,$U772)</f>
        <v>Saturday</v>
      </c>
      <c r="W772" s="81" t="n">
        <f aca="false">($G772+$H772)-($E772+$F772)</f>
        <v>5.7459375</v>
      </c>
      <c r="X772" s="79" t="str">
        <f aca="false">LOOKUP($M772,Lists!$G$2:$G$5,Lists!$H$2:$H$5)</f>
        <v>₹1,500 - 2,000</v>
      </c>
      <c r="Y772" s="79" t="str">
        <f aca="false">LOOKUP($W772,Lists!$I$2:$I$7,Lists!$J$2:$J$7)</f>
        <v>4 - 6 days</v>
      </c>
    </row>
    <row r="773" customFormat="false" ht="15" hidden="false" customHeight="false" outlineLevel="0" collapsed="false">
      <c r="A773" s="2" t="n">
        <v>772</v>
      </c>
      <c r="B773" s="2" t="s">
        <v>353</v>
      </c>
      <c r="C773" s="2" t="n">
        <v>35</v>
      </c>
      <c r="D773" s="2" t="n">
        <v>5</v>
      </c>
      <c r="E773" s="82" t="n">
        <v>44986</v>
      </c>
      <c r="F773" s="83" t="n">
        <v>0.210486111111111</v>
      </c>
      <c r="G773" s="82" t="n">
        <v>44989</v>
      </c>
      <c r="H773" s="83" t="n">
        <v>0.347280092592593</v>
      </c>
      <c r="I773" s="2" t="s">
        <v>475</v>
      </c>
      <c r="J773" s="2" t="s">
        <v>33</v>
      </c>
      <c r="K773" s="46" t="str">
        <f aca="false">INDEX(Products!$B$2:$B$71,MATCH($C773,Products!$A$2:$A$71,0))</f>
        <v>Nam Gift</v>
      </c>
      <c r="L773" s="46" t="str">
        <f aca="false">INDEX(Products!$C$2:$C$71,MATCH($C773,Products!$A$2:$A$71,0))</f>
        <v>Colors</v>
      </c>
      <c r="M773" s="84" t="n">
        <f aca="false">INDEX(Products!$D$2:$D$71,MATCH($C773,Products!$A$2:$A$71,0))</f>
        <v>1865</v>
      </c>
      <c r="N773" s="84" t="n">
        <f aca="false">$D773*$M773</f>
        <v>9325</v>
      </c>
      <c r="O773" s="46" t="str">
        <f aca="false">INDEX(Customers!$C$2:$C$101,MATCH($B773,Customers!$A$2:$A$101,0))</f>
        <v>Raipur</v>
      </c>
      <c r="P773" s="46" t="str">
        <f aca="false">INDEX(Customers!$F$2:$F$101,MATCH($B773,Customers!$A$2:$A$101,0))</f>
        <v>Male</v>
      </c>
      <c r="Q773" s="46" t="str">
        <f aca="false">INDEX(Customers!$B$2:$B$101,MATCH($B773,Customers!$A$2:$A$101,0))</f>
        <v>Bhamini Johal</v>
      </c>
      <c r="R773" s="46" t="n">
        <f aca="false">MONTH($E773)</f>
        <v>3</v>
      </c>
      <c r="S773" s="46" t="str">
        <f aca="false">INDEX(Lists!$B$2:$B$13,$R773)</f>
        <v>March</v>
      </c>
      <c r="T773" s="46" t="n">
        <f aca="false">HOUR($F773)</f>
        <v>5</v>
      </c>
      <c r="U773" s="46" t="n">
        <f aca="false">WEEKDAY($E773,2)</f>
        <v>3</v>
      </c>
      <c r="V773" s="46" t="str">
        <f aca="false">INDEX(Lists!$F$2:$F$8,$U773)</f>
        <v>Wednesday</v>
      </c>
      <c r="W773" s="85" t="n">
        <f aca="false">($G773+$H773)-($E773+$F773)</f>
        <v>3.13679398148148</v>
      </c>
      <c r="X773" s="46" t="str">
        <f aca="false">LOOKUP($M773,Lists!$G$2:$G$5,Lists!$H$2:$H$5)</f>
        <v>₹1,500 - 2,000</v>
      </c>
      <c r="Y773" s="46" t="str">
        <f aca="false">LOOKUP($W773,Lists!$I$2:$I$7,Lists!$J$2:$J$7)</f>
        <v>2 - 4 days</v>
      </c>
    </row>
    <row r="774" customFormat="false" ht="15" hidden="false" customHeight="false" outlineLevel="0" collapsed="false">
      <c r="A774" s="7" t="n">
        <v>773</v>
      </c>
      <c r="B774" s="7" t="s">
        <v>200</v>
      </c>
      <c r="C774" s="7" t="n">
        <v>39</v>
      </c>
      <c r="D774" s="7" t="n">
        <v>4</v>
      </c>
      <c r="E774" s="77" t="n">
        <v>44933</v>
      </c>
      <c r="F774" s="78" t="n">
        <v>0.09125</v>
      </c>
      <c r="G774" s="77" t="n">
        <v>44939</v>
      </c>
      <c r="H774" s="78" t="n">
        <v>0.991597222222222</v>
      </c>
      <c r="I774" s="7" t="s">
        <v>449</v>
      </c>
      <c r="J774" s="7" t="s">
        <v>165</v>
      </c>
      <c r="K774" s="79" t="str">
        <f aca="false">INDEX(Products!$B$2:$B$71,MATCH($C774,Products!$A$2:$A$71,0))</f>
        <v>Voluptate Set</v>
      </c>
      <c r="L774" s="79" t="str">
        <f aca="false">INDEX(Products!$C$2:$C$71,MATCH($C774,Products!$A$2:$A$71,0))</f>
        <v>Mugs</v>
      </c>
      <c r="M774" s="80" t="n">
        <f aca="false">INDEX(Products!$D$2:$D$71,MATCH($C774,Products!$A$2:$A$71,0))</f>
        <v>387</v>
      </c>
      <c r="N774" s="80" t="n">
        <f aca="false">$D774*$M774</f>
        <v>1548</v>
      </c>
      <c r="O774" s="79" t="str">
        <f aca="false">INDEX(Customers!$C$2:$C$101,MATCH($B774,Customers!$A$2:$A$101,0))</f>
        <v>Sasaram</v>
      </c>
      <c r="P774" s="79" t="str">
        <f aca="false">INDEX(Customers!$F$2:$F$101,MATCH($B774,Customers!$A$2:$A$101,0))</f>
        <v>Female</v>
      </c>
      <c r="Q774" s="79" t="str">
        <f aca="false">INDEX(Customers!$B$2:$B$101,MATCH($B774,Customers!$A$2:$A$101,0))</f>
        <v>Madhup Wable</v>
      </c>
      <c r="R774" s="79" t="n">
        <f aca="false">MONTH($E774)</f>
        <v>1</v>
      </c>
      <c r="S774" s="79" t="str">
        <f aca="false">INDEX(Lists!$B$2:$B$13,$R774)</f>
        <v>January</v>
      </c>
      <c r="T774" s="79" t="n">
        <f aca="false">HOUR($F774)</f>
        <v>2</v>
      </c>
      <c r="U774" s="79" t="n">
        <f aca="false">WEEKDAY($E774,2)</f>
        <v>6</v>
      </c>
      <c r="V774" s="79" t="str">
        <f aca="false">INDEX(Lists!$F$2:$F$8,$U774)</f>
        <v>Saturday</v>
      </c>
      <c r="W774" s="81" t="n">
        <f aca="false">($G774+$H774)-($E774+$F774)</f>
        <v>6.90034722222222</v>
      </c>
      <c r="X774" s="79" t="str">
        <f aca="false">LOOKUP($M774,Lists!$G$2:$G$5,Lists!$H$2:$H$5)</f>
        <v>₹0 - 499</v>
      </c>
      <c r="Y774" s="79" t="str">
        <f aca="false">LOOKUP($W774,Lists!$I$2:$I$7,Lists!$J$2:$J$7)</f>
        <v>6 - 8 days</v>
      </c>
    </row>
    <row r="775" customFormat="false" ht="15" hidden="false" customHeight="false" outlineLevel="0" collapsed="false">
      <c r="A775" s="2" t="n">
        <v>774</v>
      </c>
      <c r="B775" s="2" t="s">
        <v>257</v>
      </c>
      <c r="C775" s="2" t="n">
        <v>65</v>
      </c>
      <c r="D775" s="2" t="n">
        <v>5</v>
      </c>
      <c r="E775" s="82" t="n">
        <v>45094</v>
      </c>
      <c r="F775" s="83" t="n">
        <v>0.8946875</v>
      </c>
      <c r="G775" s="82" t="n">
        <v>45104</v>
      </c>
      <c r="H775" s="83" t="n">
        <v>0.125925925925926</v>
      </c>
      <c r="I775" s="2" t="s">
        <v>208</v>
      </c>
      <c r="J775" s="2" t="s">
        <v>165</v>
      </c>
      <c r="K775" s="46" t="str">
        <f aca="false">INDEX(Products!$B$2:$B$71,MATCH($C775,Products!$A$2:$A$71,0))</f>
        <v>Error Gift</v>
      </c>
      <c r="L775" s="46" t="str">
        <f aca="false">INDEX(Products!$C$2:$C$71,MATCH($C775,Products!$A$2:$A$71,0))</f>
        <v>Raksha Bandhan</v>
      </c>
      <c r="M775" s="84" t="n">
        <f aca="false">INDEX(Products!$D$2:$D$71,MATCH($C775,Products!$A$2:$A$71,0))</f>
        <v>1895</v>
      </c>
      <c r="N775" s="84" t="n">
        <f aca="false">$D775*$M775</f>
        <v>9475</v>
      </c>
      <c r="O775" s="46" t="str">
        <f aca="false">INDEX(Customers!$C$2:$C$101,MATCH($B775,Customers!$A$2:$A$101,0))</f>
        <v>Kota</v>
      </c>
      <c r="P775" s="46" t="str">
        <f aca="false">INDEX(Customers!$F$2:$F$101,MATCH($B775,Customers!$A$2:$A$101,0))</f>
        <v>Female</v>
      </c>
      <c r="Q775" s="46" t="str">
        <f aca="false">INDEX(Customers!$B$2:$B$101,MATCH($B775,Customers!$A$2:$A$101,0))</f>
        <v>Aradhya Batta</v>
      </c>
      <c r="R775" s="46" t="n">
        <f aca="false">MONTH($E775)</f>
        <v>6</v>
      </c>
      <c r="S775" s="46" t="str">
        <f aca="false">INDEX(Lists!$B$2:$B$13,$R775)</f>
        <v>June</v>
      </c>
      <c r="T775" s="46" t="n">
        <f aca="false">HOUR($F775)</f>
        <v>21</v>
      </c>
      <c r="U775" s="46" t="n">
        <f aca="false">WEEKDAY($E775,2)</f>
        <v>6</v>
      </c>
      <c r="V775" s="46" t="str">
        <f aca="false">INDEX(Lists!$F$2:$F$8,$U775)</f>
        <v>Saturday</v>
      </c>
      <c r="W775" s="85" t="n">
        <f aca="false">($G775+$H775)-($E775+$F775)</f>
        <v>9.23123842592593</v>
      </c>
      <c r="X775" s="46" t="str">
        <f aca="false">LOOKUP($M775,Lists!$G$2:$G$5,Lists!$H$2:$H$5)</f>
        <v>₹1,500 - 2,000</v>
      </c>
      <c r="Y775" s="46" t="str">
        <f aca="false">LOOKUP($W775,Lists!$I$2:$I$7,Lists!$J$2:$J$7)</f>
        <v>8 - 10 days</v>
      </c>
    </row>
    <row r="776" customFormat="false" ht="15" hidden="false" customHeight="false" outlineLevel="0" collapsed="false">
      <c r="A776" s="7" t="n">
        <v>775</v>
      </c>
      <c r="B776" s="7" t="s">
        <v>331</v>
      </c>
      <c r="C776" s="7" t="n">
        <v>45</v>
      </c>
      <c r="D776" s="7" t="n">
        <v>1</v>
      </c>
      <c r="E776" s="77" t="n">
        <v>44976</v>
      </c>
      <c r="F776" s="78" t="n">
        <v>0.158449074074074</v>
      </c>
      <c r="G776" s="77" t="n">
        <v>44981</v>
      </c>
      <c r="H776" s="78" t="n">
        <v>0.980405092592593</v>
      </c>
      <c r="I776" s="7" t="s">
        <v>175</v>
      </c>
      <c r="J776" s="7" t="s">
        <v>31</v>
      </c>
      <c r="K776" s="79" t="str">
        <f aca="false">INDEX(Products!$B$2:$B$71,MATCH($C776,Products!$A$2:$A$71,0))</f>
        <v>Iusto Set</v>
      </c>
      <c r="L776" s="79" t="str">
        <f aca="false">INDEX(Products!$C$2:$C$71,MATCH($C776,Products!$A$2:$A$71,0))</f>
        <v>Raksha Bandhan</v>
      </c>
      <c r="M776" s="80" t="n">
        <f aca="false">INDEX(Products!$D$2:$D$71,MATCH($C776,Products!$A$2:$A$71,0))</f>
        <v>722</v>
      </c>
      <c r="N776" s="80" t="n">
        <f aca="false">$D776*$M776</f>
        <v>722</v>
      </c>
      <c r="O776" s="79" t="str">
        <f aca="false">INDEX(Customers!$C$2:$C$101,MATCH($B776,Customers!$A$2:$A$101,0))</f>
        <v>Panchkula</v>
      </c>
      <c r="P776" s="79" t="str">
        <f aca="false">INDEX(Customers!$F$2:$F$101,MATCH($B776,Customers!$A$2:$A$101,0))</f>
        <v>Female</v>
      </c>
      <c r="Q776" s="79" t="str">
        <f aca="false">INDEX(Customers!$B$2:$B$101,MATCH($B776,Customers!$A$2:$A$101,0))</f>
        <v>Gokul Ahluwalia</v>
      </c>
      <c r="R776" s="79" t="n">
        <f aca="false">MONTH($E776)</f>
        <v>2</v>
      </c>
      <c r="S776" s="79" t="str">
        <f aca="false">INDEX(Lists!$B$2:$B$13,$R776)</f>
        <v>February</v>
      </c>
      <c r="T776" s="79" t="n">
        <f aca="false">HOUR($F776)</f>
        <v>3</v>
      </c>
      <c r="U776" s="79" t="n">
        <f aca="false">WEEKDAY($E776,2)</f>
        <v>7</v>
      </c>
      <c r="V776" s="79" t="str">
        <f aca="false">INDEX(Lists!$F$2:$F$8,$U776)</f>
        <v>Sunday</v>
      </c>
      <c r="W776" s="81" t="n">
        <f aca="false">($G776+$H776)-($E776+$F776)</f>
        <v>5.82195601851852</v>
      </c>
      <c r="X776" s="79" t="str">
        <f aca="false">LOOKUP($M776,Lists!$G$2:$G$5,Lists!$H$2:$H$5)</f>
        <v>₹500 - 999</v>
      </c>
      <c r="Y776" s="79" t="str">
        <f aca="false">LOOKUP($W776,Lists!$I$2:$I$7,Lists!$J$2:$J$7)</f>
        <v>4 - 6 days</v>
      </c>
    </row>
    <row r="777" customFormat="false" ht="15" hidden="false" customHeight="false" outlineLevel="0" collapsed="false">
      <c r="A777" s="2" t="n">
        <v>776</v>
      </c>
      <c r="B777" s="2" t="s">
        <v>257</v>
      </c>
      <c r="C777" s="2" t="n">
        <v>43</v>
      </c>
      <c r="D777" s="2" t="n">
        <v>1</v>
      </c>
      <c r="E777" s="82" t="n">
        <v>45239</v>
      </c>
      <c r="F777" s="83" t="n">
        <v>0.311736111111111</v>
      </c>
      <c r="G777" s="82" t="n">
        <v>45242</v>
      </c>
      <c r="H777" s="83" t="n">
        <v>0.90212962962963</v>
      </c>
      <c r="I777" s="2" t="s">
        <v>156</v>
      </c>
      <c r="J777" s="2" t="s">
        <v>32</v>
      </c>
      <c r="K777" s="46" t="str">
        <f aca="false">INDEX(Products!$B$2:$B$71,MATCH($C777,Products!$A$2:$A$71,0))</f>
        <v>Quisquam Pack</v>
      </c>
      <c r="L777" s="46" t="str">
        <f aca="false">INDEX(Products!$C$2:$C$71,MATCH($C777,Products!$A$2:$A$71,0))</f>
        <v>Raksha Bandhan</v>
      </c>
      <c r="M777" s="84" t="n">
        <f aca="false">INDEX(Products!$D$2:$D$71,MATCH($C777,Products!$A$2:$A$71,0))</f>
        <v>750</v>
      </c>
      <c r="N777" s="84" t="n">
        <f aca="false">$D777*$M777</f>
        <v>750</v>
      </c>
      <c r="O777" s="46" t="str">
        <f aca="false">INDEX(Customers!$C$2:$C$101,MATCH($B777,Customers!$A$2:$A$101,0))</f>
        <v>Kota</v>
      </c>
      <c r="P777" s="46" t="str">
        <f aca="false">INDEX(Customers!$F$2:$F$101,MATCH($B777,Customers!$A$2:$A$101,0))</f>
        <v>Female</v>
      </c>
      <c r="Q777" s="46" t="str">
        <f aca="false">INDEX(Customers!$B$2:$B$101,MATCH($B777,Customers!$A$2:$A$101,0))</f>
        <v>Aradhya Batta</v>
      </c>
      <c r="R777" s="46" t="n">
        <f aca="false">MONTH($E777)</f>
        <v>11</v>
      </c>
      <c r="S777" s="46" t="str">
        <f aca="false">INDEX(Lists!$B$2:$B$13,$R777)</f>
        <v>November</v>
      </c>
      <c r="T777" s="46" t="n">
        <f aca="false">HOUR($F777)</f>
        <v>7</v>
      </c>
      <c r="U777" s="46" t="n">
        <f aca="false">WEEKDAY($E777,2)</f>
        <v>4</v>
      </c>
      <c r="V777" s="46" t="str">
        <f aca="false">INDEX(Lists!$F$2:$F$8,$U777)</f>
        <v>Thursday</v>
      </c>
      <c r="W777" s="85" t="n">
        <f aca="false">($G777+$H777)-($E777+$F777)</f>
        <v>3.59039351851852</v>
      </c>
      <c r="X777" s="46" t="str">
        <f aca="false">LOOKUP($M777,Lists!$G$2:$G$5,Lists!$H$2:$H$5)</f>
        <v>₹500 - 999</v>
      </c>
      <c r="Y777" s="46" t="str">
        <f aca="false">LOOKUP($W777,Lists!$I$2:$I$7,Lists!$J$2:$J$7)</f>
        <v>2 - 4 days</v>
      </c>
    </row>
    <row r="778" customFormat="false" ht="15" hidden="false" customHeight="false" outlineLevel="0" collapsed="false">
      <c r="A778" s="7" t="n">
        <v>777</v>
      </c>
      <c r="B778" s="7" t="s">
        <v>167</v>
      </c>
      <c r="C778" s="7" t="n">
        <v>70</v>
      </c>
      <c r="D778" s="7" t="n">
        <v>3</v>
      </c>
      <c r="E778" s="77" t="n">
        <v>44981</v>
      </c>
      <c r="F778" s="78" t="n">
        <v>0.648576388888889</v>
      </c>
      <c r="G778" s="77" t="n">
        <v>44984</v>
      </c>
      <c r="H778" s="78" t="n">
        <v>0.478923611111111</v>
      </c>
      <c r="I778" s="7" t="s">
        <v>265</v>
      </c>
      <c r="J778" s="7" t="s">
        <v>31</v>
      </c>
      <c r="K778" s="79" t="str">
        <f aca="false">INDEX(Products!$B$2:$B$71,MATCH($C778,Products!$A$2:$A$71,0))</f>
        <v>Error Gift</v>
      </c>
      <c r="L778" s="79" t="str">
        <f aca="false">INDEX(Products!$C$2:$C$71,MATCH($C778,Products!$A$2:$A$71,0))</f>
        <v>Sweets</v>
      </c>
      <c r="M778" s="80" t="n">
        <f aca="false">INDEX(Products!$D$2:$D$71,MATCH($C778,Products!$A$2:$A$71,0))</f>
        <v>866</v>
      </c>
      <c r="N778" s="80" t="n">
        <f aca="false">$D778*$M778</f>
        <v>2598</v>
      </c>
      <c r="O778" s="79" t="str">
        <f aca="false">INDEX(Customers!$C$2:$C$101,MATCH($B778,Customers!$A$2:$A$101,0))</f>
        <v>Tenali</v>
      </c>
      <c r="P778" s="79" t="str">
        <f aca="false">INDEX(Customers!$F$2:$F$101,MATCH($B778,Customers!$A$2:$A$101,0))</f>
        <v>Male</v>
      </c>
      <c r="Q778" s="79" t="str">
        <f aca="false">INDEX(Customers!$B$2:$B$101,MATCH($B778,Customers!$A$2:$A$101,0))</f>
        <v>Amani Ganesh</v>
      </c>
      <c r="R778" s="79" t="n">
        <f aca="false">MONTH($E778)</f>
        <v>2</v>
      </c>
      <c r="S778" s="79" t="str">
        <f aca="false">INDEX(Lists!$B$2:$B$13,$R778)</f>
        <v>February</v>
      </c>
      <c r="T778" s="79" t="n">
        <f aca="false">HOUR($F778)</f>
        <v>15</v>
      </c>
      <c r="U778" s="79" t="n">
        <f aca="false">WEEKDAY($E778,2)</f>
        <v>5</v>
      </c>
      <c r="V778" s="79" t="str">
        <f aca="false">INDEX(Lists!$F$2:$F$8,$U778)</f>
        <v>Friday</v>
      </c>
      <c r="W778" s="81" t="n">
        <f aca="false">($G778+$H778)-($E778+$F778)</f>
        <v>2.83034722222222</v>
      </c>
      <c r="X778" s="79" t="str">
        <f aca="false">LOOKUP($M778,Lists!$G$2:$G$5,Lists!$H$2:$H$5)</f>
        <v>₹500 - 999</v>
      </c>
      <c r="Y778" s="79" t="str">
        <f aca="false">LOOKUP($W778,Lists!$I$2:$I$7,Lists!$J$2:$J$7)</f>
        <v>2 - 4 days</v>
      </c>
    </row>
    <row r="779" customFormat="false" ht="15" hidden="false" customHeight="false" outlineLevel="0" collapsed="false">
      <c r="A779" s="2" t="n">
        <v>778</v>
      </c>
      <c r="B779" s="2" t="s">
        <v>204</v>
      </c>
      <c r="C779" s="2" t="n">
        <v>61</v>
      </c>
      <c r="D779" s="2" t="n">
        <v>4</v>
      </c>
      <c r="E779" s="82" t="n">
        <v>45056</v>
      </c>
      <c r="F779" s="83" t="n">
        <v>0.165740740740741</v>
      </c>
      <c r="G779" s="82" t="n">
        <v>45059</v>
      </c>
      <c r="H779" s="83" t="n">
        <v>0.498113425925926</v>
      </c>
      <c r="I779" s="2" t="s">
        <v>534</v>
      </c>
      <c r="J779" s="2" t="s">
        <v>168</v>
      </c>
      <c r="K779" s="46" t="str">
        <f aca="false">INDEX(Products!$B$2:$B$71,MATCH($C779,Products!$A$2:$A$71,0))</f>
        <v>Iusto Box</v>
      </c>
      <c r="L779" s="46" t="str">
        <f aca="false">INDEX(Products!$C$2:$C$71,MATCH($C779,Products!$A$2:$A$71,0))</f>
        <v>Plants</v>
      </c>
      <c r="M779" s="84" t="n">
        <f aca="false">INDEX(Products!$D$2:$D$71,MATCH($C779,Products!$A$2:$A$71,0))</f>
        <v>810</v>
      </c>
      <c r="N779" s="84" t="n">
        <f aca="false">$D779*$M779</f>
        <v>3240</v>
      </c>
      <c r="O779" s="46" t="str">
        <f aca="false">INDEX(Customers!$C$2:$C$101,MATCH($B779,Customers!$A$2:$A$101,0))</f>
        <v>Indore</v>
      </c>
      <c r="P779" s="46" t="str">
        <f aca="false">INDEX(Customers!$F$2:$F$101,MATCH($B779,Customers!$A$2:$A$101,0))</f>
        <v>Female</v>
      </c>
      <c r="Q779" s="46" t="str">
        <f aca="false">INDEX(Customers!$B$2:$B$101,MATCH($B779,Customers!$A$2:$A$101,0))</f>
        <v>Suhana Kurian</v>
      </c>
      <c r="R779" s="46" t="n">
        <f aca="false">MONTH($E779)</f>
        <v>5</v>
      </c>
      <c r="S779" s="46" t="str">
        <f aca="false">INDEX(Lists!$B$2:$B$13,$R779)</f>
        <v>May</v>
      </c>
      <c r="T779" s="46" t="n">
        <f aca="false">HOUR($F779)</f>
        <v>3</v>
      </c>
      <c r="U779" s="46" t="n">
        <f aca="false">WEEKDAY($E779,2)</f>
        <v>3</v>
      </c>
      <c r="V779" s="46" t="str">
        <f aca="false">INDEX(Lists!$F$2:$F$8,$U779)</f>
        <v>Wednesday</v>
      </c>
      <c r="W779" s="85" t="n">
        <f aca="false">($G779+$H779)-($E779+$F779)</f>
        <v>3.33237268518519</v>
      </c>
      <c r="X779" s="46" t="str">
        <f aca="false">LOOKUP($M779,Lists!$G$2:$G$5,Lists!$H$2:$H$5)</f>
        <v>₹500 - 999</v>
      </c>
      <c r="Y779" s="46" t="str">
        <f aca="false">LOOKUP($W779,Lists!$I$2:$I$7,Lists!$J$2:$J$7)</f>
        <v>2 - 4 days</v>
      </c>
    </row>
    <row r="780" customFormat="false" ht="15" hidden="false" customHeight="false" outlineLevel="0" collapsed="false">
      <c r="A780" s="7" t="n">
        <v>779</v>
      </c>
      <c r="B780" s="7" t="s">
        <v>260</v>
      </c>
      <c r="C780" s="7" t="n">
        <v>3</v>
      </c>
      <c r="D780" s="7" t="n">
        <v>1</v>
      </c>
      <c r="E780" s="77" t="n">
        <v>44963</v>
      </c>
      <c r="F780" s="78" t="n">
        <v>0.268483796296296</v>
      </c>
      <c r="G780" s="77" t="n">
        <v>44965</v>
      </c>
      <c r="H780" s="78" t="n">
        <v>0.119340277777778</v>
      </c>
      <c r="I780" s="7" t="s">
        <v>356</v>
      </c>
      <c r="J780" s="7" t="s">
        <v>179</v>
      </c>
      <c r="K780" s="79" t="str">
        <f aca="false">INDEX(Products!$B$2:$B$71,MATCH($C780,Products!$A$2:$A$71,0))</f>
        <v>Eius Gift</v>
      </c>
      <c r="L780" s="79" t="str">
        <f aca="false">INDEX(Products!$C$2:$C$71,MATCH($C780,Products!$A$2:$A$71,0))</f>
        <v>Colors</v>
      </c>
      <c r="M780" s="80" t="n">
        <f aca="false">INDEX(Products!$D$2:$D$71,MATCH($C780,Products!$A$2:$A$71,0))</f>
        <v>1534</v>
      </c>
      <c r="N780" s="80" t="n">
        <f aca="false">$D780*$M780</f>
        <v>1534</v>
      </c>
      <c r="O780" s="79" t="str">
        <f aca="false">INDEX(Customers!$C$2:$C$101,MATCH($B780,Customers!$A$2:$A$101,0))</f>
        <v>Dhanbad</v>
      </c>
      <c r="P780" s="79" t="str">
        <f aca="false">INDEX(Customers!$F$2:$F$101,MATCH($B780,Customers!$A$2:$A$101,0))</f>
        <v>Male</v>
      </c>
      <c r="Q780" s="79" t="str">
        <f aca="false">INDEX(Customers!$B$2:$B$101,MATCH($B780,Customers!$A$2:$A$101,0))</f>
        <v>Vardaniya Apte</v>
      </c>
      <c r="R780" s="79" t="n">
        <f aca="false">MONTH($E780)</f>
        <v>2</v>
      </c>
      <c r="S780" s="79" t="str">
        <f aca="false">INDEX(Lists!$B$2:$B$13,$R780)</f>
        <v>February</v>
      </c>
      <c r="T780" s="79" t="n">
        <f aca="false">HOUR($F780)</f>
        <v>6</v>
      </c>
      <c r="U780" s="79" t="n">
        <f aca="false">WEEKDAY($E780,2)</f>
        <v>1</v>
      </c>
      <c r="V780" s="79" t="str">
        <f aca="false">INDEX(Lists!$F$2:$F$8,$U780)</f>
        <v>Monday</v>
      </c>
      <c r="W780" s="81" t="n">
        <f aca="false">($G780+$H780)-($E780+$F780)</f>
        <v>1.85085648148148</v>
      </c>
      <c r="X780" s="79" t="str">
        <f aca="false">LOOKUP($M780,Lists!$G$2:$G$5,Lists!$H$2:$H$5)</f>
        <v>₹1,500 - 2,000</v>
      </c>
      <c r="Y780" s="79" t="str">
        <f aca="false">LOOKUP($W780,Lists!$I$2:$I$7,Lists!$J$2:$J$7)</f>
        <v>0 - 2 days</v>
      </c>
    </row>
    <row r="781" customFormat="false" ht="15" hidden="false" customHeight="false" outlineLevel="0" collapsed="false">
      <c r="A781" s="2" t="n">
        <v>780</v>
      </c>
      <c r="B781" s="2" t="s">
        <v>311</v>
      </c>
      <c r="C781" s="2" t="n">
        <v>33</v>
      </c>
      <c r="D781" s="2" t="n">
        <v>2</v>
      </c>
      <c r="E781" s="82" t="n">
        <v>44967</v>
      </c>
      <c r="F781" s="83" t="n">
        <v>0.479756944444444</v>
      </c>
      <c r="G781" s="82" t="n">
        <v>44970</v>
      </c>
      <c r="H781" s="83" t="n">
        <v>0.186400462962963</v>
      </c>
      <c r="I781" s="2" t="s">
        <v>280</v>
      </c>
      <c r="J781" s="2" t="s">
        <v>179</v>
      </c>
      <c r="K781" s="46" t="str">
        <f aca="false">INDEX(Products!$B$2:$B$71,MATCH($C781,Products!$A$2:$A$71,0))</f>
        <v>Earum Set</v>
      </c>
      <c r="L781" s="46" t="str">
        <f aca="false">INDEX(Products!$C$2:$C$71,MATCH($C781,Products!$A$2:$A$71,0))</f>
        <v>Colors</v>
      </c>
      <c r="M781" s="84" t="n">
        <f aca="false">INDEX(Products!$D$2:$D$71,MATCH($C781,Products!$A$2:$A$71,0))</f>
        <v>314</v>
      </c>
      <c r="N781" s="84" t="n">
        <f aca="false">$D781*$M781</f>
        <v>628</v>
      </c>
      <c r="O781" s="46" t="str">
        <f aca="false">INDEX(Customers!$C$2:$C$101,MATCH($B781,Customers!$A$2:$A$101,0))</f>
        <v>Bhatpara</v>
      </c>
      <c r="P781" s="46" t="str">
        <f aca="false">INDEX(Customers!$F$2:$F$101,MATCH($B781,Customers!$A$2:$A$101,0))</f>
        <v>Male</v>
      </c>
      <c r="Q781" s="46" t="str">
        <f aca="false">INDEX(Customers!$B$2:$B$101,MATCH($B781,Customers!$A$2:$A$101,0))</f>
        <v>Emir Gokhale</v>
      </c>
      <c r="R781" s="46" t="n">
        <f aca="false">MONTH($E781)</f>
        <v>2</v>
      </c>
      <c r="S781" s="46" t="str">
        <f aca="false">INDEX(Lists!$B$2:$B$13,$R781)</f>
        <v>February</v>
      </c>
      <c r="T781" s="46" t="n">
        <f aca="false">HOUR($F781)</f>
        <v>11</v>
      </c>
      <c r="U781" s="46" t="n">
        <f aca="false">WEEKDAY($E781,2)</f>
        <v>5</v>
      </c>
      <c r="V781" s="46" t="str">
        <f aca="false">INDEX(Lists!$F$2:$F$8,$U781)</f>
        <v>Friday</v>
      </c>
      <c r="W781" s="85" t="n">
        <f aca="false">($G781+$H781)-($E781+$F781)</f>
        <v>2.70664351851852</v>
      </c>
      <c r="X781" s="46" t="str">
        <f aca="false">LOOKUP($M781,Lists!$G$2:$G$5,Lists!$H$2:$H$5)</f>
        <v>₹0 - 499</v>
      </c>
      <c r="Y781" s="46" t="str">
        <f aca="false">LOOKUP($W781,Lists!$I$2:$I$7,Lists!$J$2:$J$7)</f>
        <v>2 - 4 days</v>
      </c>
    </row>
    <row r="782" customFormat="false" ht="15" hidden="false" customHeight="false" outlineLevel="0" collapsed="false">
      <c r="A782" s="7" t="n">
        <v>781</v>
      </c>
      <c r="B782" s="7" t="s">
        <v>350</v>
      </c>
      <c r="C782" s="7" t="n">
        <v>40</v>
      </c>
      <c r="D782" s="7" t="n">
        <v>2</v>
      </c>
      <c r="E782" s="77" t="n">
        <v>45196</v>
      </c>
      <c r="F782" s="78" t="n">
        <v>0.643726851851852</v>
      </c>
      <c r="G782" s="77" t="n">
        <v>45204</v>
      </c>
      <c r="H782" s="78" t="n">
        <v>0.819074074074074</v>
      </c>
      <c r="I782" s="7" t="s">
        <v>497</v>
      </c>
      <c r="J782" s="7" t="s">
        <v>168</v>
      </c>
      <c r="K782" s="79" t="str">
        <f aca="false">INDEX(Products!$B$2:$B$71,MATCH($C782,Products!$A$2:$A$71,0))</f>
        <v>Provident Pack</v>
      </c>
      <c r="L782" s="79" t="str">
        <f aca="false">INDEX(Products!$C$2:$C$71,MATCH($C782,Products!$A$2:$A$71,0))</f>
        <v>Sweets</v>
      </c>
      <c r="M782" s="80" t="n">
        <f aca="false">INDEX(Products!$D$2:$D$71,MATCH($C782,Products!$A$2:$A$71,0))</f>
        <v>1923</v>
      </c>
      <c r="N782" s="80" t="n">
        <f aca="false">$D782*$M782</f>
        <v>3846</v>
      </c>
      <c r="O782" s="79" t="str">
        <f aca="false">INDEX(Customers!$C$2:$C$101,MATCH($B782,Customers!$A$2:$A$101,0))</f>
        <v>Tiruchirappalli</v>
      </c>
      <c r="P782" s="79" t="str">
        <f aca="false">INDEX(Customers!$F$2:$F$101,MATCH($B782,Customers!$A$2:$A$101,0))</f>
        <v>Male</v>
      </c>
      <c r="Q782" s="79" t="str">
        <f aca="false">INDEX(Customers!$B$2:$B$101,MATCH($B782,Customers!$A$2:$A$101,0))</f>
        <v>Anahita Shankar</v>
      </c>
      <c r="R782" s="79" t="n">
        <f aca="false">MONTH($E782)</f>
        <v>9</v>
      </c>
      <c r="S782" s="79" t="str">
        <f aca="false">INDEX(Lists!$B$2:$B$13,$R782)</f>
        <v>September</v>
      </c>
      <c r="T782" s="79" t="n">
        <f aca="false">HOUR($F782)</f>
        <v>15</v>
      </c>
      <c r="U782" s="79" t="n">
        <f aca="false">WEEKDAY($E782,2)</f>
        <v>3</v>
      </c>
      <c r="V782" s="79" t="str">
        <f aca="false">INDEX(Lists!$F$2:$F$8,$U782)</f>
        <v>Wednesday</v>
      </c>
      <c r="W782" s="81" t="n">
        <f aca="false">($G782+$H782)-($E782+$F782)</f>
        <v>8.17534722222222</v>
      </c>
      <c r="X782" s="79" t="str">
        <f aca="false">LOOKUP($M782,Lists!$G$2:$G$5,Lists!$H$2:$H$5)</f>
        <v>₹1,500 - 2,000</v>
      </c>
      <c r="Y782" s="79" t="str">
        <f aca="false">LOOKUP($W782,Lists!$I$2:$I$7,Lists!$J$2:$J$7)</f>
        <v>8 - 10 days</v>
      </c>
    </row>
    <row r="783" customFormat="false" ht="15" hidden="false" customHeight="false" outlineLevel="0" collapsed="false">
      <c r="A783" s="2" t="n">
        <v>782</v>
      </c>
      <c r="B783" s="2" t="s">
        <v>357</v>
      </c>
      <c r="C783" s="2" t="n">
        <v>22</v>
      </c>
      <c r="D783" s="2" t="n">
        <v>4</v>
      </c>
      <c r="E783" s="82" t="n">
        <v>45034</v>
      </c>
      <c r="F783" s="83" t="n">
        <v>0.237037037037037</v>
      </c>
      <c r="G783" s="82" t="n">
        <v>45042</v>
      </c>
      <c r="H783" s="83" t="n">
        <v>0.809363425925926</v>
      </c>
      <c r="I783" s="2" t="s">
        <v>564</v>
      </c>
      <c r="J783" s="2" t="s">
        <v>165</v>
      </c>
      <c r="K783" s="46" t="str">
        <f aca="false">INDEX(Products!$B$2:$B$71,MATCH($C783,Products!$A$2:$A$71,0))</f>
        <v>Exercitationem Pack</v>
      </c>
      <c r="L783" s="46" t="str">
        <f aca="false">INDEX(Products!$C$2:$C$71,MATCH($C783,Products!$A$2:$A$71,0))</f>
        <v>Soft Toys</v>
      </c>
      <c r="M783" s="84" t="n">
        <f aca="false">INDEX(Products!$D$2:$D$71,MATCH($C783,Products!$A$2:$A$71,0))</f>
        <v>1639</v>
      </c>
      <c r="N783" s="84" t="n">
        <f aca="false">$D783*$M783</f>
        <v>6556</v>
      </c>
      <c r="O783" s="46" t="str">
        <f aca="false">INDEX(Customers!$C$2:$C$101,MATCH($B783,Customers!$A$2:$A$101,0))</f>
        <v>North Dumdum</v>
      </c>
      <c r="P783" s="46" t="str">
        <f aca="false">INDEX(Customers!$F$2:$F$101,MATCH($B783,Customers!$A$2:$A$101,0))</f>
        <v>Female</v>
      </c>
      <c r="Q783" s="46" t="str">
        <f aca="false">INDEX(Customers!$B$2:$B$101,MATCH($B783,Customers!$A$2:$A$101,0))</f>
        <v>Rania Bhatt</v>
      </c>
      <c r="R783" s="46" t="n">
        <f aca="false">MONTH($E783)</f>
        <v>4</v>
      </c>
      <c r="S783" s="46" t="str">
        <f aca="false">INDEX(Lists!$B$2:$B$13,$R783)</f>
        <v>April</v>
      </c>
      <c r="T783" s="46" t="n">
        <f aca="false">HOUR($F783)</f>
        <v>5</v>
      </c>
      <c r="U783" s="46" t="n">
        <f aca="false">WEEKDAY($E783,2)</f>
        <v>2</v>
      </c>
      <c r="V783" s="46" t="str">
        <f aca="false">INDEX(Lists!$F$2:$F$8,$U783)</f>
        <v>Tuesday</v>
      </c>
      <c r="W783" s="85" t="n">
        <f aca="false">($G783+$H783)-($E783+$F783)</f>
        <v>8.57232638888889</v>
      </c>
      <c r="X783" s="46" t="str">
        <f aca="false">LOOKUP($M783,Lists!$G$2:$G$5,Lists!$H$2:$H$5)</f>
        <v>₹1,500 - 2,000</v>
      </c>
      <c r="Y783" s="46" t="str">
        <f aca="false">LOOKUP($W783,Lists!$I$2:$I$7,Lists!$J$2:$J$7)</f>
        <v>8 - 10 days</v>
      </c>
    </row>
    <row r="784" customFormat="false" ht="15" hidden="false" customHeight="false" outlineLevel="0" collapsed="false">
      <c r="A784" s="7" t="n">
        <v>783</v>
      </c>
      <c r="B784" s="7" t="s">
        <v>185</v>
      </c>
      <c r="C784" s="7" t="n">
        <v>55</v>
      </c>
      <c r="D784" s="7" t="n">
        <v>5</v>
      </c>
      <c r="E784" s="77" t="n">
        <v>45166</v>
      </c>
      <c r="F784" s="78" t="n">
        <v>0.188506944444444</v>
      </c>
      <c r="G784" s="77" t="n">
        <v>45167</v>
      </c>
      <c r="H784" s="78" t="n">
        <v>0.215868055555556</v>
      </c>
      <c r="I784" s="7" t="s">
        <v>608</v>
      </c>
      <c r="J784" s="7" t="s">
        <v>40</v>
      </c>
      <c r="K784" s="79" t="str">
        <f aca="false">INDEX(Products!$B$2:$B$71,MATCH($C784,Products!$A$2:$A$71,0))</f>
        <v>Dolores Gift</v>
      </c>
      <c r="L784" s="79" t="str">
        <f aca="false">INDEX(Products!$C$2:$C$71,MATCH($C784,Products!$A$2:$A$71,0))</f>
        <v>Soft Toys</v>
      </c>
      <c r="M784" s="80" t="n">
        <f aca="false">INDEX(Products!$D$2:$D$71,MATCH($C784,Products!$A$2:$A$71,0))</f>
        <v>1904</v>
      </c>
      <c r="N784" s="80" t="n">
        <f aca="false">$D784*$M784</f>
        <v>9520</v>
      </c>
      <c r="O784" s="79" t="str">
        <f aca="false">INDEX(Customers!$C$2:$C$101,MATCH($B784,Customers!$A$2:$A$101,0))</f>
        <v>Kavali</v>
      </c>
      <c r="P784" s="79" t="str">
        <f aca="false">INDEX(Customers!$F$2:$F$101,MATCH($B784,Customers!$A$2:$A$101,0))</f>
        <v>Female</v>
      </c>
      <c r="Q784" s="79" t="str">
        <f aca="false">INDEX(Customers!$B$2:$B$101,MATCH($B784,Customers!$A$2:$A$101,0))</f>
        <v>Jhanvi Chowdhury</v>
      </c>
      <c r="R784" s="79" t="n">
        <f aca="false">MONTH($E784)</f>
        <v>8</v>
      </c>
      <c r="S784" s="79" t="str">
        <f aca="false">INDEX(Lists!$B$2:$B$13,$R784)</f>
        <v>August</v>
      </c>
      <c r="T784" s="79" t="n">
        <f aca="false">HOUR($F784)</f>
        <v>4</v>
      </c>
      <c r="U784" s="79" t="n">
        <f aca="false">WEEKDAY($E784,2)</f>
        <v>1</v>
      </c>
      <c r="V784" s="79" t="str">
        <f aca="false">INDEX(Lists!$F$2:$F$8,$U784)</f>
        <v>Monday</v>
      </c>
      <c r="W784" s="81" t="n">
        <f aca="false">($G784+$H784)-($E784+$F784)</f>
        <v>1.02736111111111</v>
      </c>
      <c r="X784" s="79" t="str">
        <f aca="false">LOOKUP($M784,Lists!$G$2:$G$5,Lists!$H$2:$H$5)</f>
        <v>₹1,500 - 2,000</v>
      </c>
      <c r="Y784" s="79" t="str">
        <f aca="false">LOOKUP($W784,Lists!$I$2:$I$7,Lists!$J$2:$J$7)</f>
        <v>0 - 2 days</v>
      </c>
    </row>
    <row r="785" customFormat="false" ht="15" hidden="false" customHeight="false" outlineLevel="0" collapsed="false">
      <c r="A785" s="2" t="n">
        <v>784</v>
      </c>
      <c r="B785" s="2" t="s">
        <v>230</v>
      </c>
      <c r="C785" s="2" t="n">
        <v>56</v>
      </c>
      <c r="D785" s="2" t="n">
        <v>2</v>
      </c>
      <c r="E785" s="82" t="n">
        <v>45079</v>
      </c>
      <c r="F785" s="83" t="n">
        <v>0.351296296296296</v>
      </c>
      <c r="G785" s="82" t="n">
        <v>45084</v>
      </c>
      <c r="H785" s="83" t="n">
        <v>0.261331018518519</v>
      </c>
      <c r="I785" s="2" t="s">
        <v>229</v>
      </c>
      <c r="J785" s="2" t="s">
        <v>168</v>
      </c>
      <c r="K785" s="46" t="str">
        <f aca="false">INDEX(Products!$B$2:$B$71,MATCH($C785,Products!$A$2:$A$71,0))</f>
        <v>Quia Gift</v>
      </c>
      <c r="L785" s="46" t="str">
        <f aca="false">INDEX(Products!$C$2:$C$71,MATCH($C785,Products!$A$2:$A$71,0))</f>
        <v>Raksha Bandhan</v>
      </c>
      <c r="M785" s="84" t="n">
        <f aca="false">INDEX(Products!$D$2:$D$71,MATCH($C785,Products!$A$2:$A$71,0))</f>
        <v>1272</v>
      </c>
      <c r="N785" s="84" t="n">
        <f aca="false">$D785*$M785</f>
        <v>2544</v>
      </c>
      <c r="O785" s="46" t="str">
        <f aca="false">INDEX(Customers!$C$2:$C$101,MATCH($B785,Customers!$A$2:$A$101,0))</f>
        <v>Ajmer</v>
      </c>
      <c r="P785" s="46" t="str">
        <f aca="false">INDEX(Customers!$F$2:$F$101,MATCH($B785,Customers!$A$2:$A$101,0))</f>
        <v>Male</v>
      </c>
      <c r="Q785" s="46" t="str">
        <f aca="false">INDEX(Customers!$B$2:$B$101,MATCH($B785,Customers!$A$2:$A$101,0))</f>
        <v>Eshani Sharma</v>
      </c>
      <c r="R785" s="46" t="n">
        <f aca="false">MONTH($E785)</f>
        <v>6</v>
      </c>
      <c r="S785" s="46" t="str">
        <f aca="false">INDEX(Lists!$B$2:$B$13,$R785)</f>
        <v>June</v>
      </c>
      <c r="T785" s="46" t="n">
        <f aca="false">HOUR($F785)</f>
        <v>8</v>
      </c>
      <c r="U785" s="46" t="n">
        <f aca="false">WEEKDAY($E785,2)</f>
        <v>5</v>
      </c>
      <c r="V785" s="46" t="str">
        <f aca="false">INDEX(Lists!$F$2:$F$8,$U785)</f>
        <v>Friday</v>
      </c>
      <c r="W785" s="85" t="n">
        <f aca="false">($G785+$H785)-($E785+$F785)</f>
        <v>4.91003472222222</v>
      </c>
      <c r="X785" s="46" t="str">
        <f aca="false">LOOKUP($M785,Lists!$G$2:$G$5,Lists!$H$2:$H$5)</f>
        <v>₹1,000 - 1,499</v>
      </c>
      <c r="Y785" s="46" t="str">
        <f aca="false">LOOKUP($W785,Lists!$I$2:$I$7,Lists!$J$2:$J$7)</f>
        <v>4 - 6 days</v>
      </c>
    </row>
    <row r="786" customFormat="false" ht="15" hidden="false" customHeight="false" outlineLevel="0" collapsed="false">
      <c r="A786" s="7" t="n">
        <v>785</v>
      </c>
      <c r="B786" s="7" t="s">
        <v>260</v>
      </c>
      <c r="C786" s="7" t="n">
        <v>47</v>
      </c>
      <c r="D786" s="7" t="n">
        <v>5</v>
      </c>
      <c r="E786" s="77" t="n">
        <v>44983</v>
      </c>
      <c r="F786" s="78" t="n">
        <v>0.737199074074074</v>
      </c>
      <c r="G786" s="77" t="n">
        <v>44986</v>
      </c>
      <c r="H786" s="78" t="n">
        <v>0.54818287037037</v>
      </c>
      <c r="I786" s="7" t="s">
        <v>441</v>
      </c>
      <c r="J786" s="7" t="s">
        <v>33</v>
      </c>
      <c r="K786" s="79" t="str">
        <f aca="false">INDEX(Products!$B$2:$B$71,MATCH($C786,Products!$A$2:$A$71,0))</f>
        <v>Harum Pack</v>
      </c>
      <c r="L786" s="79" t="str">
        <f aca="false">INDEX(Products!$C$2:$C$71,MATCH($C786,Products!$A$2:$A$71,0))</f>
        <v>Colors</v>
      </c>
      <c r="M786" s="80" t="n">
        <f aca="false">INDEX(Products!$D$2:$D$71,MATCH($C786,Products!$A$2:$A$71,0))</f>
        <v>1638</v>
      </c>
      <c r="N786" s="80" t="n">
        <f aca="false">$D786*$M786</f>
        <v>8190</v>
      </c>
      <c r="O786" s="79" t="str">
        <f aca="false">INDEX(Customers!$C$2:$C$101,MATCH($B786,Customers!$A$2:$A$101,0))</f>
        <v>Dhanbad</v>
      </c>
      <c r="P786" s="79" t="str">
        <f aca="false">INDEX(Customers!$F$2:$F$101,MATCH($B786,Customers!$A$2:$A$101,0))</f>
        <v>Male</v>
      </c>
      <c r="Q786" s="79" t="str">
        <f aca="false">INDEX(Customers!$B$2:$B$101,MATCH($B786,Customers!$A$2:$A$101,0))</f>
        <v>Vardaniya Apte</v>
      </c>
      <c r="R786" s="79" t="n">
        <f aca="false">MONTH($E786)</f>
        <v>2</v>
      </c>
      <c r="S786" s="79" t="str">
        <f aca="false">INDEX(Lists!$B$2:$B$13,$R786)</f>
        <v>February</v>
      </c>
      <c r="T786" s="79" t="n">
        <f aca="false">HOUR($F786)</f>
        <v>17</v>
      </c>
      <c r="U786" s="79" t="n">
        <f aca="false">WEEKDAY($E786,2)</f>
        <v>7</v>
      </c>
      <c r="V786" s="79" t="str">
        <f aca="false">INDEX(Lists!$F$2:$F$8,$U786)</f>
        <v>Sunday</v>
      </c>
      <c r="W786" s="81" t="n">
        <f aca="false">($G786+$H786)-($E786+$F786)</f>
        <v>2.8109837962963</v>
      </c>
      <c r="X786" s="79" t="str">
        <f aca="false">LOOKUP($M786,Lists!$G$2:$G$5,Lists!$H$2:$H$5)</f>
        <v>₹1,500 - 2,000</v>
      </c>
      <c r="Y786" s="79" t="str">
        <f aca="false">LOOKUP($W786,Lists!$I$2:$I$7,Lists!$J$2:$J$7)</f>
        <v>2 - 4 days</v>
      </c>
    </row>
    <row r="787" customFormat="false" ht="15" hidden="false" customHeight="false" outlineLevel="0" collapsed="false">
      <c r="A787" s="2" t="n">
        <v>786</v>
      </c>
      <c r="B787" s="2" t="s">
        <v>130</v>
      </c>
      <c r="C787" s="2" t="n">
        <v>47</v>
      </c>
      <c r="D787" s="2" t="n">
        <v>1</v>
      </c>
      <c r="E787" s="82" t="n">
        <v>44990</v>
      </c>
      <c r="F787" s="83" t="n">
        <v>0.949363425925926</v>
      </c>
      <c r="G787" s="82" t="n">
        <v>44992</v>
      </c>
      <c r="H787" s="83" t="n">
        <v>0.303391203703704</v>
      </c>
      <c r="I787" s="2" t="s">
        <v>458</v>
      </c>
      <c r="J787" s="2" t="s">
        <v>33</v>
      </c>
      <c r="K787" s="46" t="str">
        <f aca="false">INDEX(Products!$B$2:$B$71,MATCH($C787,Products!$A$2:$A$71,0))</f>
        <v>Harum Pack</v>
      </c>
      <c r="L787" s="46" t="str">
        <f aca="false">INDEX(Products!$C$2:$C$71,MATCH($C787,Products!$A$2:$A$71,0))</f>
        <v>Colors</v>
      </c>
      <c r="M787" s="84" t="n">
        <f aca="false">INDEX(Products!$D$2:$D$71,MATCH($C787,Products!$A$2:$A$71,0))</f>
        <v>1638</v>
      </c>
      <c r="N787" s="84" t="n">
        <f aca="false">$D787*$M787</f>
        <v>1638</v>
      </c>
      <c r="O787" s="46" t="str">
        <f aca="false">INDEX(Customers!$C$2:$C$101,MATCH($B787,Customers!$A$2:$A$101,0))</f>
        <v>Bilaspur</v>
      </c>
      <c r="P787" s="46" t="str">
        <f aca="false">INDEX(Customers!$F$2:$F$101,MATCH($B787,Customers!$A$2:$A$101,0))</f>
        <v>Male</v>
      </c>
      <c r="Q787" s="46" t="str">
        <f aca="false">INDEX(Customers!$B$2:$B$101,MATCH($B787,Customers!$A$2:$A$101,0))</f>
        <v>Jayesh Lanka</v>
      </c>
      <c r="R787" s="46" t="n">
        <f aca="false">MONTH($E787)</f>
        <v>3</v>
      </c>
      <c r="S787" s="46" t="str">
        <f aca="false">INDEX(Lists!$B$2:$B$13,$R787)</f>
        <v>March</v>
      </c>
      <c r="T787" s="46" t="n">
        <f aca="false">HOUR($F787)</f>
        <v>22</v>
      </c>
      <c r="U787" s="46" t="n">
        <f aca="false">WEEKDAY($E787,2)</f>
        <v>7</v>
      </c>
      <c r="V787" s="46" t="str">
        <f aca="false">INDEX(Lists!$F$2:$F$8,$U787)</f>
        <v>Sunday</v>
      </c>
      <c r="W787" s="85" t="n">
        <f aca="false">($G787+$H787)-($E787+$F787)</f>
        <v>1.35402777777778</v>
      </c>
      <c r="X787" s="46" t="str">
        <f aca="false">LOOKUP($M787,Lists!$G$2:$G$5,Lists!$H$2:$H$5)</f>
        <v>₹1,500 - 2,000</v>
      </c>
      <c r="Y787" s="46" t="str">
        <f aca="false">LOOKUP($W787,Lists!$I$2:$I$7,Lists!$J$2:$J$7)</f>
        <v>0 - 2 days</v>
      </c>
    </row>
    <row r="788" customFormat="false" ht="15" hidden="false" customHeight="false" outlineLevel="0" collapsed="false">
      <c r="A788" s="7" t="n">
        <v>787</v>
      </c>
      <c r="B788" s="7" t="s">
        <v>309</v>
      </c>
      <c r="C788" s="7" t="n">
        <v>9</v>
      </c>
      <c r="D788" s="7" t="n">
        <v>1</v>
      </c>
      <c r="E788" s="77" t="n">
        <v>45163</v>
      </c>
      <c r="F788" s="78" t="n">
        <v>0.904305555555556</v>
      </c>
      <c r="G788" s="77" t="n">
        <v>45165</v>
      </c>
      <c r="H788" s="78" t="n">
        <v>0.590960648148148</v>
      </c>
      <c r="I788" s="7" t="s">
        <v>163</v>
      </c>
      <c r="J788" s="7" t="s">
        <v>40</v>
      </c>
      <c r="K788" s="79" t="str">
        <f aca="false">INDEX(Products!$B$2:$B$71,MATCH($C788,Products!$A$2:$A$71,0))</f>
        <v>Aperiam Box</v>
      </c>
      <c r="L788" s="79" t="str">
        <f aca="false">INDEX(Products!$C$2:$C$71,MATCH($C788,Products!$A$2:$A$71,0))</f>
        <v>Colors</v>
      </c>
      <c r="M788" s="80" t="n">
        <f aca="false">INDEX(Products!$D$2:$D$71,MATCH($C788,Products!$A$2:$A$71,0))</f>
        <v>1605</v>
      </c>
      <c r="N788" s="80" t="n">
        <f aca="false">$D788*$M788</f>
        <v>1605</v>
      </c>
      <c r="O788" s="79" t="str">
        <f aca="false">INDEX(Customers!$C$2:$C$101,MATCH($B788,Customers!$A$2:$A$101,0))</f>
        <v>Madhyamgram</v>
      </c>
      <c r="P788" s="79" t="str">
        <f aca="false">INDEX(Customers!$F$2:$F$101,MATCH($B788,Customers!$A$2:$A$101,0))</f>
        <v>Female</v>
      </c>
      <c r="Q788" s="79" t="str">
        <f aca="false">INDEX(Customers!$B$2:$B$101,MATCH($B788,Customers!$A$2:$A$101,0))</f>
        <v>Hunar Tripathi</v>
      </c>
      <c r="R788" s="79" t="n">
        <f aca="false">MONTH($E788)</f>
        <v>8</v>
      </c>
      <c r="S788" s="79" t="str">
        <f aca="false">INDEX(Lists!$B$2:$B$13,$R788)</f>
        <v>August</v>
      </c>
      <c r="T788" s="79" t="n">
        <f aca="false">HOUR($F788)</f>
        <v>21</v>
      </c>
      <c r="U788" s="79" t="n">
        <f aca="false">WEEKDAY($E788,2)</f>
        <v>5</v>
      </c>
      <c r="V788" s="79" t="str">
        <f aca="false">INDEX(Lists!$F$2:$F$8,$U788)</f>
        <v>Friday</v>
      </c>
      <c r="W788" s="81" t="n">
        <f aca="false">($G788+$H788)-($E788+$F788)</f>
        <v>1.68665509259259</v>
      </c>
      <c r="X788" s="79" t="str">
        <f aca="false">LOOKUP($M788,Lists!$G$2:$G$5,Lists!$H$2:$H$5)</f>
        <v>₹1,500 - 2,000</v>
      </c>
      <c r="Y788" s="79" t="str">
        <f aca="false">LOOKUP($W788,Lists!$I$2:$I$7,Lists!$J$2:$J$7)</f>
        <v>0 - 2 days</v>
      </c>
    </row>
    <row r="789" customFormat="false" ht="15" hidden="false" customHeight="false" outlineLevel="0" collapsed="false">
      <c r="A789" s="2" t="n">
        <v>788</v>
      </c>
      <c r="B789" s="2" t="s">
        <v>390</v>
      </c>
      <c r="C789" s="2" t="n">
        <v>53</v>
      </c>
      <c r="D789" s="2" t="n">
        <v>3</v>
      </c>
      <c r="E789" s="82" t="n">
        <v>45162</v>
      </c>
      <c r="F789" s="83" t="n">
        <v>0.207615740740741</v>
      </c>
      <c r="G789" s="82" t="n">
        <v>45165</v>
      </c>
      <c r="H789" s="83" t="n">
        <v>0.372824074074074</v>
      </c>
      <c r="I789" s="2" t="s">
        <v>356</v>
      </c>
      <c r="J789" s="2" t="s">
        <v>40</v>
      </c>
      <c r="K789" s="46" t="str">
        <f aca="false">INDEX(Products!$B$2:$B$71,MATCH($C789,Products!$A$2:$A$71,0))</f>
        <v>Ipsam Set</v>
      </c>
      <c r="L789" s="46" t="str">
        <f aca="false">INDEX(Products!$C$2:$C$71,MATCH($C789,Products!$A$2:$A$71,0))</f>
        <v>Sweets</v>
      </c>
      <c r="M789" s="84" t="n">
        <f aca="false">INDEX(Products!$D$2:$D$71,MATCH($C789,Products!$A$2:$A$71,0))</f>
        <v>1672</v>
      </c>
      <c r="N789" s="84" t="n">
        <f aca="false">$D789*$M789</f>
        <v>5016</v>
      </c>
      <c r="O789" s="46" t="str">
        <f aca="false">INDEX(Customers!$C$2:$C$101,MATCH($B789,Customers!$A$2:$A$101,0))</f>
        <v>Dhanbad</v>
      </c>
      <c r="P789" s="46" t="str">
        <f aca="false">INDEX(Customers!$F$2:$F$101,MATCH($B789,Customers!$A$2:$A$101,0))</f>
        <v>Female</v>
      </c>
      <c r="Q789" s="46" t="str">
        <f aca="false">INDEX(Customers!$B$2:$B$101,MATCH($B789,Customers!$A$2:$A$101,0))</f>
        <v>Ranbir Loyal</v>
      </c>
      <c r="R789" s="46" t="n">
        <f aca="false">MONTH($E789)</f>
        <v>8</v>
      </c>
      <c r="S789" s="46" t="str">
        <f aca="false">INDEX(Lists!$B$2:$B$13,$R789)</f>
        <v>August</v>
      </c>
      <c r="T789" s="46" t="n">
        <f aca="false">HOUR($F789)</f>
        <v>4</v>
      </c>
      <c r="U789" s="46" t="n">
        <f aca="false">WEEKDAY($E789,2)</f>
        <v>4</v>
      </c>
      <c r="V789" s="46" t="str">
        <f aca="false">INDEX(Lists!$F$2:$F$8,$U789)</f>
        <v>Thursday</v>
      </c>
      <c r="W789" s="85" t="n">
        <f aca="false">($G789+$H789)-($E789+$F789)</f>
        <v>3.16520833333333</v>
      </c>
      <c r="X789" s="46" t="str">
        <f aca="false">LOOKUP($M789,Lists!$G$2:$G$5,Lists!$H$2:$H$5)</f>
        <v>₹1,500 - 2,000</v>
      </c>
      <c r="Y789" s="46" t="str">
        <f aca="false">LOOKUP($W789,Lists!$I$2:$I$7,Lists!$J$2:$J$7)</f>
        <v>2 - 4 days</v>
      </c>
    </row>
    <row r="790" customFormat="false" ht="15" hidden="false" customHeight="false" outlineLevel="0" collapsed="false">
      <c r="A790" s="7" t="n">
        <v>789</v>
      </c>
      <c r="B790" s="7" t="s">
        <v>248</v>
      </c>
      <c r="C790" s="7" t="n">
        <v>58</v>
      </c>
      <c r="D790" s="7" t="n">
        <v>4</v>
      </c>
      <c r="E790" s="77" t="n">
        <v>44965</v>
      </c>
      <c r="F790" s="78" t="n">
        <v>0.763611111111111</v>
      </c>
      <c r="G790" s="77" t="n">
        <v>44972</v>
      </c>
      <c r="H790" s="78" t="n">
        <v>0.33369212962963</v>
      </c>
      <c r="I790" s="7" t="s">
        <v>195</v>
      </c>
      <c r="J790" s="7" t="s">
        <v>179</v>
      </c>
      <c r="K790" s="79" t="str">
        <f aca="false">INDEX(Products!$B$2:$B$71,MATCH($C790,Products!$A$2:$A$71,0))</f>
        <v>Sed Pack</v>
      </c>
      <c r="L790" s="79" t="str">
        <f aca="false">INDEX(Products!$C$2:$C$71,MATCH($C790,Products!$A$2:$A$71,0))</f>
        <v>Cake</v>
      </c>
      <c r="M790" s="80" t="n">
        <f aca="false">INDEX(Products!$D$2:$D$71,MATCH($C790,Products!$A$2:$A$71,0))</f>
        <v>1492</v>
      </c>
      <c r="N790" s="80" t="n">
        <f aca="false">$D790*$M790</f>
        <v>5968</v>
      </c>
      <c r="O790" s="79" t="str">
        <f aca="false">INDEX(Customers!$C$2:$C$101,MATCH($B790,Customers!$A$2:$A$101,0))</f>
        <v>Guntakal</v>
      </c>
      <c r="P790" s="79" t="str">
        <f aca="false">INDEX(Customers!$F$2:$F$101,MATCH($B790,Customers!$A$2:$A$101,0))</f>
        <v>Male</v>
      </c>
      <c r="Q790" s="79" t="str">
        <f aca="false">INDEX(Customers!$B$2:$B$101,MATCH($B790,Customers!$A$2:$A$101,0))</f>
        <v>Aradhya Kale</v>
      </c>
      <c r="R790" s="79" t="n">
        <f aca="false">MONTH($E790)</f>
        <v>2</v>
      </c>
      <c r="S790" s="79" t="str">
        <f aca="false">INDEX(Lists!$B$2:$B$13,$R790)</f>
        <v>February</v>
      </c>
      <c r="T790" s="79" t="n">
        <f aca="false">HOUR($F790)</f>
        <v>18</v>
      </c>
      <c r="U790" s="79" t="n">
        <f aca="false">WEEKDAY($E790,2)</f>
        <v>3</v>
      </c>
      <c r="V790" s="79" t="str">
        <f aca="false">INDEX(Lists!$F$2:$F$8,$U790)</f>
        <v>Wednesday</v>
      </c>
      <c r="W790" s="81" t="n">
        <f aca="false">($G790+$H790)-($E790+$F790)</f>
        <v>6.57008101851852</v>
      </c>
      <c r="X790" s="79" t="str">
        <f aca="false">LOOKUP($M790,Lists!$G$2:$G$5,Lists!$H$2:$H$5)</f>
        <v>₹1,000 - 1,499</v>
      </c>
      <c r="Y790" s="79" t="str">
        <f aca="false">LOOKUP($W790,Lists!$I$2:$I$7,Lists!$J$2:$J$7)</f>
        <v>6 - 8 days</v>
      </c>
    </row>
    <row r="791" customFormat="false" ht="15" hidden="false" customHeight="false" outlineLevel="0" collapsed="false">
      <c r="A791" s="2" t="n">
        <v>790</v>
      </c>
      <c r="B791" s="2" t="s">
        <v>242</v>
      </c>
      <c r="C791" s="2" t="n">
        <v>26</v>
      </c>
      <c r="D791" s="2" t="n">
        <v>2</v>
      </c>
      <c r="E791" s="82" t="n">
        <v>44985</v>
      </c>
      <c r="F791" s="83" t="n">
        <v>0.252418981481482</v>
      </c>
      <c r="G791" s="82" t="n">
        <v>44993</v>
      </c>
      <c r="H791" s="83" t="n">
        <v>0.18099537037037</v>
      </c>
      <c r="I791" s="2" t="s">
        <v>308</v>
      </c>
      <c r="J791" s="2" t="s">
        <v>33</v>
      </c>
      <c r="K791" s="46" t="str">
        <f aca="false">INDEX(Products!$B$2:$B$71,MATCH($C791,Products!$A$2:$A$71,0))</f>
        <v>Aliquam Box</v>
      </c>
      <c r="L791" s="46" t="str">
        <f aca="false">INDEX(Products!$C$2:$C$71,MATCH($C791,Products!$A$2:$A$71,0))</f>
        <v>Colors</v>
      </c>
      <c r="M791" s="84" t="n">
        <f aca="false">INDEX(Products!$D$2:$D$71,MATCH($C791,Products!$A$2:$A$71,0))</f>
        <v>289</v>
      </c>
      <c r="N791" s="84" t="n">
        <f aca="false">$D791*$M791</f>
        <v>578</v>
      </c>
      <c r="O791" s="46" t="str">
        <f aca="false">INDEX(Customers!$C$2:$C$101,MATCH($B791,Customers!$A$2:$A$101,0))</f>
        <v>Guna</v>
      </c>
      <c r="P791" s="46" t="str">
        <f aca="false">INDEX(Customers!$F$2:$F$101,MATCH($B791,Customers!$A$2:$A$101,0))</f>
        <v>Male</v>
      </c>
      <c r="Q791" s="46" t="str">
        <f aca="false">INDEX(Customers!$B$2:$B$101,MATCH($B791,Customers!$A$2:$A$101,0))</f>
        <v>Tara Kannan</v>
      </c>
      <c r="R791" s="46" t="n">
        <f aca="false">MONTH($E791)</f>
        <v>2</v>
      </c>
      <c r="S791" s="46" t="str">
        <f aca="false">INDEX(Lists!$B$2:$B$13,$R791)</f>
        <v>February</v>
      </c>
      <c r="T791" s="46" t="n">
        <f aca="false">HOUR($F791)</f>
        <v>6</v>
      </c>
      <c r="U791" s="46" t="n">
        <f aca="false">WEEKDAY($E791,2)</f>
        <v>2</v>
      </c>
      <c r="V791" s="46" t="str">
        <f aca="false">INDEX(Lists!$F$2:$F$8,$U791)</f>
        <v>Tuesday</v>
      </c>
      <c r="W791" s="85" t="n">
        <f aca="false">($G791+$H791)-($E791+$F791)</f>
        <v>7.92857638888889</v>
      </c>
      <c r="X791" s="46" t="str">
        <f aca="false">LOOKUP($M791,Lists!$G$2:$G$5,Lists!$H$2:$H$5)</f>
        <v>₹0 - 499</v>
      </c>
      <c r="Y791" s="46" t="str">
        <f aca="false">LOOKUP($W791,Lists!$I$2:$I$7,Lists!$J$2:$J$7)</f>
        <v>6 - 8 days</v>
      </c>
    </row>
    <row r="792" customFormat="false" ht="15" hidden="false" customHeight="false" outlineLevel="0" collapsed="false">
      <c r="A792" s="7" t="n">
        <v>791</v>
      </c>
      <c r="B792" s="7" t="s">
        <v>375</v>
      </c>
      <c r="C792" s="7" t="n">
        <v>51</v>
      </c>
      <c r="D792" s="7" t="n">
        <v>2</v>
      </c>
      <c r="E792" s="77" t="n">
        <v>45052</v>
      </c>
      <c r="F792" s="78" t="n">
        <v>0.1040625</v>
      </c>
      <c r="G792" s="77" t="n">
        <v>45055</v>
      </c>
      <c r="H792" s="78" t="n">
        <v>0.287361111111111</v>
      </c>
      <c r="I792" s="7" t="s">
        <v>262</v>
      </c>
      <c r="J792" s="7" t="s">
        <v>165</v>
      </c>
      <c r="K792" s="79" t="str">
        <f aca="false">INDEX(Products!$B$2:$B$71,MATCH($C792,Products!$A$2:$A$71,0))</f>
        <v>Fugit Set</v>
      </c>
      <c r="L792" s="79" t="str">
        <f aca="false">INDEX(Products!$C$2:$C$71,MATCH($C792,Products!$A$2:$A$71,0))</f>
        <v>Soft Toys</v>
      </c>
      <c r="M792" s="80" t="n">
        <f aca="false">INDEX(Products!$D$2:$D$71,MATCH($C792,Products!$A$2:$A$71,0))</f>
        <v>1084</v>
      </c>
      <c r="N792" s="80" t="n">
        <f aca="false">$D792*$M792</f>
        <v>2168</v>
      </c>
      <c r="O792" s="79" t="str">
        <f aca="false">INDEX(Customers!$C$2:$C$101,MATCH($B792,Customers!$A$2:$A$101,0))</f>
        <v>Tumkur</v>
      </c>
      <c r="P792" s="79" t="str">
        <f aca="false">INDEX(Customers!$F$2:$F$101,MATCH($B792,Customers!$A$2:$A$101,0))</f>
        <v>Male</v>
      </c>
      <c r="Q792" s="79" t="str">
        <f aca="false">INDEX(Customers!$B$2:$B$101,MATCH($B792,Customers!$A$2:$A$101,0))</f>
        <v>Mamooty Bawa</v>
      </c>
      <c r="R792" s="79" t="n">
        <f aca="false">MONTH($E792)</f>
        <v>5</v>
      </c>
      <c r="S792" s="79" t="str">
        <f aca="false">INDEX(Lists!$B$2:$B$13,$R792)</f>
        <v>May</v>
      </c>
      <c r="T792" s="79" t="n">
        <f aca="false">HOUR($F792)</f>
        <v>2</v>
      </c>
      <c r="U792" s="79" t="n">
        <f aca="false">WEEKDAY($E792,2)</f>
        <v>6</v>
      </c>
      <c r="V792" s="79" t="str">
        <f aca="false">INDEX(Lists!$F$2:$F$8,$U792)</f>
        <v>Saturday</v>
      </c>
      <c r="W792" s="81" t="n">
        <f aca="false">($G792+$H792)-($E792+$F792)</f>
        <v>3.18329861111111</v>
      </c>
      <c r="X792" s="79" t="str">
        <f aca="false">LOOKUP($M792,Lists!$G$2:$G$5,Lists!$H$2:$H$5)</f>
        <v>₹1,000 - 1,499</v>
      </c>
      <c r="Y792" s="79" t="str">
        <f aca="false">LOOKUP($W792,Lists!$I$2:$I$7,Lists!$J$2:$J$7)</f>
        <v>2 - 4 days</v>
      </c>
    </row>
    <row r="793" customFormat="false" ht="15" hidden="false" customHeight="false" outlineLevel="0" collapsed="false">
      <c r="A793" s="2" t="n">
        <v>792</v>
      </c>
      <c r="B793" s="2" t="s">
        <v>164</v>
      </c>
      <c r="C793" s="2" t="n">
        <v>43</v>
      </c>
      <c r="D793" s="2" t="n">
        <v>2</v>
      </c>
      <c r="E793" s="82" t="n">
        <v>45239</v>
      </c>
      <c r="F793" s="83" t="n">
        <v>0.292314814814815</v>
      </c>
      <c r="G793" s="82" t="n">
        <v>45240</v>
      </c>
      <c r="H793" s="83" t="n">
        <v>0.218194444444444</v>
      </c>
      <c r="I793" s="2" t="s">
        <v>496</v>
      </c>
      <c r="J793" s="2" t="s">
        <v>32</v>
      </c>
      <c r="K793" s="46" t="str">
        <f aca="false">INDEX(Products!$B$2:$B$71,MATCH($C793,Products!$A$2:$A$71,0))</f>
        <v>Quisquam Pack</v>
      </c>
      <c r="L793" s="46" t="str">
        <f aca="false">INDEX(Products!$C$2:$C$71,MATCH($C793,Products!$A$2:$A$71,0))</f>
        <v>Raksha Bandhan</v>
      </c>
      <c r="M793" s="84" t="n">
        <f aca="false">INDEX(Products!$D$2:$D$71,MATCH($C793,Products!$A$2:$A$71,0))</f>
        <v>750</v>
      </c>
      <c r="N793" s="84" t="n">
        <f aca="false">$D793*$M793</f>
        <v>1500</v>
      </c>
      <c r="O793" s="46" t="str">
        <f aca="false">INDEX(Customers!$C$2:$C$101,MATCH($B793,Customers!$A$2:$A$101,0))</f>
        <v>Kolkata</v>
      </c>
      <c r="P793" s="46" t="str">
        <f aca="false">INDEX(Customers!$F$2:$F$101,MATCH($B793,Customers!$A$2:$A$101,0))</f>
        <v>Female</v>
      </c>
      <c r="Q793" s="46" t="str">
        <f aca="false">INDEX(Customers!$B$2:$B$101,MATCH($B793,Customers!$A$2:$A$101,0))</f>
        <v>Romil Bajwa</v>
      </c>
      <c r="R793" s="46" t="n">
        <f aca="false">MONTH($E793)</f>
        <v>11</v>
      </c>
      <c r="S793" s="46" t="str">
        <f aca="false">INDEX(Lists!$B$2:$B$13,$R793)</f>
        <v>November</v>
      </c>
      <c r="T793" s="46" t="n">
        <f aca="false">HOUR($F793)</f>
        <v>7</v>
      </c>
      <c r="U793" s="46" t="n">
        <f aca="false">WEEKDAY($E793,2)</f>
        <v>4</v>
      </c>
      <c r="V793" s="46" t="str">
        <f aca="false">INDEX(Lists!$F$2:$F$8,$U793)</f>
        <v>Thursday</v>
      </c>
      <c r="W793" s="85" t="n">
        <f aca="false">($G793+$H793)-($E793+$F793)</f>
        <v>0.92587962962963</v>
      </c>
      <c r="X793" s="46" t="str">
        <f aca="false">LOOKUP($M793,Lists!$G$2:$G$5,Lists!$H$2:$H$5)</f>
        <v>₹500 - 999</v>
      </c>
      <c r="Y793" s="46" t="str">
        <f aca="false">LOOKUP($W793,Lists!$I$2:$I$7,Lists!$J$2:$J$7)</f>
        <v>0 - 2 days</v>
      </c>
    </row>
    <row r="794" customFormat="false" ht="15" hidden="false" customHeight="false" outlineLevel="0" collapsed="false">
      <c r="A794" s="7" t="n">
        <v>793</v>
      </c>
      <c r="B794" s="7" t="s">
        <v>379</v>
      </c>
      <c r="C794" s="7" t="n">
        <v>58</v>
      </c>
      <c r="D794" s="7" t="n">
        <v>5</v>
      </c>
      <c r="E794" s="77" t="n">
        <v>44962</v>
      </c>
      <c r="F794" s="78" t="n">
        <v>0.734212962962963</v>
      </c>
      <c r="G794" s="77" t="n">
        <v>44972</v>
      </c>
      <c r="H794" s="78" t="n">
        <v>0.0613078703703704</v>
      </c>
      <c r="I794" s="7" t="s">
        <v>491</v>
      </c>
      <c r="J794" s="7" t="s">
        <v>179</v>
      </c>
      <c r="K794" s="79" t="str">
        <f aca="false">INDEX(Products!$B$2:$B$71,MATCH($C794,Products!$A$2:$A$71,0))</f>
        <v>Sed Pack</v>
      </c>
      <c r="L794" s="79" t="str">
        <f aca="false">INDEX(Products!$C$2:$C$71,MATCH($C794,Products!$A$2:$A$71,0))</f>
        <v>Cake</v>
      </c>
      <c r="M794" s="80" t="n">
        <f aca="false">INDEX(Products!$D$2:$D$71,MATCH($C794,Products!$A$2:$A$71,0))</f>
        <v>1492</v>
      </c>
      <c r="N794" s="80" t="n">
        <f aca="false">$D794*$M794</f>
        <v>7460</v>
      </c>
      <c r="O794" s="79" t="str">
        <f aca="false">INDEX(Customers!$C$2:$C$101,MATCH($B794,Customers!$A$2:$A$101,0))</f>
        <v>Warangal</v>
      </c>
      <c r="P794" s="79" t="str">
        <f aca="false">INDEX(Customers!$F$2:$F$101,MATCH($B794,Customers!$A$2:$A$101,0))</f>
        <v>Female</v>
      </c>
      <c r="Q794" s="79" t="str">
        <f aca="false">INDEX(Customers!$B$2:$B$101,MATCH($B794,Customers!$A$2:$A$101,0))</f>
        <v>Mahika Cherian</v>
      </c>
      <c r="R794" s="79" t="n">
        <f aca="false">MONTH($E794)</f>
        <v>2</v>
      </c>
      <c r="S794" s="79" t="str">
        <f aca="false">INDEX(Lists!$B$2:$B$13,$R794)</f>
        <v>February</v>
      </c>
      <c r="T794" s="79" t="n">
        <f aca="false">HOUR($F794)</f>
        <v>17</v>
      </c>
      <c r="U794" s="79" t="n">
        <f aca="false">WEEKDAY($E794,2)</f>
        <v>7</v>
      </c>
      <c r="V794" s="79" t="str">
        <f aca="false">INDEX(Lists!$F$2:$F$8,$U794)</f>
        <v>Sunday</v>
      </c>
      <c r="W794" s="81" t="n">
        <f aca="false">($G794+$H794)-($E794+$F794)</f>
        <v>9.32709490740741</v>
      </c>
      <c r="X794" s="79" t="str">
        <f aca="false">LOOKUP($M794,Lists!$G$2:$G$5,Lists!$H$2:$H$5)</f>
        <v>₹1,000 - 1,499</v>
      </c>
      <c r="Y794" s="79" t="str">
        <f aca="false">LOOKUP($W794,Lists!$I$2:$I$7,Lists!$J$2:$J$7)</f>
        <v>8 - 10 days</v>
      </c>
    </row>
    <row r="795" customFormat="false" ht="15" hidden="false" customHeight="false" outlineLevel="0" collapsed="false">
      <c r="A795" s="2" t="n">
        <v>794</v>
      </c>
      <c r="B795" s="2" t="s">
        <v>336</v>
      </c>
      <c r="C795" s="2" t="n">
        <v>13</v>
      </c>
      <c r="D795" s="2" t="n">
        <v>4</v>
      </c>
      <c r="E795" s="82" t="n">
        <v>44989</v>
      </c>
      <c r="F795" s="83" t="n">
        <v>0.716643518518519</v>
      </c>
      <c r="G795" s="82" t="n">
        <v>44994</v>
      </c>
      <c r="H795" s="83" t="n">
        <v>0.618819444444445</v>
      </c>
      <c r="I795" s="2" t="s">
        <v>564</v>
      </c>
      <c r="J795" s="2" t="s">
        <v>33</v>
      </c>
      <c r="K795" s="46" t="str">
        <f aca="false">INDEX(Products!$B$2:$B$71,MATCH($C795,Products!$A$2:$A$71,0))</f>
        <v>Et Set</v>
      </c>
      <c r="L795" s="46" t="str">
        <f aca="false">INDEX(Products!$C$2:$C$71,MATCH($C795,Products!$A$2:$A$71,0))</f>
        <v>Mugs</v>
      </c>
      <c r="M795" s="84" t="n">
        <f aca="false">INDEX(Products!$D$2:$D$71,MATCH($C795,Products!$A$2:$A$71,0))</f>
        <v>1141</v>
      </c>
      <c r="N795" s="84" t="n">
        <f aca="false">$D795*$M795</f>
        <v>4564</v>
      </c>
      <c r="O795" s="46" t="str">
        <f aca="false">INDEX(Customers!$C$2:$C$101,MATCH($B795,Customers!$A$2:$A$101,0))</f>
        <v>Bhilai</v>
      </c>
      <c r="P795" s="46" t="str">
        <f aca="false">INDEX(Customers!$F$2:$F$101,MATCH($B795,Customers!$A$2:$A$101,0))</f>
        <v>Female</v>
      </c>
      <c r="Q795" s="46" t="str">
        <f aca="false">INDEX(Customers!$B$2:$B$101,MATCH($B795,Customers!$A$2:$A$101,0))</f>
        <v>Vedika Sankaran</v>
      </c>
      <c r="R795" s="46" t="n">
        <f aca="false">MONTH($E795)</f>
        <v>3</v>
      </c>
      <c r="S795" s="46" t="str">
        <f aca="false">INDEX(Lists!$B$2:$B$13,$R795)</f>
        <v>March</v>
      </c>
      <c r="T795" s="46" t="n">
        <f aca="false">HOUR($F795)</f>
        <v>17</v>
      </c>
      <c r="U795" s="46" t="n">
        <f aca="false">WEEKDAY($E795,2)</f>
        <v>6</v>
      </c>
      <c r="V795" s="46" t="str">
        <f aca="false">INDEX(Lists!$F$2:$F$8,$U795)</f>
        <v>Saturday</v>
      </c>
      <c r="W795" s="85" t="n">
        <f aca="false">($G795+$H795)-($E795+$F795)</f>
        <v>4.90217592592593</v>
      </c>
      <c r="X795" s="46" t="str">
        <f aca="false">LOOKUP($M795,Lists!$G$2:$G$5,Lists!$H$2:$H$5)</f>
        <v>₹1,000 - 1,499</v>
      </c>
      <c r="Y795" s="46" t="str">
        <f aca="false">LOOKUP($W795,Lists!$I$2:$I$7,Lists!$J$2:$J$7)</f>
        <v>4 - 6 days</v>
      </c>
    </row>
    <row r="796" customFormat="false" ht="15" hidden="false" customHeight="false" outlineLevel="0" collapsed="false">
      <c r="A796" s="7" t="n">
        <v>795</v>
      </c>
      <c r="B796" s="7" t="s">
        <v>311</v>
      </c>
      <c r="C796" s="7" t="n">
        <v>7</v>
      </c>
      <c r="D796" s="7" t="n">
        <v>1</v>
      </c>
      <c r="E796" s="77" t="n">
        <v>44988</v>
      </c>
      <c r="F796" s="78" t="n">
        <v>0.749027777777778</v>
      </c>
      <c r="G796" s="77" t="n">
        <v>44992</v>
      </c>
      <c r="H796" s="78" t="n">
        <v>0.92900462962963</v>
      </c>
      <c r="I796" s="7" t="s">
        <v>599</v>
      </c>
      <c r="J796" s="7" t="s">
        <v>33</v>
      </c>
      <c r="K796" s="79" t="str">
        <f aca="false">INDEX(Products!$B$2:$B$71,MATCH($C796,Products!$A$2:$A$71,0))</f>
        <v>Quos Set</v>
      </c>
      <c r="L796" s="79" t="str">
        <f aca="false">INDEX(Products!$C$2:$C$71,MATCH($C796,Products!$A$2:$A$71,0))</f>
        <v>Soft Toys</v>
      </c>
      <c r="M796" s="80" t="n">
        <f aca="false">INDEX(Products!$D$2:$D$71,MATCH($C796,Products!$A$2:$A$71,0))</f>
        <v>409</v>
      </c>
      <c r="N796" s="80" t="n">
        <f aca="false">$D796*$M796</f>
        <v>409</v>
      </c>
      <c r="O796" s="79" t="str">
        <f aca="false">INDEX(Customers!$C$2:$C$101,MATCH($B796,Customers!$A$2:$A$101,0))</f>
        <v>Bhatpara</v>
      </c>
      <c r="P796" s="79" t="str">
        <f aca="false">INDEX(Customers!$F$2:$F$101,MATCH($B796,Customers!$A$2:$A$101,0))</f>
        <v>Male</v>
      </c>
      <c r="Q796" s="79" t="str">
        <f aca="false">INDEX(Customers!$B$2:$B$101,MATCH($B796,Customers!$A$2:$A$101,0))</f>
        <v>Emir Gokhale</v>
      </c>
      <c r="R796" s="79" t="n">
        <f aca="false">MONTH($E796)</f>
        <v>3</v>
      </c>
      <c r="S796" s="79" t="str">
        <f aca="false">INDEX(Lists!$B$2:$B$13,$R796)</f>
        <v>March</v>
      </c>
      <c r="T796" s="79" t="n">
        <f aca="false">HOUR($F796)</f>
        <v>17</v>
      </c>
      <c r="U796" s="79" t="n">
        <f aca="false">WEEKDAY($E796,2)</f>
        <v>5</v>
      </c>
      <c r="V796" s="79" t="str">
        <f aca="false">INDEX(Lists!$F$2:$F$8,$U796)</f>
        <v>Friday</v>
      </c>
      <c r="W796" s="81" t="n">
        <f aca="false">($G796+$H796)-($E796+$F796)</f>
        <v>4.17997685185185</v>
      </c>
      <c r="X796" s="79" t="str">
        <f aca="false">LOOKUP($M796,Lists!$G$2:$G$5,Lists!$H$2:$H$5)</f>
        <v>₹0 - 499</v>
      </c>
      <c r="Y796" s="79" t="str">
        <f aca="false">LOOKUP($W796,Lists!$I$2:$I$7,Lists!$J$2:$J$7)</f>
        <v>4 - 6 days</v>
      </c>
    </row>
    <row r="797" customFormat="false" ht="15" hidden="false" customHeight="false" outlineLevel="0" collapsed="false">
      <c r="A797" s="2" t="n">
        <v>796</v>
      </c>
      <c r="B797" s="2" t="s">
        <v>127</v>
      </c>
      <c r="C797" s="2" t="n">
        <v>61</v>
      </c>
      <c r="D797" s="2" t="n">
        <v>4</v>
      </c>
      <c r="E797" s="82" t="n">
        <v>45051</v>
      </c>
      <c r="F797" s="83" t="n">
        <v>0.328773148148148</v>
      </c>
      <c r="G797" s="82" t="n">
        <v>45060</v>
      </c>
      <c r="H797" s="83" t="n">
        <v>0.339178240740741</v>
      </c>
      <c r="I797" s="2" t="s">
        <v>539</v>
      </c>
      <c r="J797" s="2" t="s">
        <v>168</v>
      </c>
      <c r="K797" s="46" t="str">
        <f aca="false">INDEX(Products!$B$2:$B$71,MATCH($C797,Products!$A$2:$A$71,0))</f>
        <v>Iusto Box</v>
      </c>
      <c r="L797" s="46" t="str">
        <f aca="false">INDEX(Products!$C$2:$C$71,MATCH($C797,Products!$A$2:$A$71,0))</f>
        <v>Plants</v>
      </c>
      <c r="M797" s="84" t="n">
        <f aca="false">INDEX(Products!$D$2:$D$71,MATCH($C797,Products!$A$2:$A$71,0))</f>
        <v>810</v>
      </c>
      <c r="N797" s="84" t="n">
        <f aca="false">$D797*$M797</f>
        <v>3240</v>
      </c>
      <c r="O797" s="46" t="str">
        <f aca="false">INDEX(Customers!$C$2:$C$101,MATCH($B797,Customers!$A$2:$A$101,0))</f>
        <v>Bulandshahr</v>
      </c>
      <c r="P797" s="46" t="str">
        <f aca="false">INDEX(Customers!$F$2:$F$101,MATCH($B797,Customers!$A$2:$A$101,0))</f>
        <v>Female</v>
      </c>
      <c r="Q797" s="46" t="str">
        <f aca="false">INDEX(Customers!$B$2:$B$101,MATCH($B797,Customers!$A$2:$A$101,0))</f>
        <v>Myra Edwin</v>
      </c>
      <c r="R797" s="46" t="n">
        <f aca="false">MONTH($E797)</f>
        <v>5</v>
      </c>
      <c r="S797" s="46" t="str">
        <f aca="false">INDEX(Lists!$B$2:$B$13,$R797)</f>
        <v>May</v>
      </c>
      <c r="T797" s="46" t="n">
        <f aca="false">HOUR($F797)</f>
        <v>7</v>
      </c>
      <c r="U797" s="46" t="n">
        <f aca="false">WEEKDAY($E797,2)</f>
        <v>5</v>
      </c>
      <c r="V797" s="46" t="str">
        <f aca="false">INDEX(Lists!$F$2:$F$8,$U797)</f>
        <v>Friday</v>
      </c>
      <c r="W797" s="85" t="n">
        <f aca="false">($G797+$H797)-($E797+$F797)</f>
        <v>9.01040509259259</v>
      </c>
      <c r="X797" s="46" t="str">
        <f aca="false">LOOKUP($M797,Lists!$G$2:$G$5,Lists!$H$2:$H$5)</f>
        <v>₹500 - 999</v>
      </c>
      <c r="Y797" s="46" t="str">
        <f aca="false">LOOKUP($W797,Lists!$I$2:$I$7,Lists!$J$2:$J$7)</f>
        <v>8 - 10 days</v>
      </c>
    </row>
    <row r="798" customFormat="false" ht="15" hidden="false" customHeight="false" outlineLevel="0" collapsed="false">
      <c r="A798" s="7" t="n">
        <v>797</v>
      </c>
      <c r="B798" s="7" t="s">
        <v>245</v>
      </c>
      <c r="C798" s="7" t="n">
        <v>13</v>
      </c>
      <c r="D798" s="7" t="n">
        <v>2</v>
      </c>
      <c r="E798" s="77" t="n">
        <v>44988</v>
      </c>
      <c r="F798" s="78" t="n">
        <v>0.87349537037037</v>
      </c>
      <c r="G798" s="77" t="n">
        <v>44995</v>
      </c>
      <c r="H798" s="78" t="n">
        <v>0.186840277777778</v>
      </c>
      <c r="I798" s="7" t="s">
        <v>595</v>
      </c>
      <c r="J798" s="7" t="s">
        <v>33</v>
      </c>
      <c r="K798" s="79" t="str">
        <f aca="false">INDEX(Products!$B$2:$B$71,MATCH($C798,Products!$A$2:$A$71,0))</f>
        <v>Et Set</v>
      </c>
      <c r="L798" s="79" t="str">
        <f aca="false">INDEX(Products!$C$2:$C$71,MATCH($C798,Products!$A$2:$A$71,0))</f>
        <v>Mugs</v>
      </c>
      <c r="M798" s="80" t="n">
        <f aca="false">INDEX(Products!$D$2:$D$71,MATCH($C798,Products!$A$2:$A$71,0))</f>
        <v>1141</v>
      </c>
      <c r="N798" s="80" t="n">
        <f aca="false">$D798*$M798</f>
        <v>2282</v>
      </c>
      <c r="O798" s="79" t="str">
        <f aca="false">INDEX(Customers!$C$2:$C$101,MATCH($B798,Customers!$A$2:$A$101,0))</f>
        <v>Jorhat</v>
      </c>
      <c r="P798" s="79" t="str">
        <f aca="false">INDEX(Customers!$F$2:$F$101,MATCH($B798,Customers!$A$2:$A$101,0))</f>
        <v>Male</v>
      </c>
      <c r="Q798" s="79" t="str">
        <f aca="false">INDEX(Customers!$B$2:$B$101,MATCH($B798,Customers!$A$2:$A$101,0))</f>
        <v>Bhamini Ravi</v>
      </c>
      <c r="R798" s="79" t="n">
        <f aca="false">MONTH($E798)</f>
        <v>3</v>
      </c>
      <c r="S798" s="79" t="str">
        <f aca="false">INDEX(Lists!$B$2:$B$13,$R798)</f>
        <v>March</v>
      </c>
      <c r="T798" s="79" t="n">
        <f aca="false">HOUR($F798)</f>
        <v>20</v>
      </c>
      <c r="U798" s="79" t="n">
        <f aca="false">WEEKDAY($E798,2)</f>
        <v>5</v>
      </c>
      <c r="V798" s="79" t="str">
        <f aca="false">INDEX(Lists!$F$2:$F$8,$U798)</f>
        <v>Friday</v>
      </c>
      <c r="W798" s="81" t="n">
        <f aca="false">($G798+$H798)-($E798+$F798)</f>
        <v>6.31334490740741</v>
      </c>
      <c r="X798" s="79" t="str">
        <f aca="false">LOOKUP($M798,Lists!$G$2:$G$5,Lists!$H$2:$H$5)</f>
        <v>₹1,000 - 1,499</v>
      </c>
      <c r="Y798" s="79" t="str">
        <f aca="false">LOOKUP($W798,Lists!$I$2:$I$7,Lists!$J$2:$J$7)</f>
        <v>6 - 8 days</v>
      </c>
    </row>
    <row r="799" customFormat="false" ht="15" hidden="false" customHeight="false" outlineLevel="0" collapsed="false">
      <c r="A799" s="2" t="n">
        <v>798</v>
      </c>
      <c r="B799" s="2" t="s">
        <v>233</v>
      </c>
      <c r="C799" s="2" t="n">
        <v>30</v>
      </c>
      <c r="D799" s="2" t="n">
        <v>5</v>
      </c>
      <c r="E799" s="82" t="n">
        <v>45277</v>
      </c>
      <c r="F799" s="83" t="n">
        <v>0.732847222222222</v>
      </c>
      <c r="G799" s="82" t="n">
        <v>45286</v>
      </c>
      <c r="H799" s="83" t="n">
        <v>0.0778819444444445</v>
      </c>
      <c r="I799" s="2" t="s">
        <v>578</v>
      </c>
      <c r="J799" s="2" t="s">
        <v>168</v>
      </c>
      <c r="K799" s="46" t="str">
        <f aca="false">INDEX(Products!$B$2:$B$71,MATCH($C799,Products!$A$2:$A$71,0))</f>
        <v>Recusandae Pack</v>
      </c>
      <c r="L799" s="46" t="str">
        <f aca="false">INDEX(Products!$C$2:$C$71,MATCH($C799,Products!$A$2:$A$71,0))</f>
        <v>Colors</v>
      </c>
      <c r="M799" s="84" t="n">
        <f aca="false">INDEX(Products!$D$2:$D$71,MATCH($C799,Products!$A$2:$A$71,0))</f>
        <v>751</v>
      </c>
      <c r="N799" s="84" t="n">
        <f aca="false">$D799*$M799</f>
        <v>3755</v>
      </c>
      <c r="O799" s="46" t="str">
        <f aca="false">INDEX(Customers!$C$2:$C$101,MATCH($B799,Customers!$A$2:$A$101,0))</f>
        <v>Vellore</v>
      </c>
      <c r="P799" s="46" t="str">
        <f aca="false">INDEX(Customers!$F$2:$F$101,MATCH($B799,Customers!$A$2:$A$101,0))</f>
        <v>Female</v>
      </c>
      <c r="Q799" s="46" t="str">
        <f aca="false">INDEX(Customers!$B$2:$B$101,MATCH($B799,Customers!$A$2:$A$101,0))</f>
        <v>Yasmin Sheth</v>
      </c>
      <c r="R799" s="46" t="n">
        <f aca="false">MONTH($E799)</f>
        <v>12</v>
      </c>
      <c r="S799" s="46" t="str">
        <f aca="false">INDEX(Lists!$B$2:$B$13,$R799)</f>
        <v>December</v>
      </c>
      <c r="T799" s="46" t="n">
        <f aca="false">HOUR($F799)</f>
        <v>17</v>
      </c>
      <c r="U799" s="46" t="n">
        <f aca="false">WEEKDAY($E799,2)</f>
        <v>7</v>
      </c>
      <c r="V799" s="46" t="str">
        <f aca="false">INDEX(Lists!$F$2:$F$8,$U799)</f>
        <v>Sunday</v>
      </c>
      <c r="W799" s="85" t="n">
        <f aca="false">($G799+$H799)-($E799+$F799)</f>
        <v>8.34503472222222</v>
      </c>
      <c r="X799" s="46" t="str">
        <f aca="false">LOOKUP($M799,Lists!$G$2:$G$5,Lists!$H$2:$H$5)</f>
        <v>₹500 - 999</v>
      </c>
      <c r="Y799" s="46" t="str">
        <f aca="false">LOOKUP($W799,Lists!$I$2:$I$7,Lists!$J$2:$J$7)</f>
        <v>8 - 10 days</v>
      </c>
    </row>
    <row r="800" customFormat="false" ht="15" hidden="false" customHeight="false" outlineLevel="0" collapsed="false">
      <c r="A800" s="7" t="n">
        <v>799</v>
      </c>
      <c r="B800" s="7" t="s">
        <v>350</v>
      </c>
      <c r="C800" s="7" t="n">
        <v>32</v>
      </c>
      <c r="D800" s="7" t="n">
        <v>5</v>
      </c>
      <c r="E800" s="77" t="n">
        <v>45221</v>
      </c>
      <c r="F800" s="78" t="n">
        <v>0.0764930555555556</v>
      </c>
      <c r="G800" s="77" t="n">
        <v>45231</v>
      </c>
      <c r="H800" s="78" t="n">
        <v>0.848912037037037</v>
      </c>
      <c r="I800" s="7" t="s">
        <v>525</v>
      </c>
      <c r="J800" s="7" t="s">
        <v>31</v>
      </c>
      <c r="K800" s="79" t="str">
        <f aca="false">INDEX(Products!$B$2:$B$71,MATCH($C800,Products!$A$2:$A$71,0))</f>
        <v>Fuga Set</v>
      </c>
      <c r="L800" s="79" t="str">
        <f aca="false">INDEX(Products!$C$2:$C$71,MATCH($C800,Products!$A$2:$A$71,0))</f>
        <v>Soft Toys</v>
      </c>
      <c r="M800" s="80" t="n">
        <f aca="false">INDEX(Products!$D$2:$D$71,MATCH($C800,Products!$A$2:$A$71,0))</f>
        <v>1792</v>
      </c>
      <c r="N800" s="80" t="n">
        <f aca="false">$D800*$M800</f>
        <v>8960</v>
      </c>
      <c r="O800" s="79" t="str">
        <f aca="false">INDEX(Customers!$C$2:$C$101,MATCH($B800,Customers!$A$2:$A$101,0))</f>
        <v>Tiruchirappalli</v>
      </c>
      <c r="P800" s="79" t="str">
        <f aca="false">INDEX(Customers!$F$2:$F$101,MATCH($B800,Customers!$A$2:$A$101,0))</f>
        <v>Male</v>
      </c>
      <c r="Q800" s="79" t="str">
        <f aca="false">INDEX(Customers!$B$2:$B$101,MATCH($B800,Customers!$A$2:$A$101,0))</f>
        <v>Anahita Shankar</v>
      </c>
      <c r="R800" s="79" t="n">
        <f aca="false">MONTH($E800)</f>
        <v>10</v>
      </c>
      <c r="S800" s="79" t="str">
        <f aca="false">INDEX(Lists!$B$2:$B$13,$R800)</f>
        <v>October</v>
      </c>
      <c r="T800" s="79" t="n">
        <f aca="false">HOUR($F800)</f>
        <v>1</v>
      </c>
      <c r="U800" s="79" t="n">
        <f aca="false">WEEKDAY($E800,2)</f>
        <v>7</v>
      </c>
      <c r="V800" s="79" t="str">
        <f aca="false">INDEX(Lists!$F$2:$F$8,$U800)</f>
        <v>Sunday</v>
      </c>
      <c r="W800" s="81" t="n">
        <f aca="false">($G800+$H800)-($E800+$F800)</f>
        <v>10.7724189814815</v>
      </c>
      <c r="X800" s="79" t="str">
        <f aca="false">LOOKUP($M800,Lists!$G$2:$G$5,Lists!$H$2:$H$5)</f>
        <v>₹1,500 - 2,000</v>
      </c>
      <c r="Y800" s="79" t="str">
        <f aca="false">LOOKUP($W800,Lists!$I$2:$I$7,Lists!$J$2:$J$7)</f>
        <v>Over 10 days</v>
      </c>
    </row>
    <row r="801" customFormat="false" ht="15" hidden="false" customHeight="false" outlineLevel="0" collapsed="false">
      <c r="A801" s="2" t="n">
        <v>800</v>
      </c>
      <c r="B801" s="2" t="s">
        <v>161</v>
      </c>
      <c r="C801" s="2" t="n">
        <v>24</v>
      </c>
      <c r="D801" s="2" t="n">
        <v>5</v>
      </c>
      <c r="E801" s="82" t="n">
        <v>45094</v>
      </c>
      <c r="F801" s="83" t="n">
        <v>0.909976851851852</v>
      </c>
      <c r="G801" s="82" t="n">
        <v>45098</v>
      </c>
      <c r="H801" s="83" t="n">
        <v>0.30068287037037</v>
      </c>
      <c r="I801" s="2" t="s">
        <v>475</v>
      </c>
      <c r="J801" s="2" t="s">
        <v>31</v>
      </c>
      <c r="K801" s="46" t="str">
        <f aca="false">INDEX(Products!$B$2:$B$71,MATCH($C801,Products!$A$2:$A$71,0))</f>
        <v>Ad Box</v>
      </c>
      <c r="L801" s="46" t="str">
        <f aca="false">INDEX(Products!$C$2:$C$71,MATCH($C801,Products!$A$2:$A$71,0))</f>
        <v>Mugs</v>
      </c>
      <c r="M801" s="84" t="n">
        <f aca="false">INDEX(Products!$D$2:$D$71,MATCH($C801,Products!$A$2:$A$71,0))</f>
        <v>535</v>
      </c>
      <c r="N801" s="84" t="n">
        <f aca="false">$D801*$M801</f>
        <v>2675</v>
      </c>
      <c r="O801" s="46" t="str">
        <f aca="false">INDEX(Customers!$C$2:$C$101,MATCH($B801,Customers!$A$2:$A$101,0))</f>
        <v>Panvel</v>
      </c>
      <c r="P801" s="46" t="str">
        <f aca="false">INDEX(Customers!$F$2:$F$101,MATCH($B801,Customers!$A$2:$A$101,0))</f>
        <v>Female</v>
      </c>
      <c r="Q801" s="46" t="str">
        <f aca="false">INDEX(Customers!$B$2:$B$101,MATCH($B801,Customers!$A$2:$A$101,0))</f>
        <v>Indrans Shukla</v>
      </c>
      <c r="R801" s="46" t="n">
        <f aca="false">MONTH($E801)</f>
        <v>6</v>
      </c>
      <c r="S801" s="46" t="str">
        <f aca="false">INDEX(Lists!$B$2:$B$13,$R801)</f>
        <v>June</v>
      </c>
      <c r="T801" s="46" t="n">
        <f aca="false">HOUR($F801)</f>
        <v>21</v>
      </c>
      <c r="U801" s="46" t="n">
        <f aca="false">WEEKDAY($E801,2)</f>
        <v>6</v>
      </c>
      <c r="V801" s="46" t="str">
        <f aca="false">INDEX(Lists!$F$2:$F$8,$U801)</f>
        <v>Saturday</v>
      </c>
      <c r="W801" s="85" t="n">
        <f aca="false">($G801+$H801)-($E801+$F801)</f>
        <v>3.39070601851852</v>
      </c>
      <c r="X801" s="46" t="str">
        <f aca="false">LOOKUP($M801,Lists!$G$2:$G$5,Lists!$H$2:$H$5)</f>
        <v>₹500 - 999</v>
      </c>
      <c r="Y801" s="46" t="str">
        <f aca="false">LOOKUP($W801,Lists!$I$2:$I$7,Lists!$J$2:$J$7)</f>
        <v>2 - 4 days</v>
      </c>
    </row>
    <row r="802" customFormat="false" ht="15" hidden="false" customHeight="false" outlineLevel="0" collapsed="false">
      <c r="A802" s="7" t="n">
        <v>801</v>
      </c>
      <c r="B802" s="7" t="s">
        <v>278</v>
      </c>
      <c r="C802" s="7" t="n">
        <v>35</v>
      </c>
      <c r="D802" s="7" t="n">
        <v>1</v>
      </c>
      <c r="E802" s="77" t="n">
        <v>44992</v>
      </c>
      <c r="F802" s="78" t="n">
        <v>0.802638888888889</v>
      </c>
      <c r="G802" s="77" t="n">
        <v>45000</v>
      </c>
      <c r="H802" s="78" t="n">
        <v>0.274444444444444</v>
      </c>
      <c r="I802" s="7" t="s">
        <v>352</v>
      </c>
      <c r="J802" s="7" t="s">
        <v>33</v>
      </c>
      <c r="K802" s="79" t="str">
        <f aca="false">INDEX(Products!$B$2:$B$71,MATCH($C802,Products!$A$2:$A$71,0))</f>
        <v>Nam Gift</v>
      </c>
      <c r="L802" s="79" t="str">
        <f aca="false">INDEX(Products!$C$2:$C$71,MATCH($C802,Products!$A$2:$A$71,0))</f>
        <v>Colors</v>
      </c>
      <c r="M802" s="80" t="n">
        <f aca="false">INDEX(Products!$D$2:$D$71,MATCH($C802,Products!$A$2:$A$71,0))</f>
        <v>1865</v>
      </c>
      <c r="N802" s="80" t="n">
        <f aca="false">$D802*$M802</f>
        <v>1865</v>
      </c>
      <c r="O802" s="79" t="str">
        <f aca="false">INDEX(Customers!$C$2:$C$101,MATCH($B802,Customers!$A$2:$A$101,0))</f>
        <v>Guntakal</v>
      </c>
      <c r="P802" s="79" t="str">
        <f aca="false">INDEX(Customers!$F$2:$F$101,MATCH($B802,Customers!$A$2:$A$101,0))</f>
        <v>Male</v>
      </c>
      <c r="Q802" s="79" t="str">
        <f aca="false">INDEX(Customers!$B$2:$B$101,MATCH($B802,Customers!$A$2:$A$101,0))</f>
        <v>Charvi Kanda</v>
      </c>
      <c r="R802" s="79" t="n">
        <f aca="false">MONTH($E802)</f>
        <v>3</v>
      </c>
      <c r="S802" s="79" t="str">
        <f aca="false">INDEX(Lists!$B$2:$B$13,$R802)</f>
        <v>March</v>
      </c>
      <c r="T802" s="79" t="n">
        <f aca="false">HOUR($F802)</f>
        <v>19</v>
      </c>
      <c r="U802" s="79" t="n">
        <f aca="false">WEEKDAY($E802,2)</f>
        <v>2</v>
      </c>
      <c r="V802" s="79" t="str">
        <f aca="false">INDEX(Lists!$F$2:$F$8,$U802)</f>
        <v>Tuesday</v>
      </c>
      <c r="W802" s="81" t="n">
        <f aca="false">($G802+$H802)-($E802+$F802)</f>
        <v>7.47180555555556</v>
      </c>
      <c r="X802" s="79" t="str">
        <f aca="false">LOOKUP($M802,Lists!$G$2:$G$5,Lists!$H$2:$H$5)</f>
        <v>₹1,500 - 2,000</v>
      </c>
      <c r="Y802" s="79" t="str">
        <f aca="false">LOOKUP($W802,Lists!$I$2:$I$7,Lists!$J$2:$J$7)</f>
        <v>6 - 8 days</v>
      </c>
    </row>
    <row r="803" customFormat="false" ht="15" hidden="false" customHeight="false" outlineLevel="0" collapsed="false">
      <c r="A803" s="2" t="n">
        <v>802</v>
      </c>
      <c r="B803" s="2" t="s">
        <v>385</v>
      </c>
      <c r="C803" s="2" t="n">
        <v>45</v>
      </c>
      <c r="D803" s="2" t="n">
        <v>3</v>
      </c>
      <c r="E803" s="82" t="n">
        <v>45008</v>
      </c>
      <c r="F803" s="83" t="n">
        <v>0.525960648148148</v>
      </c>
      <c r="G803" s="82" t="n">
        <v>45011</v>
      </c>
      <c r="H803" s="83" t="n">
        <v>0.263194444444445</v>
      </c>
      <c r="I803" s="2" t="s">
        <v>349</v>
      </c>
      <c r="J803" s="2" t="s">
        <v>31</v>
      </c>
      <c r="K803" s="46" t="str">
        <f aca="false">INDEX(Products!$B$2:$B$71,MATCH($C803,Products!$A$2:$A$71,0))</f>
        <v>Iusto Set</v>
      </c>
      <c r="L803" s="46" t="str">
        <f aca="false">INDEX(Products!$C$2:$C$71,MATCH($C803,Products!$A$2:$A$71,0))</f>
        <v>Raksha Bandhan</v>
      </c>
      <c r="M803" s="84" t="n">
        <f aca="false">INDEX(Products!$D$2:$D$71,MATCH($C803,Products!$A$2:$A$71,0))</f>
        <v>722</v>
      </c>
      <c r="N803" s="84" t="n">
        <f aca="false">$D803*$M803</f>
        <v>2166</v>
      </c>
      <c r="O803" s="46" t="str">
        <f aca="false">INDEX(Customers!$C$2:$C$101,MATCH($B803,Customers!$A$2:$A$101,0))</f>
        <v>Sri Ganganagar</v>
      </c>
      <c r="P803" s="46" t="str">
        <f aca="false">INDEX(Customers!$F$2:$F$101,MATCH($B803,Customers!$A$2:$A$101,0))</f>
        <v>Female</v>
      </c>
      <c r="Q803" s="46" t="str">
        <f aca="false">INDEX(Customers!$B$2:$B$101,MATCH($B803,Customers!$A$2:$A$101,0))</f>
        <v>Nakul Randhawa</v>
      </c>
      <c r="R803" s="46" t="n">
        <f aca="false">MONTH($E803)</f>
        <v>3</v>
      </c>
      <c r="S803" s="46" t="str">
        <f aca="false">INDEX(Lists!$B$2:$B$13,$R803)</f>
        <v>March</v>
      </c>
      <c r="T803" s="46" t="n">
        <f aca="false">HOUR($F803)</f>
        <v>12</v>
      </c>
      <c r="U803" s="46" t="n">
        <f aca="false">WEEKDAY($E803,2)</f>
        <v>4</v>
      </c>
      <c r="V803" s="46" t="str">
        <f aca="false">INDEX(Lists!$F$2:$F$8,$U803)</f>
        <v>Thursday</v>
      </c>
      <c r="W803" s="85" t="n">
        <f aca="false">($G803+$H803)-($E803+$F803)</f>
        <v>2.7372337962963</v>
      </c>
      <c r="X803" s="46" t="str">
        <f aca="false">LOOKUP($M803,Lists!$G$2:$G$5,Lists!$H$2:$H$5)</f>
        <v>₹500 - 999</v>
      </c>
      <c r="Y803" s="46" t="str">
        <f aca="false">LOOKUP($W803,Lists!$I$2:$I$7,Lists!$J$2:$J$7)</f>
        <v>2 - 4 days</v>
      </c>
    </row>
    <row r="804" customFormat="false" ht="15" hidden="false" customHeight="false" outlineLevel="0" collapsed="false">
      <c r="A804" s="7" t="n">
        <v>803</v>
      </c>
      <c r="B804" s="7" t="s">
        <v>224</v>
      </c>
      <c r="C804" s="7" t="n">
        <v>26</v>
      </c>
      <c r="D804" s="7" t="n">
        <v>1</v>
      </c>
      <c r="E804" s="77" t="n">
        <v>44988</v>
      </c>
      <c r="F804" s="78" t="n">
        <v>0.502638888888889</v>
      </c>
      <c r="G804" s="77" t="n">
        <v>44995</v>
      </c>
      <c r="H804" s="78" t="n">
        <v>0.118113425925926</v>
      </c>
      <c r="I804" s="7" t="s">
        <v>554</v>
      </c>
      <c r="J804" s="7" t="s">
        <v>33</v>
      </c>
      <c r="K804" s="79" t="str">
        <f aca="false">INDEX(Products!$B$2:$B$71,MATCH($C804,Products!$A$2:$A$71,0))</f>
        <v>Aliquam Box</v>
      </c>
      <c r="L804" s="79" t="str">
        <f aca="false">INDEX(Products!$C$2:$C$71,MATCH($C804,Products!$A$2:$A$71,0))</f>
        <v>Colors</v>
      </c>
      <c r="M804" s="80" t="n">
        <f aca="false">INDEX(Products!$D$2:$D$71,MATCH($C804,Products!$A$2:$A$71,0))</f>
        <v>289</v>
      </c>
      <c r="N804" s="80" t="n">
        <f aca="false">$D804*$M804</f>
        <v>289</v>
      </c>
      <c r="O804" s="79" t="str">
        <f aca="false">INDEX(Customers!$C$2:$C$101,MATCH($B804,Customers!$A$2:$A$101,0))</f>
        <v>Pallavaram</v>
      </c>
      <c r="P804" s="79" t="str">
        <f aca="false">INDEX(Customers!$F$2:$F$101,MATCH($B804,Customers!$A$2:$A$101,0))</f>
        <v>Female</v>
      </c>
      <c r="Q804" s="79" t="str">
        <f aca="false">INDEX(Customers!$B$2:$B$101,MATCH($B804,Customers!$A$2:$A$101,0))</f>
        <v>Hazel Mangat</v>
      </c>
      <c r="R804" s="79" t="n">
        <f aca="false">MONTH($E804)</f>
        <v>3</v>
      </c>
      <c r="S804" s="79" t="str">
        <f aca="false">INDEX(Lists!$B$2:$B$13,$R804)</f>
        <v>March</v>
      </c>
      <c r="T804" s="79" t="n">
        <f aca="false">HOUR($F804)</f>
        <v>12</v>
      </c>
      <c r="U804" s="79" t="n">
        <f aca="false">WEEKDAY($E804,2)</f>
        <v>5</v>
      </c>
      <c r="V804" s="79" t="str">
        <f aca="false">INDEX(Lists!$F$2:$F$8,$U804)</f>
        <v>Friday</v>
      </c>
      <c r="W804" s="81" t="n">
        <f aca="false">($G804+$H804)-($E804+$F804)</f>
        <v>6.61547453703704</v>
      </c>
      <c r="X804" s="79" t="str">
        <f aca="false">LOOKUP($M804,Lists!$G$2:$G$5,Lists!$H$2:$H$5)</f>
        <v>₹0 - 499</v>
      </c>
      <c r="Y804" s="79" t="str">
        <f aca="false">LOOKUP($W804,Lists!$I$2:$I$7,Lists!$J$2:$J$7)</f>
        <v>6 - 8 days</v>
      </c>
    </row>
    <row r="805" customFormat="false" ht="15" hidden="false" customHeight="false" outlineLevel="0" collapsed="false">
      <c r="A805" s="2" t="n">
        <v>804</v>
      </c>
      <c r="B805" s="2" t="s">
        <v>148</v>
      </c>
      <c r="C805" s="2" t="n">
        <v>3</v>
      </c>
      <c r="D805" s="2" t="n">
        <v>3</v>
      </c>
      <c r="E805" s="82" t="n">
        <v>44962</v>
      </c>
      <c r="F805" s="83" t="n">
        <v>0.234236111111111</v>
      </c>
      <c r="G805" s="82" t="n">
        <v>44964</v>
      </c>
      <c r="H805" s="83" t="n">
        <v>0.082037037037037</v>
      </c>
      <c r="I805" s="2" t="s">
        <v>335</v>
      </c>
      <c r="J805" s="2" t="s">
        <v>179</v>
      </c>
      <c r="K805" s="46" t="str">
        <f aca="false">INDEX(Products!$B$2:$B$71,MATCH($C805,Products!$A$2:$A$71,0))</f>
        <v>Eius Gift</v>
      </c>
      <c r="L805" s="46" t="str">
        <f aca="false">INDEX(Products!$C$2:$C$71,MATCH($C805,Products!$A$2:$A$71,0))</f>
        <v>Colors</v>
      </c>
      <c r="M805" s="84" t="n">
        <f aca="false">INDEX(Products!$D$2:$D$71,MATCH($C805,Products!$A$2:$A$71,0))</f>
        <v>1534</v>
      </c>
      <c r="N805" s="84" t="n">
        <f aca="false">$D805*$M805</f>
        <v>4602</v>
      </c>
      <c r="O805" s="46" t="str">
        <f aca="false">INDEX(Customers!$C$2:$C$101,MATCH($B805,Customers!$A$2:$A$101,0))</f>
        <v>Madurai</v>
      </c>
      <c r="P805" s="46" t="str">
        <f aca="false">INDEX(Customers!$F$2:$F$101,MATCH($B805,Customers!$A$2:$A$101,0))</f>
        <v>Female</v>
      </c>
      <c r="Q805" s="46" t="str">
        <f aca="false">INDEX(Customers!$B$2:$B$101,MATCH($B805,Customers!$A$2:$A$101,0))</f>
        <v>Ritvik Borah</v>
      </c>
      <c r="R805" s="46" t="n">
        <f aca="false">MONTH($E805)</f>
        <v>2</v>
      </c>
      <c r="S805" s="46" t="str">
        <f aca="false">INDEX(Lists!$B$2:$B$13,$R805)</f>
        <v>February</v>
      </c>
      <c r="T805" s="46" t="n">
        <f aca="false">HOUR($F805)</f>
        <v>5</v>
      </c>
      <c r="U805" s="46" t="n">
        <f aca="false">WEEKDAY($E805,2)</f>
        <v>7</v>
      </c>
      <c r="V805" s="46" t="str">
        <f aca="false">INDEX(Lists!$F$2:$F$8,$U805)</f>
        <v>Sunday</v>
      </c>
      <c r="W805" s="85" t="n">
        <f aca="false">($G805+$H805)-($E805+$F805)</f>
        <v>1.84780092592593</v>
      </c>
      <c r="X805" s="46" t="str">
        <f aca="false">LOOKUP($M805,Lists!$G$2:$G$5,Lists!$H$2:$H$5)</f>
        <v>₹1,500 - 2,000</v>
      </c>
      <c r="Y805" s="46" t="str">
        <f aca="false">LOOKUP($W805,Lists!$I$2:$I$7,Lists!$J$2:$J$7)</f>
        <v>0 - 2 days</v>
      </c>
    </row>
    <row r="806" customFormat="false" ht="15" hidden="false" customHeight="false" outlineLevel="0" collapsed="false">
      <c r="A806" s="7" t="n">
        <v>805</v>
      </c>
      <c r="B806" s="7" t="s">
        <v>194</v>
      </c>
      <c r="C806" s="7" t="n">
        <v>24</v>
      </c>
      <c r="D806" s="7" t="n">
        <v>3</v>
      </c>
      <c r="E806" s="77" t="n">
        <v>45088</v>
      </c>
      <c r="F806" s="78" t="n">
        <v>0.610509259259259</v>
      </c>
      <c r="G806" s="77" t="n">
        <v>45091</v>
      </c>
      <c r="H806" s="78" t="n">
        <v>0.755081018518519</v>
      </c>
      <c r="I806" s="7" t="s">
        <v>203</v>
      </c>
      <c r="J806" s="7" t="s">
        <v>31</v>
      </c>
      <c r="K806" s="79" t="str">
        <f aca="false">INDEX(Products!$B$2:$B$71,MATCH($C806,Products!$A$2:$A$71,0))</f>
        <v>Ad Box</v>
      </c>
      <c r="L806" s="79" t="str">
        <f aca="false">INDEX(Products!$C$2:$C$71,MATCH($C806,Products!$A$2:$A$71,0))</f>
        <v>Mugs</v>
      </c>
      <c r="M806" s="80" t="n">
        <f aca="false">INDEX(Products!$D$2:$D$71,MATCH($C806,Products!$A$2:$A$71,0))</f>
        <v>535</v>
      </c>
      <c r="N806" s="80" t="n">
        <f aca="false">$D806*$M806</f>
        <v>1605</v>
      </c>
      <c r="O806" s="79" t="str">
        <f aca="false">INDEX(Customers!$C$2:$C$101,MATCH($B806,Customers!$A$2:$A$101,0))</f>
        <v>Noida</v>
      </c>
      <c r="P806" s="79" t="str">
        <f aca="false">INDEX(Customers!$F$2:$F$101,MATCH($B806,Customers!$A$2:$A$101,0))</f>
        <v>Female</v>
      </c>
      <c r="Q806" s="79" t="str">
        <f aca="false">INDEX(Customers!$B$2:$B$101,MATCH($B806,Customers!$A$2:$A$101,0))</f>
        <v>Hridaan Rajagopalan</v>
      </c>
      <c r="R806" s="79" t="n">
        <f aca="false">MONTH($E806)</f>
        <v>6</v>
      </c>
      <c r="S806" s="79" t="str">
        <f aca="false">INDEX(Lists!$B$2:$B$13,$R806)</f>
        <v>June</v>
      </c>
      <c r="T806" s="79" t="n">
        <f aca="false">HOUR($F806)</f>
        <v>14</v>
      </c>
      <c r="U806" s="79" t="n">
        <f aca="false">WEEKDAY($E806,2)</f>
        <v>7</v>
      </c>
      <c r="V806" s="79" t="str">
        <f aca="false">INDEX(Lists!$F$2:$F$8,$U806)</f>
        <v>Sunday</v>
      </c>
      <c r="W806" s="81" t="n">
        <f aca="false">($G806+$H806)-($E806+$F806)</f>
        <v>3.14457175925926</v>
      </c>
      <c r="X806" s="79" t="str">
        <f aca="false">LOOKUP($M806,Lists!$G$2:$G$5,Lists!$H$2:$H$5)</f>
        <v>₹500 - 999</v>
      </c>
      <c r="Y806" s="79" t="str">
        <f aca="false">LOOKUP($W806,Lists!$I$2:$I$7,Lists!$J$2:$J$7)</f>
        <v>2 - 4 days</v>
      </c>
    </row>
    <row r="807" customFormat="false" ht="15" hidden="false" customHeight="false" outlineLevel="0" collapsed="false">
      <c r="A807" s="2" t="n">
        <v>806</v>
      </c>
      <c r="B807" s="2" t="s">
        <v>360</v>
      </c>
      <c r="C807" s="2" t="n">
        <v>29</v>
      </c>
      <c r="D807" s="2" t="n">
        <v>2</v>
      </c>
      <c r="E807" s="82" t="n">
        <v>44985</v>
      </c>
      <c r="F807" s="83" t="n">
        <v>0.542615740740741</v>
      </c>
      <c r="G807" s="82" t="n">
        <v>44993</v>
      </c>
      <c r="H807" s="83" t="n">
        <v>0.277060185185185</v>
      </c>
      <c r="I807" s="2" t="s">
        <v>440</v>
      </c>
      <c r="J807" s="2" t="s">
        <v>33</v>
      </c>
      <c r="K807" s="46" t="str">
        <f aca="false">INDEX(Products!$B$2:$B$71,MATCH($C807,Products!$A$2:$A$71,0))</f>
        <v>In Set</v>
      </c>
      <c r="L807" s="46" t="str">
        <f aca="false">INDEX(Products!$C$2:$C$71,MATCH($C807,Products!$A$2:$A$71,0))</f>
        <v>Colors</v>
      </c>
      <c r="M807" s="84" t="n">
        <f aca="false">INDEX(Products!$D$2:$D$71,MATCH($C807,Products!$A$2:$A$71,0))</f>
        <v>1252</v>
      </c>
      <c r="N807" s="84" t="n">
        <f aca="false">$D807*$M807</f>
        <v>2504</v>
      </c>
      <c r="O807" s="46" t="str">
        <f aca="false">INDEX(Customers!$C$2:$C$101,MATCH($B807,Customers!$A$2:$A$101,0))</f>
        <v>Khora </v>
      </c>
      <c r="P807" s="46" t="str">
        <f aca="false">INDEX(Customers!$F$2:$F$101,MATCH($B807,Customers!$A$2:$A$101,0))</f>
        <v>Female</v>
      </c>
      <c r="Q807" s="46" t="str">
        <f aca="false">INDEX(Customers!$B$2:$B$101,MATCH($B807,Customers!$A$2:$A$101,0))</f>
        <v>Shalv Kulkarni</v>
      </c>
      <c r="R807" s="46" t="n">
        <f aca="false">MONTH($E807)</f>
        <v>2</v>
      </c>
      <c r="S807" s="46" t="str">
        <f aca="false">INDEX(Lists!$B$2:$B$13,$R807)</f>
        <v>February</v>
      </c>
      <c r="T807" s="46" t="n">
        <f aca="false">HOUR($F807)</f>
        <v>13</v>
      </c>
      <c r="U807" s="46" t="n">
        <f aca="false">WEEKDAY($E807,2)</f>
        <v>2</v>
      </c>
      <c r="V807" s="46" t="str">
        <f aca="false">INDEX(Lists!$F$2:$F$8,$U807)</f>
        <v>Tuesday</v>
      </c>
      <c r="W807" s="85" t="n">
        <f aca="false">($G807+$H807)-($E807+$F807)</f>
        <v>7.73444444444445</v>
      </c>
      <c r="X807" s="46" t="str">
        <f aca="false">LOOKUP($M807,Lists!$G$2:$G$5,Lists!$H$2:$H$5)</f>
        <v>₹1,000 - 1,499</v>
      </c>
      <c r="Y807" s="46" t="str">
        <f aca="false">LOOKUP($W807,Lists!$I$2:$I$7,Lists!$J$2:$J$7)</f>
        <v>6 - 8 days</v>
      </c>
    </row>
    <row r="808" customFormat="false" ht="15" hidden="false" customHeight="false" outlineLevel="0" collapsed="false">
      <c r="A808" s="7" t="n">
        <v>807</v>
      </c>
      <c r="B808" s="7" t="s">
        <v>139</v>
      </c>
      <c r="C808" s="7" t="n">
        <v>40</v>
      </c>
      <c r="D808" s="7" t="n">
        <v>4</v>
      </c>
      <c r="E808" s="77" t="n">
        <v>45259</v>
      </c>
      <c r="F808" s="78" t="n">
        <v>0.680775462962963</v>
      </c>
      <c r="G808" s="77" t="n">
        <v>45269</v>
      </c>
      <c r="H808" s="78" t="n">
        <v>0.131909722222222</v>
      </c>
      <c r="I808" s="7" t="s">
        <v>259</v>
      </c>
      <c r="J808" s="7" t="s">
        <v>168</v>
      </c>
      <c r="K808" s="79" t="str">
        <f aca="false">INDEX(Products!$B$2:$B$71,MATCH($C808,Products!$A$2:$A$71,0))</f>
        <v>Provident Pack</v>
      </c>
      <c r="L808" s="79" t="str">
        <f aca="false">INDEX(Products!$C$2:$C$71,MATCH($C808,Products!$A$2:$A$71,0))</f>
        <v>Sweets</v>
      </c>
      <c r="M808" s="80" t="n">
        <f aca="false">INDEX(Products!$D$2:$D$71,MATCH($C808,Products!$A$2:$A$71,0))</f>
        <v>1923</v>
      </c>
      <c r="N808" s="80" t="n">
        <f aca="false">$D808*$M808</f>
        <v>7692</v>
      </c>
      <c r="O808" s="79" t="str">
        <f aca="false">INDEX(Customers!$C$2:$C$101,MATCH($B808,Customers!$A$2:$A$101,0))</f>
        <v>Karimnagar</v>
      </c>
      <c r="P808" s="79" t="str">
        <f aca="false">INDEX(Customers!$F$2:$F$101,MATCH($B808,Customers!$A$2:$A$101,0))</f>
        <v>Female</v>
      </c>
      <c r="Q808" s="79" t="str">
        <f aca="false">INDEX(Customers!$B$2:$B$101,MATCH($B808,Customers!$A$2:$A$101,0))</f>
        <v>Rania Mann</v>
      </c>
      <c r="R808" s="79" t="n">
        <f aca="false">MONTH($E808)</f>
        <v>11</v>
      </c>
      <c r="S808" s="79" t="str">
        <f aca="false">INDEX(Lists!$B$2:$B$13,$R808)</f>
        <v>November</v>
      </c>
      <c r="T808" s="79" t="n">
        <f aca="false">HOUR($F808)</f>
        <v>16</v>
      </c>
      <c r="U808" s="79" t="n">
        <f aca="false">WEEKDAY($E808,2)</f>
        <v>3</v>
      </c>
      <c r="V808" s="79" t="str">
        <f aca="false">INDEX(Lists!$F$2:$F$8,$U808)</f>
        <v>Wednesday</v>
      </c>
      <c r="W808" s="81" t="n">
        <f aca="false">($G808+$H808)-($E808+$F808)</f>
        <v>9.45113425925926</v>
      </c>
      <c r="X808" s="79" t="str">
        <f aca="false">LOOKUP($M808,Lists!$G$2:$G$5,Lists!$H$2:$H$5)</f>
        <v>₹1,500 - 2,000</v>
      </c>
      <c r="Y808" s="79" t="str">
        <f aca="false">LOOKUP($W808,Lists!$I$2:$I$7,Lists!$J$2:$J$7)</f>
        <v>8 - 10 days</v>
      </c>
    </row>
    <row r="809" customFormat="false" ht="15" hidden="false" customHeight="false" outlineLevel="0" collapsed="false">
      <c r="A809" s="2" t="n">
        <v>808</v>
      </c>
      <c r="B809" s="2" t="s">
        <v>127</v>
      </c>
      <c r="C809" s="2" t="n">
        <v>9</v>
      </c>
      <c r="D809" s="2" t="n">
        <v>2</v>
      </c>
      <c r="E809" s="82" t="n">
        <v>45167</v>
      </c>
      <c r="F809" s="83" t="n">
        <v>0.650451388888889</v>
      </c>
      <c r="G809" s="82" t="n">
        <v>45168</v>
      </c>
      <c r="H809" s="83" t="n">
        <v>0.424548611111111</v>
      </c>
      <c r="I809" s="2" t="s">
        <v>546</v>
      </c>
      <c r="J809" s="2" t="s">
        <v>40</v>
      </c>
      <c r="K809" s="46" t="str">
        <f aca="false">INDEX(Products!$B$2:$B$71,MATCH($C809,Products!$A$2:$A$71,0))</f>
        <v>Aperiam Box</v>
      </c>
      <c r="L809" s="46" t="str">
        <f aca="false">INDEX(Products!$C$2:$C$71,MATCH($C809,Products!$A$2:$A$71,0))</f>
        <v>Colors</v>
      </c>
      <c r="M809" s="84" t="n">
        <f aca="false">INDEX(Products!$D$2:$D$71,MATCH($C809,Products!$A$2:$A$71,0))</f>
        <v>1605</v>
      </c>
      <c r="N809" s="84" t="n">
        <f aca="false">$D809*$M809</f>
        <v>3210</v>
      </c>
      <c r="O809" s="46" t="str">
        <f aca="false">INDEX(Customers!$C$2:$C$101,MATCH($B809,Customers!$A$2:$A$101,0))</f>
        <v>Bulandshahr</v>
      </c>
      <c r="P809" s="46" t="str">
        <f aca="false">INDEX(Customers!$F$2:$F$101,MATCH($B809,Customers!$A$2:$A$101,0))</f>
        <v>Female</v>
      </c>
      <c r="Q809" s="46" t="str">
        <f aca="false">INDEX(Customers!$B$2:$B$101,MATCH($B809,Customers!$A$2:$A$101,0))</f>
        <v>Myra Edwin</v>
      </c>
      <c r="R809" s="46" t="n">
        <f aca="false">MONTH($E809)</f>
        <v>8</v>
      </c>
      <c r="S809" s="46" t="str">
        <f aca="false">INDEX(Lists!$B$2:$B$13,$R809)</f>
        <v>August</v>
      </c>
      <c r="T809" s="46" t="n">
        <f aca="false">HOUR($F809)</f>
        <v>15</v>
      </c>
      <c r="U809" s="46" t="n">
        <f aca="false">WEEKDAY($E809,2)</f>
        <v>2</v>
      </c>
      <c r="V809" s="46" t="str">
        <f aca="false">INDEX(Lists!$F$2:$F$8,$U809)</f>
        <v>Tuesday</v>
      </c>
      <c r="W809" s="85" t="n">
        <f aca="false">($G809+$H809)-($E809+$F809)</f>
        <v>0.774097222222222</v>
      </c>
      <c r="X809" s="46" t="str">
        <f aca="false">LOOKUP($M809,Lists!$G$2:$G$5,Lists!$H$2:$H$5)</f>
        <v>₹1,500 - 2,000</v>
      </c>
      <c r="Y809" s="46" t="str">
        <f aca="false">LOOKUP($W809,Lists!$I$2:$I$7,Lists!$J$2:$J$7)</f>
        <v>0 - 2 days</v>
      </c>
    </row>
    <row r="810" customFormat="false" ht="15" hidden="false" customHeight="false" outlineLevel="0" collapsed="false">
      <c r="A810" s="7" t="n">
        <v>809</v>
      </c>
      <c r="B810" s="7" t="s">
        <v>288</v>
      </c>
      <c r="C810" s="7" t="n">
        <v>35</v>
      </c>
      <c r="D810" s="7" t="n">
        <v>1</v>
      </c>
      <c r="E810" s="77" t="n">
        <v>44992</v>
      </c>
      <c r="F810" s="78" t="n">
        <v>0.82693287037037</v>
      </c>
      <c r="G810" s="77" t="n">
        <v>45002</v>
      </c>
      <c r="H810" s="78" t="n">
        <v>0.0774768518518519</v>
      </c>
      <c r="I810" s="7" t="s">
        <v>474</v>
      </c>
      <c r="J810" s="7" t="s">
        <v>33</v>
      </c>
      <c r="K810" s="79" t="str">
        <f aca="false">INDEX(Products!$B$2:$B$71,MATCH($C810,Products!$A$2:$A$71,0))</f>
        <v>Nam Gift</v>
      </c>
      <c r="L810" s="79" t="str">
        <f aca="false">INDEX(Products!$C$2:$C$71,MATCH($C810,Products!$A$2:$A$71,0))</f>
        <v>Colors</v>
      </c>
      <c r="M810" s="80" t="n">
        <f aca="false">INDEX(Products!$D$2:$D$71,MATCH($C810,Products!$A$2:$A$71,0))</f>
        <v>1865</v>
      </c>
      <c r="N810" s="80" t="n">
        <f aca="false">$D810*$M810</f>
        <v>1865</v>
      </c>
      <c r="O810" s="79" t="str">
        <f aca="false">INDEX(Customers!$C$2:$C$101,MATCH($B810,Customers!$A$2:$A$101,0))</f>
        <v>Nagpur</v>
      </c>
      <c r="P810" s="79" t="str">
        <f aca="false">INDEX(Customers!$F$2:$F$101,MATCH($B810,Customers!$A$2:$A$101,0))</f>
        <v>Male</v>
      </c>
      <c r="Q810" s="79" t="str">
        <f aca="false">INDEX(Customers!$B$2:$B$101,MATCH($B810,Customers!$A$2:$A$101,0))</f>
        <v>Inaaya  Sarraf</v>
      </c>
      <c r="R810" s="79" t="n">
        <f aca="false">MONTH($E810)</f>
        <v>3</v>
      </c>
      <c r="S810" s="79" t="str">
        <f aca="false">INDEX(Lists!$B$2:$B$13,$R810)</f>
        <v>March</v>
      </c>
      <c r="T810" s="79" t="n">
        <f aca="false">HOUR($F810)</f>
        <v>19</v>
      </c>
      <c r="U810" s="79" t="n">
        <f aca="false">WEEKDAY($E810,2)</f>
        <v>2</v>
      </c>
      <c r="V810" s="79" t="str">
        <f aca="false">INDEX(Lists!$F$2:$F$8,$U810)</f>
        <v>Tuesday</v>
      </c>
      <c r="W810" s="81" t="n">
        <f aca="false">($G810+$H810)-($E810+$F810)</f>
        <v>9.25054398148148</v>
      </c>
      <c r="X810" s="79" t="str">
        <f aca="false">LOOKUP($M810,Lists!$G$2:$G$5,Lists!$H$2:$H$5)</f>
        <v>₹1,500 - 2,000</v>
      </c>
      <c r="Y810" s="79" t="str">
        <f aca="false">LOOKUP($W810,Lists!$I$2:$I$7,Lists!$J$2:$J$7)</f>
        <v>8 - 10 days</v>
      </c>
    </row>
    <row r="811" customFormat="false" ht="15" hidden="false" customHeight="false" outlineLevel="0" collapsed="false">
      <c r="A811" s="2" t="n">
        <v>810</v>
      </c>
      <c r="B811" s="2" t="s">
        <v>281</v>
      </c>
      <c r="C811" s="2" t="n">
        <v>24</v>
      </c>
      <c r="D811" s="2" t="n">
        <v>3</v>
      </c>
      <c r="E811" s="82" t="n">
        <v>45275</v>
      </c>
      <c r="F811" s="83" t="n">
        <v>0.248078703703704</v>
      </c>
      <c r="G811" s="82" t="n">
        <v>45277</v>
      </c>
      <c r="H811" s="83" t="n">
        <v>0.504074074074074</v>
      </c>
      <c r="I811" s="2" t="s">
        <v>510</v>
      </c>
      <c r="J811" s="2" t="s">
        <v>31</v>
      </c>
      <c r="K811" s="46" t="str">
        <f aca="false">INDEX(Products!$B$2:$B$71,MATCH($C811,Products!$A$2:$A$71,0))</f>
        <v>Ad Box</v>
      </c>
      <c r="L811" s="46" t="str">
        <f aca="false">INDEX(Products!$C$2:$C$71,MATCH($C811,Products!$A$2:$A$71,0))</f>
        <v>Mugs</v>
      </c>
      <c r="M811" s="84" t="n">
        <f aca="false">INDEX(Products!$D$2:$D$71,MATCH($C811,Products!$A$2:$A$71,0))</f>
        <v>535</v>
      </c>
      <c r="N811" s="84" t="n">
        <f aca="false">$D811*$M811</f>
        <v>1605</v>
      </c>
      <c r="O811" s="46" t="str">
        <f aca="false">INDEX(Customers!$C$2:$C$101,MATCH($B811,Customers!$A$2:$A$101,0))</f>
        <v>Kalyan-Dombivli</v>
      </c>
      <c r="P811" s="46" t="str">
        <f aca="false">INDEX(Customers!$F$2:$F$101,MATCH($B811,Customers!$A$2:$A$101,0))</f>
        <v>Male</v>
      </c>
      <c r="Q811" s="46" t="str">
        <f aca="false">INDEX(Customers!$B$2:$B$101,MATCH($B811,Customers!$A$2:$A$101,0))</f>
        <v>Nirvi Wagle</v>
      </c>
      <c r="R811" s="46" t="n">
        <f aca="false">MONTH($E811)</f>
        <v>12</v>
      </c>
      <c r="S811" s="46" t="str">
        <f aca="false">INDEX(Lists!$B$2:$B$13,$R811)</f>
        <v>December</v>
      </c>
      <c r="T811" s="46" t="n">
        <f aca="false">HOUR($F811)</f>
        <v>5</v>
      </c>
      <c r="U811" s="46" t="n">
        <f aca="false">WEEKDAY($E811,2)</f>
        <v>5</v>
      </c>
      <c r="V811" s="46" t="str">
        <f aca="false">INDEX(Lists!$F$2:$F$8,$U811)</f>
        <v>Friday</v>
      </c>
      <c r="W811" s="85" t="n">
        <f aca="false">($G811+$H811)-($E811+$F811)</f>
        <v>2.25599537037037</v>
      </c>
      <c r="X811" s="46" t="str">
        <f aca="false">LOOKUP($M811,Lists!$G$2:$G$5,Lists!$H$2:$H$5)</f>
        <v>₹500 - 999</v>
      </c>
      <c r="Y811" s="46" t="str">
        <f aca="false">LOOKUP($W811,Lists!$I$2:$I$7,Lists!$J$2:$J$7)</f>
        <v>2 - 4 days</v>
      </c>
    </row>
    <row r="812" customFormat="false" ht="15" hidden="false" customHeight="false" outlineLevel="0" collapsed="false">
      <c r="A812" s="7" t="n">
        <v>811</v>
      </c>
      <c r="B812" s="7" t="s">
        <v>176</v>
      </c>
      <c r="C812" s="7" t="n">
        <v>14</v>
      </c>
      <c r="D812" s="7" t="n">
        <v>5</v>
      </c>
      <c r="E812" s="77" t="n">
        <v>45217</v>
      </c>
      <c r="F812" s="78" t="n">
        <v>0.502905092592593</v>
      </c>
      <c r="G812" s="77" t="n">
        <v>45224</v>
      </c>
      <c r="H812" s="78" t="n">
        <v>0.913796296296296</v>
      </c>
      <c r="I812" s="7" t="s">
        <v>214</v>
      </c>
      <c r="J812" s="7" t="s">
        <v>31</v>
      </c>
      <c r="K812" s="79" t="str">
        <f aca="false">INDEX(Products!$B$2:$B$71,MATCH($C812,Products!$A$2:$A$71,0))</f>
        <v>Deserunt Box</v>
      </c>
      <c r="L812" s="79" t="str">
        <f aca="false">INDEX(Products!$C$2:$C$71,MATCH($C812,Products!$A$2:$A$71,0))</f>
        <v>Colors</v>
      </c>
      <c r="M812" s="80" t="n">
        <f aca="false">INDEX(Products!$D$2:$D$71,MATCH($C812,Products!$A$2:$A$71,0))</f>
        <v>1915</v>
      </c>
      <c r="N812" s="80" t="n">
        <f aca="false">$D812*$M812</f>
        <v>9575</v>
      </c>
      <c r="O812" s="79" t="str">
        <f aca="false">INDEX(Customers!$C$2:$C$101,MATCH($B812,Customers!$A$2:$A$101,0))</f>
        <v>Machilipatnam</v>
      </c>
      <c r="P812" s="79" t="str">
        <f aca="false">INDEX(Customers!$F$2:$F$101,MATCH($B812,Customers!$A$2:$A$101,0))</f>
        <v>Male</v>
      </c>
      <c r="Q812" s="79" t="str">
        <f aca="false">INDEX(Customers!$B$2:$B$101,MATCH($B812,Customers!$A$2:$A$101,0))</f>
        <v>Samaira Ganesh</v>
      </c>
      <c r="R812" s="79" t="n">
        <f aca="false">MONTH($E812)</f>
        <v>10</v>
      </c>
      <c r="S812" s="79" t="str">
        <f aca="false">INDEX(Lists!$B$2:$B$13,$R812)</f>
        <v>October</v>
      </c>
      <c r="T812" s="79" t="n">
        <f aca="false">HOUR($F812)</f>
        <v>12</v>
      </c>
      <c r="U812" s="79" t="n">
        <f aca="false">WEEKDAY($E812,2)</f>
        <v>3</v>
      </c>
      <c r="V812" s="79" t="str">
        <f aca="false">INDEX(Lists!$F$2:$F$8,$U812)</f>
        <v>Wednesday</v>
      </c>
      <c r="W812" s="81" t="n">
        <f aca="false">($G812+$H812)-($E812+$F812)</f>
        <v>7.4108912037037</v>
      </c>
      <c r="X812" s="79" t="str">
        <f aca="false">LOOKUP($M812,Lists!$G$2:$G$5,Lists!$H$2:$H$5)</f>
        <v>₹1,500 - 2,000</v>
      </c>
      <c r="Y812" s="79" t="str">
        <f aca="false">LOOKUP($W812,Lists!$I$2:$I$7,Lists!$J$2:$J$7)</f>
        <v>6 - 8 days</v>
      </c>
    </row>
    <row r="813" customFormat="false" ht="15" hidden="false" customHeight="false" outlineLevel="0" collapsed="false">
      <c r="A813" s="2" t="n">
        <v>812</v>
      </c>
      <c r="B813" s="2" t="s">
        <v>278</v>
      </c>
      <c r="C813" s="2" t="n">
        <v>40</v>
      </c>
      <c r="D813" s="2" t="n">
        <v>2</v>
      </c>
      <c r="E813" s="82" t="n">
        <v>45272</v>
      </c>
      <c r="F813" s="83" t="n">
        <v>0.722094907407407</v>
      </c>
      <c r="G813" s="82" t="n">
        <v>45274</v>
      </c>
      <c r="H813" s="83" t="n">
        <v>0.0614814814814815</v>
      </c>
      <c r="I813" s="2" t="s">
        <v>514</v>
      </c>
      <c r="J813" s="2" t="s">
        <v>168</v>
      </c>
      <c r="K813" s="46" t="str">
        <f aca="false">INDEX(Products!$B$2:$B$71,MATCH($C813,Products!$A$2:$A$71,0))</f>
        <v>Provident Pack</v>
      </c>
      <c r="L813" s="46" t="str">
        <f aca="false">INDEX(Products!$C$2:$C$71,MATCH($C813,Products!$A$2:$A$71,0))</f>
        <v>Sweets</v>
      </c>
      <c r="M813" s="84" t="n">
        <f aca="false">INDEX(Products!$D$2:$D$71,MATCH($C813,Products!$A$2:$A$71,0))</f>
        <v>1923</v>
      </c>
      <c r="N813" s="84" t="n">
        <f aca="false">$D813*$M813</f>
        <v>3846</v>
      </c>
      <c r="O813" s="46" t="str">
        <f aca="false">INDEX(Customers!$C$2:$C$101,MATCH($B813,Customers!$A$2:$A$101,0))</f>
        <v>Guntakal</v>
      </c>
      <c r="P813" s="46" t="str">
        <f aca="false">INDEX(Customers!$F$2:$F$101,MATCH($B813,Customers!$A$2:$A$101,0))</f>
        <v>Male</v>
      </c>
      <c r="Q813" s="46" t="str">
        <f aca="false">INDEX(Customers!$B$2:$B$101,MATCH($B813,Customers!$A$2:$A$101,0))</f>
        <v>Charvi Kanda</v>
      </c>
      <c r="R813" s="46" t="n">
        <f aca="false">MONTH($E813)</f>
        <v>12</v>
      </c>
      <c r="S813" s="46" t="str">
        <f aca="false">INDEX(Lists!$B$2:$B$13,$R813)</f>
        <v>December</v>
      </c>
      <c r="T813" s="46" t="n">
        <f aca="false">HOUR($F813)</f>
        <v>17</v>
      </c>
      <c r="U813" s="46" t="n">
        <f aca="false">WEEKDAY($E813,2)</f>
        <v>2</v>
      </c>
      <c r="V813" s="46" t="str">
        <f aca="false">INDEX(Lists!$F$2:$F$8,$U813)</f>
        <v>Tuesday</v>
      </c>
      <c r="W813" s="85" t="n">
        <f aca="false">($G813+$H813)-($E813+$F813)</f>
        <v>1.33938657407407</v>
      </c>
      <c r="X813" s="46" t="str">
        <f aca="false">LOOKUP($M813,Lists!$G$2:$G$5,Lists!$H$2:$H$5)</f>
        <v>₹1,500 - 2,000</v>
      </c>
      <c r="Y813" s="46" t="str">
        <f aca="false">LOOKUP($W813,Lists!$I$2:$I$7,Lists!$J$2:$J$7)</f>
        <v>0 - 2 days</v>
      </c>
    </row>
    <row r="814" customFormat="false" ht="15" hidden="false" customHeight="false" outlineLevel="0" collapsed="false">
      <c r="A814" s="7" t="n">
        <v>813</v>
      </c>
      <c r="B814" s="7" t="s">
        <v>377</v>
      </c>
      <c r="C814" s="7" t="n">
        <v>32</v>
      </c>
      <c r="D814" s="7" t="n">
        <v>4</v>
      </c>
      <c r="E814" s="77" t="n">
        <v>44945</v>
      </c>
      <c r="F814" s="78" t="n">
        <v>0.370636574074074</v>
      </c>
      <c r="G814" s="77" t="n">
        <v>44949</v>
      </c>
      <c r="H814" s="78" t="n">
        <v>0.917372685185185</v>
      </c>
      <c r="I814" s="7" t="s">
        <v>250</v>
      </c>
      <c r="J814" s="7" t="s">
        <v>31</v>
      </c>
      <c r="K814" s="79" t="str">
        <f aca="false">INDEX(Products!$B$2:$B$71,MATCH($C814,Products!$A$2:$A$71,0))</f>
        <v>Fuga Set</v>
      </c>
      <c r="L814" s="79" t="str">
        <f aca="false">INDEX(Products!$C$2:$C$71,MATCH($C814,Products!$A$2:$A$71,0))</f>
        <v>Soft Toys</v>
      </c>
      <c r="M814" s="80" t="n">
        <f aca="false">INDEX(Products!$D$2:$D$71,MATCH($C814,Products!$A$2:$A$71,0))</f>
        <v>1792</v>
      </c>
      <c r="N814" s="80" t="n">
        <f aca="false">$D814*$M814</f>
        <v>7168</v>
      </c>
      <c r="O814" s="79" t="str">
        <f aca="false">INDEX(Customers!$C$2:$C$101,MATCH($B814,Customers!$A$2:$A$101,0))</f>
        <v>Deoghar</v>
      </c>
      <c r="P814" s="79" t="str">
        <f aca="false">INDEX(Customers!$F$2:$F$101,MATCH($B814,Customers!$A$2:$A$101,0))</f>
        <v>Female</v>
      </c>
      <c r="Q814" s="79" t="str">
        <f aca="false">INDEX(Customers!$B$2:$B$101,MATCH($B814,Customers!$A$2:$A$101,0))</f>
        <v>Raghav Babu</v>
      </c>
      <c r="R814" s="79" t="n">
        <f aca="false">MONTH($E814)</f>
        <v>1</v>
      </c>
      <c r="S814" s="79" t="str">
        <f aca="false">INDEX(Lists!$B$2:$B$13,$R814)</f>
        <v>January</v>
      </c>
      <c r="T814" s="79" t="n">
        <f aca="false">HOUR($F814)</f>
        <v>8</v>
      </c>
      <c r="U814" s="79" t="n">
        <f aca="false">WEEKDAY($E814,2)</f>
        <v>4</v>
      </c>
      <c r="V814" s="79" t="str">
        <f aca="false">INDEX(Lists!$F$2:$F$8,$U814)</f>
        <v>Thursday</v>
      </c>
      <c r="W814" s="81" t="n">
        <f aca="false">($G814+$H814)-($E814+$F814)</f>
        <v>4.54673611111111</v>
      </c>
      <c r="X814" s="79" t="str">
        <f aca="false">LOOKUP($M814,Lists!$G$2:$G$5,Lists!$H$2:$H$5)</f>
        <v>₹1,500 - 2,000</v>
      </c>
      <c r="Y814" s="79" t="str">
        <f aca="false">LOOKUP($W814,Lists!$I$2:$I$7,Lists!$J$2:$J$7)</f>
        <v>4 - 6 days</v>
      </c>
    </row>
    <row r="815" customFormat="false" ht="15" hidden="false" customHeight="false" outlineLevel="0" collapsed="false">
      <c r="A815" s="2" t="n">
        <v>814</v>
      </c>
      <c r="B815" s="2" t="s">
        <v>377</v>
      </c>
      <c r="C815" s="2" t="n">
        <v>47</v>
      </c>
      <c r="D815" s="2" t="n">
        <v>5</v>
      </c>
      <c r="E815" s="82" t="n">
        <v>44990</v>
      </c>
      <c r="F815" s="83" t="n">
        <v>0.0828703703703704</v>
      </c>
      <c r="G815" s="82" t="n">
        <v>44999</v>
      </c>
      <c r="H815" s="83" t="n">
        <v>0.195324074074074</v>
      </c>
      <c r="I815" s="2" t="s">
        <v>469</v>
      </c>
      <c r="J815" s="2" t="s">
        <v>33</v>
      </c>
      <c r="K815" s="46" t="str">
        <f aca="false">INDEX(Products!$B$2:$B$71,MATCH($C815,Products!$A$2:$A$71,0))</f>
        <v>Harum Pack</v>
      </c>
      <c r="L815" s="46" t="str">
        <f aca="false">INDEX(Products!$C$2:$C$71,MATCH($C815,Products!$A$2:$A$71,0))</f>
        <v>Colors</v>
      </c>
      <c r="M815" s="84" t="n">
        <f aca="false">INDEX(Products!$D$2:$D$71,MATCH($C815,Products!$A$2:$A$71,0))</f>
        <v>1638</v>
      </c>
      <c r="N815" s="84" t="n">
        <f aca="false">$D815*$M815</f>
        <v>8190</v>
      </c>
      <c r="O815" s="46" t="str">
        <f aca="false">INDEX(Customers!$C$2:$C$101,MATCH($B815,Customers!$A$2:$A$101,0))</f>
        <v>Deoghar</v>
      </c>
      <c r="P815" s="46" t="str">
        <f aca="false">INDEX(Customers!$F$2:$F$101,MATCH($B815,Customers!$A$2:$A$101,0))</f>
        <v>Female</v>
      </c>
      <c r="Q815" s="46" t="str">
        <f aca="false">INDEX(Customers!$B$2:$B$101,MATCH($B815,Customers!$A$2:$A$101,0))</f>
        <v>Raghav Babu</v>
      </c>
      <c r="R815" s="46" t="n">
        <f aca="false">MONTH($E815)</f>
        <v>3</v>
      </c>
      <c r="S815" s="46" t="str">
        <f aca="false">INDEX(Lists!$B$2:$B$13,$R815)</f>
        <v>March</v>
      </c>
      <c r="T815" s="46" t="n">
        <f aca="false">HOUR($F815)</f>
        <v>1</v>
      </c>
      <c r="U815" s="46" t="n">
        <f aca="false">WEEKDAY($E815,2)</f>
        <v>7</v>
      </c>
      <c r="V815" s="46" t="str">
        <f aca="false">INDEX(Lists!$F$2:$F$8,$U815)</f>
        <v>Sunday</v>
      </c>
      <c r="W815" s="85" t="n">
        <f aca="false">($G815+$H815)-($E815+$F815)</f>
        <v>9.1124537037037</v>
      </c>
      <c r="X815" s="46" t="str">
        <f aca="false">LOOKUP($M815,Lists!$G$2:$G$5,Lists!$H$2:$H$5)</f>
        <v>₹1,500 - 2,000</v>
      </c>
      <c r="Y815" s="46" t="str">
        <f aca="false">LOOKUP($W815,Lists!$I$2:$I$7,Lists!$J$2:$J$7)</f>
        <v>8 - 10 days</v>
      </c>
    </row>
    <row r="816" customFormat="false" ht="15" hidden="false" customHeight="false" outlineLevel="0" collapsed="false">
      <c r="A816" s="7" t="n">
        <v>815</v>
      </c>
      <c r="B816" s="7" t="s">
        <v>388</v>
      </c>
      <c r="C816" s="7" t="n">
        <v>61</v>
      </c>
      <c r="D816" s="7" t="n">
        <v>3</v>
      </c>
      <c r="E816" s="77" t="n">
        <v>45198</v>
      </c>
      <c r="F816" s="78" t="n">
        <v>0.297372685185185</v>
      </c>
      <c r="G816" s="77" t="n">
        <v>45207</v>
      </c>
      <c r="H816" s="78" t="n">
        <v>0.615486111111111</v>
      </c>
      <c r="I816" s="7" t="s">
        <v>235</v>
      </c>
      <c r="J816" s="7" t="s">
        <v>168</v>
      </c>
      <c r="K816" s="79" t="str">
        <f aca="false">INDEX(Products!$B$2:$B$71,MATCH($C816,Products!$A$2:$A$71,0))</f>
        <v>Iusto Box</v>
      </c>
      <c r="L816" s="79" t="str">
        <f aca="false">INDEX(Products!$C$2:$C$71,MATCH($C816,Products!$A$2:$A$71,0))</f>
        <v>Plants</v>
      </c>
      <c r="M816" s="80" t="n">
        <f aca="false">INDEX(Products!$D$2:$D$71,MATCH($C816,Products!$A$2:$A$71,0))</f>
        <v>810</v>
      </c>
      <c r="N816" s="80" t="n">
        <f aca="false">$D816*$M816</f>
        <v>2430</v>
      </c>
      <c r="O816" s="79" t="str">
        <f aca="false">INDEX(Customers!$C$2:$C$101,MATCH($B816,Customers!$A$2:$A$101,0))</f>
        <v>Cuttack</v>
      </c>
      <c r="P816" s="79" t="str">
        <f aca="false">INDEX(Customers!$F$2:$F$101,MATCH($B816,Customers!$A$2:$A$101,0))</f>
        <v>Male</v>
      </c>
      <c r="Q816" s="79" t="str">
        <f aca="false">INDEX(Customers!$B$2:$B$101,MATCH($B816,Customers!$A$2:$A$101,0))</f>
        <v>Navya Golla</v>
      </c>
      <c r="R816" s="79" t="n">
        <f aca="false">MONTH($E816)</f>
        <v>9</v>
      </c>
      <c r="S816" s="79" t="str">
        <f aca="false">INDEX(Lists!$B$2:$B$13,$R816)</f>
        <v>September</v>
      </c>
      <c r="T816" s="79" t="n">
        <f aca="false">HOUR($F816)</f>
        <v>7</v>
      </c>
      <c r="U816" s="79" t="n">
        <f aca="false">WEEKDAY($E816,2)</f>
        <v>5</v>
      </c>
      <c r="V816" s="79" t="str">
        <f aca="false">INDEX(Lists!$F$2:$F$8,$U816)</f>
        <v>Friday</v>
      </c>
      <c r="W816" s="81" t="n">
        <f aca="false">($G816+$H816)-($E816+$F816)</f>
        <v>9.31811342592593</v>
      </c>
      <c r="X816" s="79" t="str">
        <f aca="false">LOOKUP($M816,Lists!$G$2:$G$5,Lists!$H$2:$H$5)</f>
        <v>₹500 - 999</v>
      </c>
      <c r="Y816" s="79" t="str">
        <f aca="false">LOOKUP($W816,Lists!$I$2:$I$7,Lists!$J$2:$J$7)</f>
        <v>8 - 10 days</v>
      </c>
    </row>
    <row r="817" customFormat="false" ht="15" hidden="false" customHeight="false" outlineLevel="0" collapsed="false">
      <c r="A817" s="2" t="n">
        <v>816</v>
      </c>
      <c r="B817" s="2" t="s">
        <v>230</v>
      </c>
      <c r="C817" s="2" t="n">
        <v>35</v>
      </c>
      <c r="D817" s="2" t="n">
        <v>3</v>
      </c>
      <c r="E817" s="82" t="n">
        <v>44985</v>
      </c>
      <c r="F817" s="83" t="n">
        <v>0.822511574074074</v>
      </c>
      <c r="G817" s="82" t="n">
        <v>44995</v>
      </c>
      <c r="H817" s="83" t="n">
        <v>0.57056712962963</v>
      </c>
      <c r="I817" s="2" t="s">
        <v>599</v>
      </c>
      <c r="J817" s="2" t="s">
        <v>33</v>
      </c>
      <c r="K817" s="46" t="str">
        <f aca="false">INDEX(Products!$B$2:$B$71,MATCH($C817,Products!$A$2:$A$71,0))</f>
        <v>Nam Gift</v>
      </c>
      <c r="L817" s="46" t="str">
        <f aca="false">INDEX(Products!$C$2:$C$71,MATCH($C817,Products!$A$2:$A$71,0))</f>
        <v>Colors</v>
      </c>
      <c r="M817" s="84" t="n">
        <f aca="false">INDEX(Products!$D$2:$D$71,MATCH($C817,Products!$A$2:$A$71,0))</f>
        <v>1865</v>
      </c>
      <c r="N817" s="84" t="n">
        <f aca="false">$D817*$M817</f>
        <v>5595</v>
      </c>
      <c r="O817" s="46" t="str">
        <f aca="false">INDEX(Customers!$C$2:$C$101,MATCH($B817,Customers!$A$2:$A$101,0))</f>
        <v>Ajmer</v>
      </c>
      <c r="P817" s="46" t="str">
        <f aca="false">INDEX(Customers!$F$2:$F$101,MATCH($B817,Customers!$A$2:$A$101,0))</f>
        <v>Male</v>
      </c>
      <c r="Q817" s="46" t="str">
        <f aca="false">INDEX(Customers!$B$2:$B$101,MATCH($B817,Customers!$A$2:$A$101,0))</f>
        <v>Eshani Sharma</v>
      </c>
      <c r="R817" s="46" t="n">
        <f aca="false">MONTH($E817)</f>
        <v>2</v>
      </c>
      <c r="S817" s="46" t="str">
        <f aca="false">INDEX(Lists!$B$2:$B$13,$R817)</f>
        <v>February</v>
      </c>
      <c r="T817" s="46" t="n">
        <f aca="false">HOUR($F817)</f>
        <v>19</v>
      </c>
      <c r="U817" s="46" t="n">
        <f aca="false">WEEKDAY($E817,2)</f>
        <v>2</v>
      </c>
      <c r="V817" s="46" t="str">
        <f aca="false">INDEX(Lists!$F$2:$F$8,$U817)</f>
        <v>Tuesday</v>
      </c>
      <c r="W817" s="85" t="n">
        <f aca="false">($G817+$H817)-($E817+$F817)</f>
        <v>9.74805555555556</v>
      </c>
      <c r="X817" s="46" t="str">
        <f aca="false">LOOKUP($M817,Lists!$G$2:$G$5,Lists!$H$2:$H$5)</f>
        <v>₹1,500 - 2,000</v>
      </c>
      <c r="Y817" s="46" t="str">
        <f aca="false">LOOKUP($W817,Lists!$I$2:$I$7,Lists!$J$2:$J$7)</f>
        <v>8 - 10 days</v>
      </c>
    </row>
    <row r="818" customFormat="false" ht="15" hidden="false" customHeight="false" outlineLevel="0" collapsed="false">
      <c r="A818" s="7" t="n">
        <v>817</v>
      </c>
      <c r="B818" s="7" t="s">
        <v>300</v>
      </c>
      <c r="C818" s="7" t="n">
        <v>21</v>
      </c>
      <c r="D818" s="7" t="n">
        <v>2</v>
      </c>
      <c r="E818" s="77" t="n">
        <v>45166</v>
      </c>
      <c r="F818" s="78" t="n">
        <v>0.234027777777778</v>
      </c>
      <c r="G818" s="77" t="n">
        <v>45170</v>
      </c>
      <c r="H818" s="78" t="n">
        <v>0.920173611111111</v>
      </c>
      <c r="I818" s="7" t="s">
        <v>430</v>
      </c>
      <c r="J818" s="7" t="s">
        <v>40</v>
      </c>
      <c r="K818" s="79" t="str">
        <f aca="false">INDEX(Products!$B$2:$B$71,MATCH($C818,Products!$A$2:$A$71,0))</f>
        <v>Quia Gift</v>
      </c>
      <c r="L818" s="79" t="str">
        <f aca="false">INDEX(Products!$C$2:$C$71,MATCH($C818,Products!$A$2:$A$71,0))</f>
        <v>Colors</v>
      </c>
      <c r="M818" s="80" t="n">
        <f aca="false">INDEX(Products!$D$2:$D$71,MATCH($C818,Products!$A$2:$A$71,0))</f>
        <v>1561</v>
      </c>
      <c r="N818" s="80" t="n">
        <f aca="false">$D818*$M818</f>
        <v>3122</v>
      </c>
      <c r="O818" s="79" t="str">
        <f aca="false">INDEX(Customers!$C$2:$C$101,MATCH($B818,Customers!$A$2:$A$101,0))</f>
        <v>Malegaon</v>
      </c>
      <c r="P818" s="79" t="str">
        <f aca="false">INDEX(Customers!$F$2:$F$101,MATCH($B818,Customers!$A$2:$A$101,0))</f>
        <v>Female</v>
      </c>
      <c r="Q818" s="79" t="str">
        <f aca="false">INDEX(Customers!$B$2:$B$101,MATCH($B818,Customers!$A$2:$A$101,0))</f>
        <v>Eshani Buch</v>
      </c>
      <c r="R818" s="79" t="n">
        <f aca="false">MONTH($E818)</f>
        <v>8</v>
      </c>
      <c r="S818" s="79" t="str">
        <f aca="false">INDEX(Lists!$B$2:$B$13,$R818)</f>
        <v>August</v>
      </c>
      <c r="T818" s="79" t="n">
        <f aca="false">HOUR($F818)</f>
        <v>5</v>
      </c>
      <c r="U818" s="79" t="n">
        <f aca="false">WEEKDAY($E818,2)</f>
        <v>1</v>
      </c>
      <c r="V818" s="79" t="str">
        <f aca="false">INDEX(Lists!$F$2:$F$8,$U818)</f>
        <v>Monday</v>
      </c>
      <c r="W818" s="81" t="n">
        <f aca="false">($G818+$H818)-($E818+$F818)</f>
        <v>4.68614583333333</v>
      </c>
      <c r="X818" s="79" t="str">
        <f aca="false">LOOKUP($M818,Lists!$G$2:$G$5,Lists!$H$2:$H$5)</f>
        <v>₹1,500 - 2,000</v>
      </c>
      <c r="Y818" s="79" t="str">
        <f aca="false">LOOKUP($W818,Lists!$I$2:$I$7,Lists!$J$2:$J$7)</f>
        <v>4 - 6 days</v>
      </c>
    </row>
    <row r="819" customFormat="false" ht="15" hidden="false" customHeight="false" outlineLevel="0" collapsed="false">
      <c r="A819" s="2" t="n">
        <v>818</v>
      </c>
      <c r="B819" s="2" t="s">
        <v>133</v>
      </c>
      <c r="C819" s="2" t="n">
        <v>8</v>
      </c>
      <c r="D819" s="2" t="n">
        <v>4</v>
      </c>
      <c r="E819" s="82" t="n">
        <v>44987</v>
      </c>
      <c r="F819" s="83" t="n">
        <v>0.327152777777778</v>
      </c>
      <c r="G819" s="82" t="n">
        <v>44994</v>
      </c>
      <c r="H819" s="83" t="n">
        <v>0.380335648148148</v>
      </c>
      <c r="I819" s="2" t="s">
        <v>589</v>
      </c>
      <c r="J819" s="2" t="s">
        <v>168</v>
      </c>
      <c r="K819" s="46" t="str">
        <f aca="false">INDEX(Products!$B$2:$B$71,MATCH($C819,Products!$A$2:$A$71,0))</f>
        <v>Qui Box</v>
      </c>
      <c r="L819" s="46" t="str">
        <f aca="false">INDEX(Products!$C$2:$C$71,MATCH($C819,Products!$A$2:$A$71,0))</f>
        <v>Sweets</v>
      </c>
      <c r="M819" s="84" t="n">
        <f aca="false">INDEX(Products!$D$2:$D$71,MATCH($C819,Products!$A$2:$A$71,0))</f>
        <v>252</v>
      </c>
      <c r="N819" s="84" t="n">
        <f aca="false">$D819*$M819</f>
        <v>1008</v>
      </c>
      <c r="O819" s="46" t="str">
        <f aca="false">INDEX(Customers!$C$2:$C$101,MATCH($B819,Customers!$A$2:$A$101,0))</f>
        <v>Miryalaguda</v>
      </c>
      <c r="P819" s="46" t="str">
        <f aca="false">INDEX(Customers!$F$2:$F$101,MATCH($B819,Customers!$A$2:$A$101,0))</f>
        <v>Male</v>
      </c>
      <c r="Q819" s="46" t="str">
        <f aca="false">INDEX(Customers!$B$2:$B$101,MATCH($B819,Customers!$A$2:$A$101,0))</f>
        <v>Tarini Bava</v>
      </c>
      <c r="R819" s="46" t="n">
        <f aca="false">MONTH($E819)</f>
        <v>3</v>
      </c>
      <c r="S819" s="46" t="str">
        <f aca="false">INDEX(Lists!$B$2:$B$13,$R819)</f>
        <v>March</v>
      </c>
      <c r="T819" s="46" t="n">
        <f aca="false">HOUR($F819)</f>
        <v>7</v>
      </c>
      <c r="U819" s="46" t="n">
        <f aca="false">WEEKDAY($E819,2)</f>
        <v>4</v>
      </c>
      <c r="V819" s="46" t="str">
        <f aca="false">INDEX(Lists!$F$2:$F$8,$U819)</f>
        <v>Thursday</v>
      </c>
      <c r="W819" s="85" t="n">
        <f aca="false">($G819+$H819)-($E819+$F819)</f>
        <v>7.05318287037037</v>
      </c>
      <c r="X819" s="46" t="str">
        <f aca="false">LOOKUP($M819,Lists!$G$2:$G$5,Lists!$H$2:$H$5)</f>
        <v>₹0 - 499</v>
      </c>
      <c r="Y819" s="46" t="str">
        <f aca="false">LOOKUP($W819,Lists!$I$2:$I$7,Lists!$J$2:$J$7)</f>
        <v>6 - 8 days</v>
      </c>
    </row>
    <row r="820" customFormat="false" ht="15" hidden="false" customHeight="false" outlineLevel="0" collapsed="false">
      <c r="A820" s="7" t="n">
        <v>819</v>
      </c>
      <c r="B820" s="7" t="s">
        <v>260</v>
      </c>
      <c r="C820" s="7" t="n">
        <v>55</v>
      </c>
      <c r="D820" s="7" t="n">
        <v>5</v>
      </c>
      <c r="E820" s="77" t="n">
        <v>45160</v>
      </c>
      <c r="F820" s="78" t="n">
        <v>0.545405092592593</v>
      </c>
      <c r="G820" s="77" t="n">
        <v>45162</v>
      </c>
      <c r="H820" s="78" t="n">
        <v>0.064212962962963</v>
      </c>
      <c r="I820" s="7" t="s">
        <v>466</v>
      </c>
      <c r="J820" s="7" t="s">
        <v>40</v>
      </c>
      <c r="K820" s="79" t="str">
        <f aca="false">INDEX(Products!$B$2:$B$71,MATCH($C820,Products!$A$2:$A$71,0))</f>
        <v>Dolores Gift</v>
      </c>
      <c r="L820" s="79" t="str">
        <f aca="false">INDEX(Products!$C$2:$C$71,MATCH($C820,Products!$A$2:$A$71,0))</f>
        <v>Soft Toys</v>
      </c>
      <c r="M820" s="80" t="n">
        <f aca="false">INDEX(Products!$D$2:$D$71,MATCH($C820,Products!$A$2:$A$71,0))</f>
        <v>1904</v>
      </c>
      <c r="N820" s="80" t="n">
        <f aca="false">$D820*$M820</f>
        <v>9520</v>
      </c>
      <c r="O820" s="79" t="str">
        <f aca="false">INDEX(Customers!$C$2:$C$101,MATCH($B820,Customers!$A$2:$A$101,0))</f>
        <v>Dhanbad</v>
      </c>
      <c r="P820" s="79" t="str">
        <f aca="false">INDEX(Customers!$F$2:$F$101,MATCH($B820,Customers!$A$2:$A$101,0))</f>
        <v>Male</v>
      </c>
      <c r="Q820" s="79" t="str">
        <f aca="false">INDEX(Customers!$B$2:$B$101,MATCH($B820,Customers!$A$2:$A$101,0))</f>
        <v>Vardaniya Apte</v>
      </c>
      <c r="R820" s="79" t="n">
        <f aca="false">MONTH($E820)</f>
        <v>8</v>
      </c>
      <c r="S820" s="79" t="str">
        <f aca="false">INDEX(Lists!$B$2:$B$13,$R820)</f>
        <v>August</v>
      </c>
      <c r="T820" s="79" t="n">
        <f aca="false">HOUR($F820)</f>
        <v>13</v>
      </c>
      <c r="U820" s="79" t="n">
        <f aca="false">WEEKDAY($E820,2)</f>
        <v>2</v>
      </c>
      <c r="V820" s="79" t="str">
        <f aca="false">INDEX(Lists!$F$2:$F$8,$U820)</f>
        <v>Tuesday</v>
      </c>
      <c r="W820" s="81" t="n">
        <f aca="false">($G820+$H820)-($E820+$F820)</f>
        <v>1.51880787037037</v>
      </c>
      <c r="X820" s="79" t="str">
        <f aca="false">LOOKUP($M820,Lists!$G$2:$G$5,Lists!$H$2:$H$5)</f>
        <v>₹1,500 - 2,000</v>
      </c>
      <c r="Y820" s="79" t="str">
        <f aca="false">LOOKUP($W820,Lists!$I$2:$I$7,Lists!$J$2:$J$7)</f>
        <v>0 - 2 days</v>
      </c>
    </row>
    <row r="821" customFormat="false" ht="15" hidden="false" customHeight="false" outlineLevel="0" collapsed="false">
      <c r="A821" s="2" t="n">
        <v>820</v>
      </c>
      <c r="B821" s="2" t="s">
        <v>204</v>
      </c>
      <c r="C821" s="2" t="n">
        <v>64</v>
      </c>
      <c r="D821" s="2" t="n">
        <v>3</v>
      </c>
      <c r="E821" s="82" t="n">
        <v>45160</v>
      </c>
      <c r="F821" s="83" t="n">
        <v>0.244247685185185</v>
      </c>
      <c r="G821" s="82" t="n">
        <v>45164</v>
      </c>
      <c r="H821" s="83" t="n">
        <v>0.203043981481482</v>
      </c>
      <c r="I821" s="2" t="s">
        <v>406</v>
      </c>
      <c r="J821" s="2" t="s">
        <v>40</v>
      </c>
      <c r="K821" s="46" t="str">
        <f aca="false">INDEX(Products!$B$2:$B$71,MATCH($C821,Products!$A$2:$A$71,0))</f>
        <v>Nostrum Box</v>
      </c>
      <c r="L821" s="46" t="str">
        <f aca="false">INDEX(Products!$C$2:$C$71,MATCH($C821,Products!$A$2:$A$71,0))</f>
        <v>Soft Toys</v>
      </c>
      <c r="M821" s="84" t="n">
        <f aca="false">INDEX(Products!$D$2:$D$71,MATCH($C821,Products!$A$2:$A$71,0))</f>
        <v>1878</v>
      </c>
      <c r="N821" s="84" t="n">
        <f aca="false">$D821*$M821</f>
        <v>5634</v>
      </c>
      <c r="O821" s="46" t="str">
        <f aca="false">INDEX(Customers!$C$2:$C$101,MATCH($B821,Customers!$A$2:$A$101,0))</f>
        <v>Indore</v>
      </c>
      <c r="P821" s="46" t="str">
        <f aca="false">INDEX(Customers!$F$2:$F$101,MATCH($B821,Customers!$A$2:$A$101,0))</f>
        <v>Female</v>
      </c>
      <c r="Q821" s="46" t="str">
        <f aca="false">INDEX(Customers!$B$2:$B$101,MATCH($B821,Customers!$A$2:$A$101,0))</f>
        <v>Suhana Kurian</v>
      </c>
      <c r="R821" s="46" t="n">
        <f aca="false">MONTH($E821)</f>
        <v>8</v>
      </c>
      <c r="S821" s="46" t="str">
        <f aca="false">INDEX(Lists!$B$2:$B$13,$R821)</f>
        <v>August</v>
      </c>
      <c r="T821" s="46" t="n">
        <f aca="false">HOUR($F821)</f>
        <v>5</v>
      </c>
      <c r="U821" s="46" t="n">
        <f aca="false">WEEKDAY($E821,2)</f>
        <v>2</v>
      </c>
      <c r="V821" s="46" t="str">
        <f aca="false">INDEX(Lists!$F$2:$F$8,$U821)</f>
        <v>Tuesday</v>
      </c>
      <c r="W821" s="85" t="n">
        <f aca="false">($G821+$H821)-($E821+$F821)</f>
        <v>3.9587962962963</v>
      </c>
      <c r="X821" s="46" t="str">
        <f aca="false">LOOKUP($M821,Lists!$G$2:$G$5,Lists!$H$2:$H$5)</f>
        <v>₹1,500 - 2,000</v>
      </c>
      <c r="Y821" s="46" t="str">
        <f aca="false">LOOKUP($W821,Lists!$I$2:$I$7,Lists!$J$2:$J$7)</f>
        <v>2 - 4 days</v>
      </c>
    </row>
    <row r="822" customFormat="false" ht="15" hidden="false" customHeight="false" outlineLevel="0" collapsed="false">
      <c r="A822" s="7" t="n">
        <v>821</v>
      </c>
      <c r="B822" s="7" t="s">
        <v>254</v>
      </c>
      <c r="C822" s="7" t="n">
        <v>32</v>
      </c>
      <c r="D822" s="7" t="n">
        <v>4</v>
      </c>
      <c r="E822" s="77" t="n">
        <v>44984</v>
      </c>
      <c r="F822" s="78" t="n">
        <v>0.844108796296296</v>
      </c>
      <c r="G822" s="77" t="n">
        <v>44992</v>
      </c>
      <c r="H822" s="78" t="n">
        <v>0.948611111111111</v>
      </c>
      <c r="I822" s="7" t="s">
        <v>203</v>
      </c>
      <c r="J822" s="7" t="s">
        <v>31</v>
      </c>
      <c r="K822" s="79" t="str">
        <f aca="false">INDEX(Products!$B$2:$B$71,MATCH($C822,Products!$A$2:$A$71,0))</f>
        <v>Fuga Set</v>
      </c>
      <c r="L822" s="79" t="str">
        <f aca="false">INDEX(Products!$C$2:$C$71,MATCH($C822,Products!$A$2:$A$71,0))</f>
        <v>Soft Toys</v>
      </c>
      <c r="M822" s="80" t="n">
        <f aca="false">INDEX(Products!$D$2:$D$71,MATCH($C822,Products!$A$2:$A$71,0))</f>
        <v>1792</v>
      </c>
      <c r="N822" s="80" t="n">
        <f aca="false">$D822*$M822</f>
        <v>7168</v>
      </c>
      <c r="O822" s="79" t="str">
        <f aca="false">INDEX(Customers!$C$2:$C$101,MATCH($B822,Customers!$A$2:$A$101,0))</f>
        <v>Imphal</v>
      </c>
      <c r="P822" s="79" t="str">
        <f aca="false">INDEX(Customers!$F$2:$F$101,MATCH($B822,Customers!$A$2:$A$101,0))</f>
        <v>Female</v>
      </c>
      <c r="Q822" s="79" t="str">
        <f aca="false">INDEX(Customers!$B$2:$B$101,MATCH($B822,Customers!$A$2:$A$101,0))</f>
        <v>Chirag Srinivas</v>
      </c>
      <c r="R822" s="79" t="n">
        <f aca="false">MONTH($E822)</f>
        <v>2</v>
      </c>
      <c r="S822" s="79" t="str">
        <f aca="false">INDEX(Lists!$B$2:$B$13,$R822)</f>
        <v>February</v>
      </c>
      <c r="T822" s="79" t="n">
        <f aca="false">HOUR($F822)</f>
        <v>20</v>
      </c>
      <c r="U822" s="79" t="n">
        <f aca="false">WEEKDAY($E822,2)</f>
        <v>1</v>
      </c>
      <c r="V822" s="79" t="str">
        <f aca="false">INDEX(Lists!$F$2:$F$8,$U822)</f>
        <v>Monday</v>
      </c>
      <c r="W822" s="81" t="n">
        <f aca="false">($G822+$H822)-($E822+$F822)</f>
        <v>8.10450231481481</v>
      </c>
      <c r="X822" s="79" t="str">
        <f aca="false">LOOKUP($M822,Lists!$G$2:$G$5,Lists!$H$2:$H$5)</f>
        <v>₹1,500 - 2,000</v>
      </c>
      <c r="Y822" s="79" t="str">
        <f aca="false">LOOKUP($W822,Lists!$I$2:$I$7,Lists!$J$2:$J$7)</f>
        <v>8 - 10 days</v>
      </c>
    </row>
    <row r="823" customFormat="false" ht="15" hidden="false" customHeight="false" outlineLevel="0" collapsed="false">
      <c r="A823" s="2" t="n">
        <v>822</v>
      </c>
      <c r="B823" s="2" t="s">
        <v>325</v>
      </c>
      <c r="C823" s="2" t="n">
        <v>41</v>
      </c>
      <c r="D823" s="2" t="n">
        <v>5</v>
      </c>
      <c r="E823" s="82" t="n">
        <v>45239</v>
      </c>
      <c r="F823" s="83" t="n">
        <v>0.141041666666667</v>
      </c>
      <c r="G823" s="82" t="n">
        <v>45242</v>
      </c>
      <c r="H823" s="83" t="n">
        <v>0.177280092592593</v>
      </c>
      <c r="I823" s="2" t="s">
        <v>424</v>
      </c>
      <c r="J823" s="2" t="s">
        <v>32</v>
      </c>
      <c r="K823" s="46" t="str">
        <f aca="false">INDEX(Products!$B$2:$B$71,MATCH($C823,Products!$A$2:$A$71,0))</f>
        <v>Aut Box</v>
      </c>
      <c r="L823" s="46" t="str">
        <f aca="false">INDEX(Products!$C$2:$C$71,MATCH($C823,Products!$A$2:$A$71,0))</f>
        <v>Sweets</v>
      </c>
      <c r="M823" s="84" t="n">
        <f aca="false">INDEX(Products!$D$2:$D$71,MATCH($C823,Products!$A$2:$A$71,0))</f>
        <v>1977</v>
      </c>
      <c r="N823" s="84" t="n">
        <f aca="false">$D823*$M823</f>
        <v>9885</v>
      </c>
      <c r="O823" s="46" t="str">
        <f aca="false">INDEX(Customers!$C$2:$C$101,MATCH($B823,Customers!$A$2:$A$101,0))</f>
        <v>Aligarh</v>
      </c>
      <c r="P823" s="46" t="str">
        <f aca="false">INDEX(Customers!$F$2:$F$101,MATCH($B823,Customers!$A$2:$A$101,0))</f>
        <v>Female</v>
      </c>
      <c r="Q823" s="46" t="str">
        <f aca="false">INDEX(Customers!$B$2:$B$101,MATCH($B823,Customers!$A$2:$A$101,0))</f>
        <v>Yashvi Bansal</v>
      </c>
      <c r="R823" s="46" t="n">
        <f aca="false">MONTH($E823)</f>
        <v>11</v>
      </c>
      <c r="S823" s="46" t="str">
        <f aca="false">INDEX(Lists!$B$2:$B$13,$R823)</f>
        <v>November</v>
      </c>
      <c r="T823" s="46" t="n">
        <f aca="false">HOUR($F823)</f>
        <v>3</v>
      </c>
      <c r="U823" s="46" t="n">
        <f aca="false">WEEKDAY($E823,2)</f>
        <v>4</v>
      </c>
      <c r="V823" s="46" t="str">
        <f aca="false">INDEX(Lists!$F$2:$F$8,$U823)</f>
        <v>Thursday</v>
      </c>
      <c r="W823" s="85" t="n">
        <f aca="false">($G823+$H823)-($E823+$F823)</f>
        <v>3.03623842592593</v>
      </c>
      <c r="X823" s="46" t="str">
        <f aca="false">LOOKUP($M823,Lists!$G$2:$G$5,Lists!$H$2:$H$5)</f>
        <v>₹1,500 - 2,000</v>
      </c>
      <c r="Y823" s="46" t="str">
        <f aca="false">LOOKUP($W823,Lists!$I$2:$I$7,Lists!$J$2:$J$7)</f>
        <v>2 - 4 days</v>
      </c>
    </row>
    <row r="824" customFormat="false" ht="15" hidden="false" customHeight="false" outlineLevel="0" collapsed="false">
      <c r="A824" s="7" t="n">
        <v>823</v>
      </c>
      <c r="B824" s="7" t="s">
        <v>357</v>
      </c>
      <c r="C824" s="7" t="n">
        <v>64</v>
      </c>
      <c r="D824" s="7" t="n">
        <v>3</v>
      </c>
      <c r="E824" s="77" t="n">
        <v>45165</v>
      </c>
      <c r="F824" s="78" t="n">
        <v>0.641261574074074</v>
      </c>
      <c r="G824" s="77" t="n">
        <v>45170</v>
      </c>
      <c r="H824" s="78" t="n">
        <v>0.619907407407408</v>
      </c>
      <c r="I824" s="7" t="s">
        <v>147</v>
      </c>
      <c r="J824" s="7" t="s">
        <v>40</v>
      </c>
      <c r="K824" s="79" t="str">
        <f aca="false">INDEX(Products!$B$2:$B$71,MATCH($C824,Products!$A$2:$A$71,0))</f>
        <v>Nostrum Box</v>
      </c>
      <c r="L824" s="79" t="str">
        <f aca="false">INDEX(Products!$C$2:$C$71,MATCH($C824,Products!$A$2:$A$71,0))</f>
        <v>Soft Toys</v>
      </c>
      <c r="M824" s="80" t="n">
        <f aca="false">INDEX(Products!$D$2:$D$71,MATCH($C824,Products!$A$2:$A$71,0))</f>
        <v>1878</v>
      </c>
      <c r="N824" s="80" t="n">
        <f aca="false">$D824*$M824</f>
        <v>5634</v>
      </c>
      <c r="O824" s="79" t="str">
        <f aca="false">INDEX(Customers!$C$2:$C$101,MATCH($B824,Customers!$A$2:$A$101,0))</f>
        <v>North Dumdum</v>
      </c>
      <c r="P824" s="79" t="str">
        <f aca="false">INDEX(Customers!$F$2:$F$101,MATCH($B824,Customers!$A$2:$A$101,0))</f>
        <v>Female</v>
      </c>
      <c r="Q824" s="79" t="str">
        <f aca="false">INDEX(Customers!$B$2:$B$101,MATCH($B824,Customers!$A$2:$A$101,0))</f>
        <v>Rania Bhatt</v>
      </c>
      <c r="R824" s="79" t="n">
        <f aca="false">MONTH($E824)</f>
        <v>8</v>
      </c>
      <c r="S824" s="79" t="str">
        <f aca="false">INDEX(Lists!$B$2:$B$13,$R824)</f>
        <v>August</v>
      </c>
      <c r="T824" s="79" t="n">
        <f aca="false">HOUR($F824)</f>
        <v>15</v>
      </c>
      <c r="U824" s="79" t="n">
        <f aca="false">WEEKDAY($E824,2)</f>
        <v>7</v>
      </c>
      <c r="V824" s="79" t="str">
        <f aca="false">INDEX(Lists!$F$2:$F$8,$U824)</f>
        <v>Sunday</v>
      </c>
      <c r="W824" s="81" t="n">
        <f aca="false">($G824+$H824)-($E824+$F824)</f>
        <v>4.97864583333333</v>
      </c>
      <c r="X824" s="79" t="str">
        <f aca="false">LOOKUP($M824,Lists!$G$2:$G$5,Lists!$H$2:$H$5)</f>
        <v>₹1,500 - 2,000</v>
      </c>
      <c r="Y824" s="79" t="str">
        <f aca="false">LOOKUP($W824,Lists!$I$2:$I$7,Lists!$J$2:$J$7)</f>
        <v>4 - 6 days</v>
      </c>
    </row>
    <row r="825" customFormat="false" ht="15" hidden="false" customHeight="false" outlineLevel="0" collapsed="false">
      <c r="A825" s="2" t="n">
        <v>824</v>
      </c>
      <c r="B825" s="2" t="s">
        <v>385</v>
      </c>
      <c r="C825" s="2" t="n">
        <v>46</v>
      </c>
      <c r="D825" s="2" t="n">
        <v>4</v>
      </c>
      <c r="E825" s="82" t="n">
        <v>45052</v>
      </c>
      <c r="F825" s="83" t="n">
        <v>0.33068287037037</v>
      </c>
      <c r="G825" s="82" t="n">
        <v>45053</v>
      </c>
      <c r="H825" s="83" t="n">
        <v>0.641574074074074</v>
      </c>
      <c r="I825" s="2" t="s">
        <v>498</v>
      </c>
      <c r="J825" s="2" t="s">
        <v>168</v>
      </c>
      <c r="K825" s="46" t="str">
        <f aca="false">INDEX(Products!$B$2:$B$71,MATCH($C825,Products!$A$2:$A$71,0))</f>
        <v>Pariatur Set</v>
      </c>
      <c r="L825" s="46" t="str">
        <f aca="false">INDEX(Products!$C$2:$C$71,MATCH($C825,Products!$A$2:$A$71,0))</f>
        <v>Cake</v>
      </c>
      <c r="M825" s="84" t="n">
        <f aca="false">INDEX(Products!$D$2:$D$71,MATCH($C825,Products!$A$2:$A$71,0))</f>
        <v>758</v>
      </c>
      <c r="N825" s="84" t="n">
        <f aca="false">$D825*$M825</f>
        <v>3032</v>
      </c>
      <c r="O825" s="46" t="str">
        <f aca="false">INDEX(Customers!$C$2:$C$101,MATCH($B825,Customers!$A$2:$A$101,0))</f>
        <v>Sri Ganganagar</v>
      </c>
      <c r="P825" s="46" t="str">
        <f aca="false">INDEX(Customers!$F$2:$F$101,MATCH($B825,Customers!$A$2:$A$101,0))</f>
        <v>Female</v>
      </c>
      <c r="Q825" s="46" t="str">
        <f aca="false">INDEX(Customers!$B$2:$B$101,MATCH($B825,Customers!$A$2:$A$101,0))</f>
        <v>Nakul Randhawa</v>
      </c>
      <c r="R825" s="46" t="n">
        <f aca="false">MONTH($E825)</f>
        <v>5</v>
      </c>
      <c r="S825" s="46" t="str">
        <f aca="false">INDEX(Lists!$B$2:$B$13,$R825)</f>
        <v>May</v>
      </c>
      <c r="T825" s="46" t="n">
        <f aca="false">HOUR($F825)</f>
        <v>7</v>
      </c>
      <c r="U825" s="46" t="n">
        <f aca="false">WEEKDAY($E825,2)</f>
        <v>6</v>
      </c>
      <c r="V825" s="46" t="str">
        <f aca="false">INDEX(Lists!$F$2:$F$8,$U825)</f>
        <v>Saturday</v>
      </c>
      <c r="W825" s="85" t="n">
        <f aca="false">($G825+$H825)-($E825+$F825)</f>
        <v>1.3108912037037</v>
      </c>
      <c r="X825" s="46" t="str">
        <f aca="false">LOOKUP($M825,Lists!$G$2:$G$5,Lists!$H$2:$H$5)</f>
        <v>₹500 - 999</v>
      </c>
      <c r="Y825" s="46" t="str">
        <f aca="false">LOOKUP($W825,Lists!$I$2:$I$7,Lists!$J$2:$J$7)</f>
        <v>0 - 2 days</v>
      </c>
    </row>
    <row r="826" customFormat="false" ht="15" hidden="false" customHeight="false" outlineLevel="0" collapsed="false">
      <c r="A826" s="7" t="n">
        <v>825</v>
      </c>
      <c r="B826" s="7" t="s">
        <v>236</v>
      </c>
      <c r="C826" s="7" t="n">
        <v>25</v>
      </c>
      <c r="D826" s="7" t="n">
        <v>5</v>
      </c>
      <c r="E826" s="77" t="n">
        <v>45107</v>
      </c>
      <c r="F826" s="78" t="n">
        <v>0.451666666666667</v>
      </c>
      <c r="G826" s="77" t="n">
        <v>45108</v>
      </c>
      <c r="H826" s="78" t="n">
        <v>0.755601851851852</v>
      </c>
      <c r="I826" s="7" t="s">
        <v>509</v>
      </c>
      <c r="J826" s="7" t="s">
        <v>168</v>
      </c>
      <c r="K826" s="79" t="str">
        <f aca="false">INDEX(Products!$B$2:$B$71,MATCH($C826,Products!$A$2:$A$71,0))</f>
        <v>Qui Gift</v>
      </c>
      <c r="L826" s="79" t="str">
        <f aca="false">INDEX(Products!$C$2:$C$71,MATCH($C826,Products!$A$2:$A$71,0))</f>
        <v>Plants</v>
      </c>
      <c r="M826" s="80" t="n">
        <f aca="false">INDEX(Products!$D$2:$D$71,MATCH($C826,Products!$A$2:$A$71,0))</f>
        <v>1202</v>
      </c>
      <c r="N826" s="80" t="n">
        <f aca="false">$D826*$M826</f>
        <v>6010</v>
      </c>
      <c r="O826" s="79" t="str">
        <f aca="false">INDEX(Customers!$C$2:$C$101,MATCH($B826,Customers!$A$2:$A$101,0))</f>
        <v>Agra</v>
      </c>
      <c r="P826" s="79" t="str">
        <f aca="false">INDEX(Customers!$F$2:$F$101,MATCH($B826,Customers!$A$2:$A$101,0))</f>
        <v>Male</v>
      </c>
      <c r="Q826" s="79" t="str">
        <f aca="false">INDEX(Customers!$B$2:$B$101,MATCH($B826,Customers!$A$2:$A$101,0))</f>
        <v>Seher Mann</v>
      </c>
      <c r="R826" s="79" t="n">
        <f aca="false">MONTH($E826)</f>
        <v>6</v>
      </c>
      <c r="S826" s="79" t="str">
        <f aca="false">INDEX(Lists!$B$2:$B$13,$R826)</f>
        <v>June</v>
      </c>
      <c r="T826" s="79" t="n">
        <f aca="false">HOUR($F826)</f>
        <v>10</v>
      </c>
      <c r="U826" s="79" t="n">
        <f aca="false">WEEKDAY($E826,2)</f>
        <v>5</v>
      </c>
      <c r="V826" s="79" t="str">
        <f aca="false">INDEX(Lists!$F$2:$F$8,$U826)</f>
        <v>Friday</v>
      </c>
      <c r="W826" s="81" t="n">
        <f aca="false">($G826+$H826)-($E826+$F826)</f>
        <v>1.30393518518519</v>
      </c>
      <c r="X826" s="79" t="str">
        <f aca="false">LOOKUP($M826,Lists!$G$2:$G$5,Lists!$H$2:$H$5)</f>
        <v>₹1,000 - 1,499</v>
      </c>
      <c r="Y826" s="79" t="str">
        <f aca="false">LOOKUP($W826,Lists!$I$2:$I$7,Lists!$J$2:$J$7)</f>
        <v>0 - 2 days</v>
      </c>
    </row>
    <row r="827" customFormat="false" ht="15" hidden="false" customHeight="false" outlineLevel="0" collapsed="false">
      <c r="A827" s="2" t="n">
        <v>826</v>
      </c>
      <c r="B827" s="2" t="s">
        <v>331</v>
      </c>
      <c r="C827" s="2" t="n">
        <v>16</v>
      </c>
      <c r="D827" s="2" t="n">
        <v>5</v>
      </c>
      <c r="E827" s="82" t="n">
        <v>44987</v>
      </c>
      <c r="F827" s="83" t="n">
        <v>0.834803240740741</v>
      </c>
      <c r="G827" s="82" t="n">
        <v>44993</v>
      </c>
      <c r="H827" s="83" t="n">
        <v>0.261319444444444</v>
      </c>
      <c r="I827" s="2" t="s">
        <v>597</v>
      </c>
      <c r="J827" s="2" t="s">
        <v>33</v>
      </c>
      <c r="K827" s="46" t="str">
        <f aca="false">INDEX(Products!$B$2:$B$71,MATCH($C827,Products!$A$2:$A$71,0))</f>
        <v>Ut Pack</v>
      </c>
      <c r="L827" s="46" t="str">
        <f aca="false">INDEX(Products!$C$2:$C$71,MATCH($C827,Products!$A$2:$A$71,0))</f>
        <v>Sweets</v>
      </c>
      <c r="M827" s="84" t="n">
        <f aca="false">INDEX(Products!$D$2:$D$71,MATCH($C827,Products!$A$2:$A$71,0))</f>
        <v>1721</v>
      </c>
      <c r="N827" s="84" t="n">
        <f aca="false">$D827*$M827</f>
        <v>8605</v>
      </c>
      <c r="O827" s="46" t="str">
        <f aca="false">INDEX(Customers!$C$2:$C$101,MATCH($B827,Customers!$A$2:$A$101,0))</f>
        <v>Panchkula</v>
      </c>
      <c r="P827" s="46" t="str">
        <f aca="false">INDEX(Customers!$F$2:$F$101,MATCH($B827,Customers!$A$2:$A$101,0))</f>
        <v>Female</v>
      </c>
      <c r="Q827" s="46" t="str">
        <f aca="false">INDEX(Customers!$B$2:$B$101,MATCH($B827,Customers!$A$2:$A$101,0))</f>
        <v>Gokul Ahluwalia</v>
      </c>
      <c r="R827" s="46" t="n">
        <f aca="false">MONTH($E827)</f>
        <v>3</v>
      </c>
      <c r="S827" s="46" t="str">
        <f aca="false">INDEX(Lists!$B$2:$B$13,$R827)</f>
        <v>March</v>
      </c>
      <c r="T827" s="46" t="n">
        <f aca="false">HOUR($F827)</f>
        <v>20</v>
      </c>
      <c r="U827" s="46" t="n">
        <f aca="false">WEEKDAY($E827,2)</f>
        <v>4</v>
      </c>
      <c r="V827" s="46" t="str">
        <f aca="false">INDEX(Lists!$F$2:$F$8,$U827)</f>
        <v>Thursday</v>
      </c>
      <c r="W827" s="85" t="n">
        <f aca="false">($G827+$H827)-($E827+$F827)</f>
        <v>5.4265162037037</v>
      </c>
      <c r="X827" s="46" t="str">
        <f aca="false">LOOKUP($M827,Lists!$G$2:$G$5,Lists!$H$2:$H$5)</f>
        <v>₹1,500 - 2,000</v>
      </c>
      <c r="Y827" s="46" t="str">
        <f aca="false">LOOKUP($W827,Lists!$I$2:$I$7,Lists!$J$2:$J$7)</f>
        <v>4 - 6 days</v>
      </c>
    </row>
    <row r="828" customFormat="false" ht="15" hidden="false" customHeight="false" outlineLevel="0" collapsed="false">
      <c r="A828" s="7" t="n">
        <v>827</v>
      </c>
      <c r="B828" s="7" t="s">
        <v>355</v>
      </c>
      <c r="C828" s="7" t="n">
        <v>9</v>
      </c>
      <c r="D828" s="7" t="n">
        <v>1</v>
      </c>
      <c r="E828" s="77" t="n">
        <v>45167</v>
      </c>
      <c r="F828" s="78" t="n">
        <v>0.924143518518519</v>
      </c>
      <c r="G828" s="77" t="n">
        <v>45168</v>
      </c>
      <c r="H828" s="78" t="n">
        <v>0.0360532407407407</v>
      </c>
      <c r="I828" s="7" t="s">
        <v>580</v>
      </c>
      <c r="J828" s="7" t="s">
        <v>40</v>
      </c>
      <c r="K828" s="79" t="str">
        <f aca="false">INDEX(Products!$B$2:$B$71,MATCH($C828,Products!$A$2:$A$71,0))</f>
        <v>Aperiam Box</v>
      </c>
      <c r="L828" s="79" t="str">
        <f aca="false">INDEX(Products!$C$2:$C$71,MATCH($C828,Products!$A$2:$A$71,0))</f>
        <v>Colors</v>
      </c>
      <c r="M828" s="80" t="n">
        <f aca="false">INDEX(Products!$D$2:$D$71,MATCH($C828,Products!$A$2:$A$71,0))</f>
        <v>1605</v>
      </c>
      <c r="N828" s="80" t="n">
        <f aca="false">$D828*$M828</f>
        <v>1605</v>
      </c>
      <c r="O828" s="79" t="str">
        <f aca="false">INDEX(Customers!$C$2:$C$101,MATCH($B828,Customers!$A$2:$A$101,0))</f>
        <v>Purnia</v>
      </c>
      <c r="P828" s="79" t="str">
        <f aca="false">INDEX(Customers!$F$2:$F$101,MATCH($B828,Customers!$A$2:$A$101,0))</f>
        <v>Female</v>
      </c>
      <c r="Q828" s="79" t="str">
        <f aca="false">INDEX(Customers!$B$2:$B$101,MATCH($B828,Customers!$A$2:$A$101,0))</f>
        <v>Ivana Amble</v>
      </c>
      <c r="R828" s="79" t="n">
        <f aca="false">MONTH($E828)</f>
        <v>8</v>
      </c>
      <c r="S828" s="79" t="str">
        <f aca="false">INDEX(Lists!$B$2:$B$13,$R828)</f>
        <v>August</v>
      </c>
      <c r="T828" s="79" t="n">
        <f aca="false">HOUR($F828)</f>
        <v>22</v>
      </c>
      <c r="U828" s="79" t="n">
        <f aca="false">WEEKDAY($E828,2)</f>
        <v>2</v>
      </c>
      <c r="V828" s="79" t="str">
        <f aca="false">INDEX(Lists!$F$2:$F$8,$U828)</f>
        <v>Tuesday</v>
      </c>
      <c r="W828" s="81" t="n">
        <f aca="false">($G828+$H828)-($E828+$F828)</f>
        <v>0.111909722222222</v>
      </c>
      <c r="X828" s="79" t="str">
        <f aca="false">LOOKUP($M828,Lists!$G$2:$G$5,Lists!$H$2:$H$5)</f>
        <v>₹1,500 - 2,000</v>
      </c>
      <c r="Y828" s="79" t="str">
        <f aca="false">LOOKUP($W828,Lists!$I$2:$I$7,Lists!$J$2:$J$7)</f>
        <v>0 - 2 days</v>
      </c>
    </row>
    <row r="829" customFormat="false" ht="15" hidden="false" customHeight="false" outlineLevel="0" collapsed="false">
      <c r="A829" s="2" t="n">
        <v>828</v>
      </c>
      <c r="B829" s="2" t="s">
        <v>236</v>
      </c>
      <c r="C829" s="2" t="n">
        <v>8</v>
      </c>
      <c r="D829" s="2" t="n">
        <v>3</v>
      </c>
      <c r="E829" s="82" t="n">
        <v>45223</v>
      </c>
      <c r="F829" s="83" t="n">
        <v>0.69931712962963</v>
      </c>
      <c r="G829" s="82" t="n">
        <v>45231</v>
      </c>
      <c r="H829" s="83" t="n">
        <v>0.929837962962963</v>
      </c>
      <c r="I829" s="2" t="s">
        <v>402</v>
      </c>
      <c r="J829" s="2" t="s">
        <v>168</v>
      </c>
      <c r="K829" s="46" t="str">
        <f aca="false">INDEX(Products!$B$2:$B$71,MATCH($C829,Products!$A$2:$A$71,0))</f>
        <v>Qui Box</v>
      </c>
      <c r="L829" s="46" t="str">
        <f aca="false">INDEX(Products!$C$2:$C$71,MATCH($C829,Products!$A$2:$A$71,0))</f>
        <v>Sweets</v>
      </c>
      <c r="M829" s="84" t="n">
        <f aca="false">INDEX(Products!$D$2:$D$71,MATCH($C829,Products!$A$2:$A$71,0))</f>
        <v>252</v>
      </c>
      <c r="N829" s="84" t="n">
        <f aca="false">$D829*$M829</f>
        <v>756</v>
      </c>
      <c r="O829" s="46" t="str">
        <f aca="false">INDEX(Customers!$C$2:$C$101,MATCH($B829,Customers!$A$2:$A$101,0))</f>
        <v>Agra</v>
      </c>
      <c r="P829" s="46" t="str">
        <f aca="false">INDEX(Customers!$F$2:$F$101,MATCH($B829,Customers!$A$2:$A$101,0))</f>
        <v>Male</v>
      </c>
      <c r="Q829" s="46" t="str">
        <f aca="false">INDEX(Customers!$B$2:$B$101,MATCH($B829,Customers!$A$2:$A$101,0))</f>
        <v>Seher Mann</v>
      </c>
      <c r="R829" s="46" t="n">
        <f aca="false">MONTH($E829)</f>
        <v>10</v>
      </c>
      <c r="S829" s="46" t="str">
        <f aca="false">INDEX(Lists!$B$2:$B$13,$R829)</f>
        <v>October</v>
      </c>
      <c r="T829" s="46" t="n">
        <f aca="false">HOUR($F829)</f>
        <v>16</v>
      </c>
      <c r="U829" s="46" t="n">
        <f aca="false">WEEKDAY($E829,2)</f>
        <v>2</v>
      </c>
      <c r="V829" s="46" t="str">
        <f aca="false">INDEX(Lists!$F$2:$F$8,$U829)</f>
        <v>Tuesday</v>
      </c>
      <c r="W829" s="85" t="n">
        <f aca="false">($G829+$H829)-($E829+$F829)</f>
        <v>8.23052083333333</v>
      </c>
      <c r="X829" s="46" t="str">
        <f aca="false">LOOKUP($M829,Lists!$G$2:$G$5,Lists!$H$2:$H$5)</f>
        <v>₹0 - 499</v>
      </c>
      <c r="Y829" s="46" t="str">
        <f aca="false">LOOKUP($W829,Lists!$I$2:$I$7,Lists!$J$2:$J$7)</f>
        <v>8 - 10 days</v>
      </c>
    </row>
    <row r="830" customFormat="false" ht="15" hidden="false" customHeight="false" outlineLevel="0" collapsed="false">
      <c r="A830" s="7" t="n">
        <v>829</v>
      </c>
      <c r="B830" s="7" t="s">
        <v>176</v>
      </c>
      <c r="C830" s="7" t="n">
        <v>42</v>
      </c>
      <c r="D830" s="7" t="n">
        <v>4</v>
      </c>
      <c r="E830" s="77" t="n">
        <v>45279</v>
      </c>
      <c r="F830" s="78" t="n">
        <v>0.774780092592593</v>
      </c>
      <c r="G830" s="77" t="n">
        <v>45286</v>
      </c>
      <c r="H830" s="78" t="n">
        <v>0.429212962962963</v>
      </c>
      <c r="I830" s="7" t="s">
        <v>608</v>
      </c>
      <c r="J830" s="7" t="s">
        <v>165</v>
      </c>
      <c r="K830" s="79" t="str">
        <f aca="false">INDEX(Products!$B$2:$B$71,MATCH($C830,Products!$A$2:$A$71,0))</f>
        <v>Expedita Gift</v>
      </c>
      <c r="L830" s="79" t="str">
        <f aca="false">INDEX(Products!$C$2:$C$71,MATCH($C830,Products!$A$2:$A$71,0))</f>
        <v>Sweets</v>
      </c>
      <c r="M830" s="80" t="n">
        <f aca="false">INDEX(Products!$D$2:$D$71,MATCH($C830,Products!$A$2:$A$71,0))</f>
        <v>1744</v>
      </c>
      <c r="N830" s="80" t="n">
        <f aca="false">$D830*$M830</f>
        <v>6976</v>
      </c>
      <c r="O830" s="79" t="str">
        <f aca="false">INDEX(Customers!$C$2:$C$101,MATCH($B830,Customers!$A$2:$A$101,0))</f>
        <v>Machilipatnam</v>
      </c>
      <c r="P830" s="79" t="str">
        <f aca="false">INDEX(Customers!$F$2:$F$101,MATCH($B830,Customers!$A$2:$A$101,0))</f>
        <v>Male</v>
      </c>
      <c r="Q830" s="79" t="str">
        <f aca="false">INDEX(Customers!$B$2:$B$101,MATCH($B830,Customers!$A$2:$A$101,0))</f>
        <v>Samaira Ganesh</v>
      </c>
      <c r="R830" s="79" t="n">
        <f aca="false">MONTH($E830)</f>
        <v>12</v>
      </c>
      <c r="S830" s="79" t="str">
        <f aca="false">INDEX(Lists!$B$2:$B$13,$R830)</f>
        <v>December</v>
      </c>
      <c r="T830" s="79" t="n">
        <f aca="false">HOUR($F830)</f>
        <v>18</v>
      </c>
      <c r="U830" s="79" t="n">
        <f aca="false">WEEKDAY($E830,2)</f>
        <v>2</v>
      </c>
      <c r="V830" s="79" t="str">
        <f aca="false">INDEX(Lists!$F$2:$F$8,$U830)</f>
        <v>Tuesday</v>
      </c>
      <c r="W830" s="81" t="n">
        <f aca="false">($G830+$H830)-($E830+$F830)</f>
        <v>6.65443287037037</v>
      </c>
      <c r="X830" s="79" t="str">
        <f aca="false">LOOKUP($M830,Lists!$G$2:$G$5,Lists!$H$2:$H$5)</f>
        <v>₹1,500 - 2,000</v>
      </c>
      <c r="Y830" s="79" t="str">
        <f aca="false">LOOKUP($W830,Lists!$I$2:$I$7,Lists!$J$2:$J$7)</f>
        <v>6 - 8 days</v>
      </c>
    </row>
    <row r="831" customFormat="false" ht="15" hidden="false" customHeight="false" outlineLevel="0" collapsed="false">
      <c r="A831" s="2" t="n">
        <v>830</v>
      </c>
      <c r="B831" s="2" t="s">
        <v>142</v>
      </c>
      <c r="C831" s="2" t="n">
        <v>46</v>
      </c>
      <c r="D831" s="2" t="n">
        <v>2</v>
      </c>
      <c r="E831" s="82" t="n">
        <v>44938</v>
      </c>
      <c r="F831" s="83" t="n">
        <v>0.804780092592593</v>
      </c>
      <c r="G831" s="82" t="n">
        <v>44941</v>
      </c>
      <c r="H831" s="83" t="n">
        <v>0.211354166666667</v>
      </c>
      <c r="I831" s="2" t="s">
        <v>424</v>
      </c>
      <c r="J831" s="2" t="s">
        <v>168</v>
      </c>
      <c r="K831" s="46" t="str">
        <f aca="false">INDEX(Products!$B$2:$B$71,MATCH($C831,Products!$A$2:$A$71,0))</f>
        <v>Pariatur Set</v>
      </c>
      <c r="L831" s="46" t="str">
        <f aca="false">INDEX(Products!$C$2:$C$71,MATCH($C831,Products!$A$2:$A$71,0))</f>
        <v>Cake</v>
      </c>
      <c r="M831" s="84" t="n">
        <f aca="false">INDEX(Products!$D$2:$D$71,MATCH($C831,Products!$A$2:$A$71,0))</f>
        <v>758</v>
      </c>
      <c r="N831" s="84" t="n">
        <f aca="false">$D831*$M831</f>
        <v>1516</v>
      </c>
      <c r="O831" s="46" t="str">
        <f aca="false">INDEX(Customers!$C$2:$C$101,MATCH($B831,Customers!$A$2:$A$101,0))</f>
        <v>Berhampore</v>
      </c>
      <c r="P831" s="46" t="str">
        <f aca="false">INDEX(Customers!$F$2:$F$101,MATCH($B831,Customers!$A$2:$A$101,0))</f>
        <v>Male</v>
      </c>
      <c r="Q831" s="46" t="str">
        <f aca="false">INDEX(Customers!$B$2:$B$101,MATCH($B831,Customers!$A$2:$A$101,0))</f>
        <v>Jayant Kamdar</v>
      </c>
      <c r="R831" s="46" t="n">
        <f aca="false">MONTH($E831)</f>
        <v>1</v>
      </c>
      <c r="S831" s="46" t="str">
        <f aca="false">INDEX(Lists!$B$2:$B$13,$R831)</f>
        <v>January</v>
      </c>
      <c r="T831" s="46" t="n">
        <f aca="false">HOUR($F831)</f>
        <v>19</v>
      </c>
      <c r="U831" s="46" t="n">
        <f aca="false">WEEKDAY($E831,2)</f>
        <v>4</v>
      </c>
      <c r="V831" s="46" t="str">
        <f aca="false">INDEX(Lists!$F$2:$F$8,$U831)</f>
        <v>Thursday</v>
      </c>
      <c r="W831" s="85" t="n">
        <f aca="false">($G831+$H831)-($E831+$F831)</f>
        <v>2.40657407407407</v>
      </c>
      <c r="X831" s="46" t="str">
        <f aca="false">LOOKUP($M831,Lists!$G$2:$G$5,Lists!$H$2:$H$5)</f>
        <v>₹500 - 999</v>
      </c>
      <c r="Y831" s="46" t="str">
        <f aca="false">LOOKUP($W831,Lists!$I$2:$I$7,Lists!$J$2:$J$7)</f>
        <v>2 - 4 days</v>
      </c>
    </row>
    <row r="832" customFormat="false" ht="15" hidden="false" customHeight="false" outlineLevel="0" collapsed="false">
      <c r="A832" s="7" t="n">
        <v>831</v>
      </c>
      <c r="B832" s="7" t="s">
        <v>336</v>
      </c>
      <c r="C832" s="7" t="n">
        <v>56</v>
      </c>
      <c r="D832" s="7" t="n">
        <v>5</v>
      </c>
      <c r="E832" s="77" t="n">
        <v>45070</v>
      </c>
      <c r="F832" s="78" t="n">
        <v>0.778854166666667</v>
      </c>
      <c r="G832" s="77" t="n">
        <v>45080</v>
      </c>
      <c r="H832" s="78" t="n">
        <v>0.796030092592593</v>
      </c>
      <c r="I832" s="7" t="s">
        <v>538</v>
      </c>
      <c r="J832" s="7" t="s">
        <v>168</v>
      </c>
      <c r="K832" s="79" t="str">
        <f aca="false">INDEX(Products!$B$2:$B$71,MATCH($C832,Products!$A$2:$A$71,0))</f>
        <v>Quia Gift</v>
      </c>
      <c r="L832" s="79" t="str">
        <f aca="false">INDEX(Products!$C$2:$C$71,MATCH($C832,Products!$A$2:$A$71,0))</f>
        <v>Raksha Bandhan</v>
      </c>
      <c r="M832" s="80" t="n">
        <f aca="false">INDEX(Products!$D$2:$D$71,MATCH($C832,Products!$A$2:$A$71,0))</f>
        <v>1272</v>
      </c>
      <c r="N832" s="80" t="n">
        <f aca="false">$D832*$M832</f>
        <v>6360</v>
      </c>
      <c r="O832" s="79" t="str">
        <f aca="false">INDEX(Customers!$C$2:$C$101,MATCH($B832,Customers!$A$2:$A$101,0))</f>
        <v>Bhilai</v>
      </c>
      <c r="P832" s="79" t="str">
        <f aca="false">INDEX(Customers!$F$2:$F$101,MATCH($B832,Customers!$A$2:$A$101,0))</f>
        <v>Female</v>
      </c>
      <c r="Q832" s="79" t="str">
        <f aca="false">INDEX(Customers!$B$2:$B$101,MATCH($B832,Customers!$A$2:$A$101,0))</f>
        <v>Vedika Sankaran</v>
      </c>
      <c r="R832" s="79" t="n">
        <f aca="false">MONTH($E832)</f>
        <v>5</v>
      </c>
      <c r="S832" s="79" t="str">
        <f aca="false">INDEX(Lists!$B$2:$B$13,$R832)</f>
        <v>May</v>
      </c>
      <c r="T832" s="79" t="n">
        <f aca="false">HOUR($F832)</f>
        <v>18</v>
      </c>
      <c r="U832" s="79" t="n">
        <f aca="false">WEEKDAY($E832,2)</f>
        <v>3</v>
      </c>
      <c r="V832" s="79" t="str">
        <f aca="false">INDEX(Lists!$F$2:$F$8,$U832)</f>
        <v>Wednesday</v>
      </c>
      <c r="W832" s="81" t="n">
        <f aca="false">($G832+$H832)-($E832+$F832)</f>
        <v>10.0171759259259</v>
      </c>
      <c r="X832" s="79" t="str">
        <f aca="false">LOOKUP($M832,Lists!$G$2:$G$5,Lists!$H$2:$H$5)</f>
        <v>₹1,000 - 1,499</v>
      </c>
      <c r="Y832" s="79" t="str">
        <f aca="false">LOOKUP($W832,Lists!$I$2:$I$7,Lists!$J$2:$J$7)</f>
        <v>Over 10 days</v>
      </c>
    </row>
    <row r="833" customFormat="false" ht="15" hidden="false" customHeight="false" outlineLevel="0" collapsed="false">
      <c r="A833" s="2" t="n">
        <v>832</v>
      </c>
      <c r="B833" s="2" t="s">
        <v>190</v>
      </c>
      <c r="C833" s="2" t="n">
        <v>65</v>
      </c>
      <c r="D833" s="2" t="n">
        <v>4</v>
      </c>
      <c r="E833" s="82" t="n">
        <v>44958</v>
      </c>
      <c r="F833" s="83" t="n">
        <v>0.789166666666667</v>
      </c>
      <c r="G833" s="82" t="n">
        <v>44967</v>
      </c>
      <c r="H833" s="83" t="n">
        <v>0.0968634259259259</v>
      </c>
      <c r="I833" s="2" t="s">
        <v>365</v>
      </c>
      <c r="J833" s="2" t="s">
        <v>165</v>
      </c>
      <c r="K833" s="46" t="str">
        <f aca="false">INDEX(Products!$B$2:$B$71,MATCH($C833,Products!$A$2:$A$71,0))</f>
        <v>Error Gift</v>
      </c>
      <c r="L833" s="46" t="str">
        <f aca="false">INDEX(Products!$C$2:$C$71,MATCH($C833,Products!$A$2:$A$71,0))</f>
        <v>Raksha Bandhan</v>
      </c>
      <c r="M833" s="84" t="n">
        <f aca="false">INDEX(Products!$D$2:$D$71,MATCH($C833,Products!$A$2:$A$71,0))</f>
        <v>1895</v>
      </c>
      <c r="N833" s="84" t="n">
        <f aca="false">$D833*$M833</f>
        <v>7580</v>
      </c>
      <c r="O833" s="46" t="str">
        <f aca="false">INDEX(Customers!$C$2:$C$101,MATCH($B833,Customers!$A$2:$A$101,0))</f>
        <v>Farrukhabad</v>
      </c>
      <c r="P833" s="46" t="str">
        <f aca="false">INDEX(Customers!$F$2:$F$101,MATCH($B833,Customers!$A$2:$A$101,0))</f>
        <v>Female</v>
      </c>
      <c r="Q833" s="46" t="str">
        <f aca="false">INDEX(Customers!$B$2:$B$101,MATCH($B833,Customers!$A$2:$A$101,0))</f>
        <v>Ira Chahal</v>
      </c>
      <c r="R833" s="46" t="n">
        <f aca="false">MONTH($E833)</f>
        <v>2</v>
      </c>
      <c r="S833" s="46" t="str">
        <f aca="false">INDEX(Lists!$B$2:$B$13,$R833)</f>
        <v>February</v>
      </c>
      <c r="T833" s="46" t="n">
        <f aca="false">HOUR($F833)</f>
        <v>18</v>
      </c>
      <c r="U833" s="46" t="n">
        <f aca="false">WEEKDAY($E833,2)</f>
        <v>3</v>
      </c>
      <c r="V833" s="46" t="str">
        <f aca="false">INDEX(Lists!$F$2:$F$8,$U833)</f>
        <v>Wednesday</v>
      </c>
      <c r="W833" s="85" t="n">
        <f aca="false">($G833+$H833)-($E833+$F833)</f>
        <v>8.30769675925926</v>
      </c>
      <c r="X833" s="46" t="str">
        <f aca="false">LOOKUP($M833,Lists!$G$2:$G$5,Lists!$H$2:$H$5)</f>
        <v>₹1,500 - 2,000</v>
      </c>
      <c r="Y833" s="46" t="str">
        <f aca="false">LOOKUP($W833,Lists!$I$2:$I$7,Lists!$J$2:$J$7)</f>
        <v>8 - 10 days</v>
      </c>
    </row>
    <row r="834" customFormat="false" ht="15" hidden="false" customHeight="false" outlineLevel="0" collapsed="false">
      <c r="A834" s="7" t="n">
        <v>833</v>
      </c>
      <c r="B834" s="7" t="s">
        <v>127</v>
      </c>
      <c r="C834" s="7" t="n">
        <v>26</v>
      </c>
      <c r="D834" s="7" t="n">
        <v>3</v>
      </c>
      <c r="E834" s="77" t="n">
        <v>44990</v>
      </c>
      <c r="F834" s="78" t="n">
        <v>0.0283333333333333</v>
      </c>
      <c r="G834" s="77" t="n">
        <v>44998</v>
      </c>
      <c r="H834" s="78" t="n">
        <v>0.0696412037037037</v>
      </c>
      <c r="I834" s="7" t="s">
        <v>562</v>
      </c>
      <c r="J834" s="7" t="s">
        <v>33</v>
      </c>
      <c r="K834" s="79" t="str">
        <f aca="false">INDEX(Products!$B$2:$B$71,MATCH($C834,Products!$A$2:$A$71,0))</f>
        <v>Aliquam Box</v>
      </c>
      <c r="L834" s="79" t="str">
        <f aca="false">INDEX(Products!$C$2:$C$71,MATCH($C834,Products!$A$2:$A$71,0))</f>
        <v>Colors</v>
      </c>
      <c r="M834" s="80" t="n">
        <f aca="false">INDEX(Products!$D$2:$D$71,MATCH($C834,Products!$A$2:$A$71,0))</f>
        <v>289</v>
      </c>
      <c r="N834" s="80" t="n">
        <f aca="false">$D834*$M834</f>
        <v>867</v>
      </c>
      <c r="O834" s="79" t="str">
        <f aca="false">INDEX(Customers!$C$2:$C$101,MATCH($B834,Customers!$A$2:$A$101,0))</f>
        <v>Bulandshahr</v>
      </c>
      <c r="P834" s="79" t="str">
        <f aca="false">INDEX(Customers!$F$2:$F$101,MATCH($B834,Customers!$A$2:$A$101,0))</f>
        <v>Female</v>
      </c>
      <c r="Q834" s="79" t="str">
        <f aca="false">INDEX(Customers!$B$2:$B$101,MATCH($B834,Customers!$A$2:$A$101,0))</f>
        <v>Myra Edwin</v>
      </c>
      <c r="R834" s="79" t="n">
        <f aca="false">MONTH($E834)</f>
        <v>3</v>
      </c>
      <c r="S834" s="79" t="str">
        <f aca="false">INDEX(Lists!$B$2:$B$13,$R834)</f>
        <v>March</v>
      </c>
      <c r="T834" s="79" t="n">
        <f aca="false">HOUR($F834)</f>
        <v>0</v>
      </c>
      <c r="U834" s="79" t="n">
        <f aca="false">WEEKDAY($E834,2)</f>
        <v>7</v>
      </c>
      <c r="V834" s="79" t="str">
        <f aca="false">INDEX(Lists!$F$2:$F$8,$U834)</f>
        <v>Sunday</v>
      </c>
      <c r="W834" s="81" t="n">
        <f aca="false">($G834+$H834)-($E834+$F834)</f>
        <v>8.04130787037037</v>
      </c>
      <c r="X834" s="79" t="str">
        <f aca="false">LOOKUP($M834,Lists!$G$2:$G$5,Lists!$H$2:$H$5)</f>
        <v>₹0 - 499</v>
      </c>
      <c r="Y834" s="79" t="str">
        <f aca="false">LOOKUP($W834,Lists!$I$2:$I$7,Lists!$J$2:$J$7)</f>
        <v>8 - 10 days</v>
      </c>
    </row>
    <row r="835" customFormat="false" ht="15" hidden="false" customHeight="false" outlineLevel="0" collapsed="false">
      <c r="A835" s="2" t="n">
        <v>834</v>
      </c>
      <c r="B835" s="2" t="s">
        <v>196</v>
      </c>
      <c r="C835" s="2" t="n">
        <v>60</v>
      </c>
      <c r="D835" s="2" t="n">
        <v>5</v>
      </c>
      <c r="E835" s="82" t="n">
        <v>45233</v>
      </c>
      <c r="F835" s="83" t="n">
        <v>0.774537037037037</v>
      </c>
      <c r="G835" s="82" t="n">
        <v>45242</v>
      </c>
      <c r="H835" s="83" t="n">
        <v>0.584594907407407</v>
      </c>
      <c r="I835" s="2" t="s">
        <v>589</v>
      </c>
      <c r="J835" s="2" t="s">
        <v>32</v>
      </c>
      <c r="K835" s="46" t="str">
        <f aca="false">INDEX(Products!$B$2:$B$71,MATCH($C835,Products!$A$2:$A$71,0))</f>
        <v>Ea Set</v>
      </c>
      <c r="L835" s="46" t="str">
        <f aca="false">INDEX(Products!$C$2:$C$71,MATCH($C835,Products!$A$2:$A$71,0))</f>
        <v>Sweets</v>
      </c>
      <c r="M835" s="84" t="n">
        <f aca="false">INDEX(Products!$D$2:$D$71,MATCH($C835,Products!$A$2:$A$71,0))</f>
        <v>827</v>
      </c>
      <c r="N835" s="84" t="n">
        <f aca="false">$D835*$M835</f>
        <v>4135</v>
      </c>
      <c r="O835" s="46" t="str">
        <f aca="false">INDEX(Customers!$C$2:$C$101,MATCH($B835,Customers!$A$2:$A$101,0))</f>
        <v>Haridwar</v>
      </c>
      <c r="P835" s="46" t="str">
        <f aca="false">INDEX(Customers!$F$2:$F$101,MATCH($B835,Customers!$A$2:$A$101,0))</f>
        <v>Female</v>
      </c>
      <c r="Q835" s="46" t="str">
        <f aca="false">INDEX(Customers!$B$2:$B$101,MATCH($B835,Customers!$A$2:$A$101,0))</f>
        <v>Badal Sathe</v>
      </c>
      <c r="R835" s="46" t="n">
        <f aca="false">MONTH($E835)</f>
        <v>11</v>
      </c>
      <c r="S835" s="46" t="str">
        <f aca="false">INDEX(Lists!$B$2:$B$13,$R835)</f>
        <v>November</v>
      </c>
      <c r="T835" s="46" t="n">
        <f aca="false">HOUR($F835)</f>
        <v>18</v>
      </c>
      <c r="U835" s="46" t="n">
        <f aca="false">WEEKDAY($E835,2)</f>
        <v>5</v>
      </c>
      <c r="V835" s="46" t="str">
        <f aca="false">INDEX(Lists!$F$2:$F$8,$U835)</f>
        <v>Friday</v>
      </c>
      <c r="W835" s="85" t="n">
        <f aca="false">($G835+$H835)-($E835+$F835)</f>
        <v>8.81005787037037</v>
      </c>
      <c r="X835" s="46" t="str">
        <f aca="false">LOOKUP($M835,Lists!$G$2:$G$5,Lists!$H$2:$H$5)</f>
        <v>₹500 - 999</v>
      </c>
      <c r="Y835" s="46" t="str">
        <f aca="false">LOOKUP($W835,Lists!$I$2:$I$7,Lists!$J$2:$J$7)</f>
        <v>8 - 10 days</v>
      </c>
    </row>
    <row r="836" customFormat="false" ht="15" hidden="false" customHeight="false" outlineLevel="0" collapsed="false">
      <c r="A836" s="7" t="n">
        <v>835</v>
      </c>
      <c r="B836" s="7" t="s">
        <v>363</v>
      </c>
      <c r="C836" s="7" t="n">
        <v>32</v>
      </c>
      <c r="D836" s="7" t="n">
        <v>2</v>
      </c>
      <c r="E836" s="77" t="n">
        <v>45112</v>
      </c>
      <c r="F836" s="78" t="n">
        <v>0.733252314814815</v>
      </c>
      <c r="G836" s="77" t="n">
        <v>45113</v>
      </c>
      <c r="H836" s="78" t="n">
        <v>0.982071759259259</v>
      </c>
      <c r="I836" s="7" t="s">
        <v>315</v>
      </c>
      <c r="J836" s="7" t="s">
        <v>31</v>
      </c>
      <c r="K836" s="79" t="str">
        <f aca="false">INDEX(Products!$B$2:$B$71,MATCH($C836,Products!$A$2:$A$71,0))</f>
        <v>Fuga Set</v>
      </c>
      <c r="L836" s="79" t="str">
        <f aca="false">INDEX(Products!$C$2:$C$71,MATCH($C836,Products!$A$2:$A$71,0))</f>
        <v>Soft Toys</v>
      </c>
      <c r="M836" s="80" t="n">
        <f aca="false">INDEX(Products!$D$2:$D$71,MATCH($C836,Products!$A$2:$A$71,0))</f>
        <v>1792</v>
      </c>
      <c r="N836" s="80" t="n">
        <f aca="false">$D836*$M836</f>
        <v>3584</v>
      </c>
      <c r="O836" s="79" t="str">
        <f aca="false">INDEX(Customers!$C$2:$C$101,MATCH($B836,Customers!$A$2:$A$101,0))</f>
        <v>Nellore</v>
      </c>
      <c r="P836" s="79" t="str">
        <f aca="false">INDEX(Customers!$F$2:$F$101,MATCH($B836,Customers!$A$2:$A$101,0))</f>
        <v>Female</v>
      </c>
      <c r="Q836" s="79" t="str">
        <f aca="false">INDEX(Customers!$B$2:$B$101,MATCH($B836,Customers!$A$2:$A$101,0))</f>
        <v>Oorja Dey</v>
      </c>
      <c r="R836" s="79" t="n">
        <f aca="false">MONTH($E836)</f>
        <v>7</v>
      </c>
      <c r="S836" s="79" t="str">
        <f aca="false">INDEX(Lists!$B$2:$B$13,$R836)</f>
        <v>July</v>
      </c>
      <c r="T836" s="79" t="n">
        <f aca="false">HOUR($F836)</f>
        <v>17</v>
      </c>
      <c r="U836" s="79" t="n">
        <f aca="false">WEEKDAY($E836,2)</f>
        <v>3</v>
      </c>
      <c r="V836" s="79" t="str">
        <f aca="false">INDEX(Lists!$F$2:$F$8,$U836)</f>
        <v>Wednesday</v>
      </c>
      <c r="W836" s="81" t="n">
        <f aca="false">($G836+$H836)-($E836+$F836)</f>
        <v>1.24881944444444</v>
      </c>
      <c r="X836" s="79" t="str">
        <f aca="false">LOOKUP($M836,Lists!$G$2:$G$5,Lists!$H$2:$H$5)</f>
        <v>₹1,500 - 2,000</v>
      </c>
      <c r="Y836" s="79" t="str">
        <f aca="false">LOOKUP($W836,Lists!$I$2:$I$7,Lists!$J$2:$J$7)</f>
        <v>0 - 2 days</v>
      </c>
    </row>
    <row r="837" customFormat="false" ht="15" hidden="false" customHeight="false" outlineLevel="0" collapsed="false">
      <c r="A837" s="2" t="n">
        <v>836</v>
      </c>
      <c r="B837" s="2" t="s">
        <v>176</v>
      </c>
      <c r="C837" s="2" t="n">
        <v>44</v>
      </c>
      <c r="D837" s="2" t="n">
        <v>5</v>
      </c>
      <c r="E837" s="82" t="n">
        <v>45238</v>
      </c>
      <c r="F837" s="83" t="n">
        <v>0.108391203703704</v>
      </c>
      <c r="G837" s="82" t="n">
        <v>45241</v>
      </c>
      <c r="H837" s="83" t="n">
        <v>0.132951388888889</v>
      </c>
      <c r="I837" s="2" t="s">
        <v>596</v>
      </c>
      <c r="J837" s="2" t="s">
        <v>32</v>
      </c>
      <c r="K837" s="46" t="str">
        <f aca="false">INDEX(Products!$B$2:$B$71,MATCH($C837,Products!$A$2:$A$71,0))</f>
        <v>Dolorum Set</v>
      </c>
      <c r="L837" s="46" t="str">
        <f aca="false">INDEX(Products!$C$2:$C$71,MATCH($C837,Products!$A$2:$A$71,0))</f>
        <v>Plants</v>
      </c>
      <c r="M837" s="84" t="n">
        <f aca="false">INDEX(Products!$D$2:$D$71,MATCH($C837,Products!$A$2:$A$71,0))</f>
        <v>794</v>
      </c>
      <c r="N837" s="84" t="n">
        <f aca="false">$D837*$M837</f>
        <v>3970</v>
      </c>
      <c r="O837" s="46" t="str">
        <f aca="false">INDEX(Customers!$C$2:$C$101,MATCH($B837,Customers!$A$2:$A$101,0))</f>
        <v>Machilipatnam</v>
      </c>
      <c r="P837" s="46" t="str">
        <f aca="false">INDEX(Customers!$F$2:$F$101,MATCH($B837,Customers!$A$2:$A$101,0))</f>
        <v>Male</v>
      </c>
      <c r="Q837" s="46" t="str">
        <f aca="false">INDEX(Customers!$B$2:$B$101,MATCH($B837,Customers!$A$2:$A$101,0))</f>
        <v>Samaira Ganesh</v>
      </c>
      <c r="R837" s="46" t="n">
        <f aca="false">MONTH($E837)</f>
        <v>11</v>
      </c>
      <c r="S837" s="46" t="str">
        <f aca="false">INDEX(Lists!$B$2:$B$13,$R837)</f>
        <v>November</v>
      </c>
      <c r="T837" s="46" t="n">
        <f aca="false">HOUR($F837)</f>
        <v>2</v>
      </c>
      <c r="U837" s="46" t="n">
        <f aca="false">WEEKDAY($E837,2)</f>
        <v>3</v>
      </c>
      <c r="V837" s="46" t="str">
        <f aca="false">INDEX(Lists!$F$2:$F$8,$U837)</f>
        <v>Wednesday</v>
      </c>
      <c r="W837" s="85" t="n">
        <f aca="false">($G837+$H837)-($E837+$F837)</f>
        <v>3.02456018518519</v>
      </c>
      <c r="X837" s="46" t="str">
        <f aca="false">LOOKUP($M837,Lists!$G$2:$G$5,Lists!$H$2:$H$5)</f>
        <v>₹500 - 999</v>
      </c>
      <c r="Y837" s="46" t="str">
        <f aca="false">LOOKUP($W837,Lists!$I$2:$I$7,Lists!$J$2:$J$7)</f>
        <v>2 - 4 days</v>
      </c>
    </row>
    <row r="838" customFormat="false" ht="15" hidden="false" customHeight="false" outlineLevel="0" collapsed="false">
      <c r="A838" s="7" t="n">
        <v>837</v>
      </c>
      <c r="B838" s="7" t="s">
        <v>212</v>
      </c>
      <c r="C838" s="7" t="n">
        <v>14</v>
      </c>
      <c r="D838" s="7" t="n">
        <v>5</v>
      </c>
      <c r="E838" s="77" t="n">
        <v>45279</v>
      </c>
      <c r="F838" s="78" t="n">
        <v>0.539722222222222</v>
      </c>
      <c r="G838" s="77" t="n">
        <v>45281</v>
      </c>
      <c r="H838" s="78" t="n">
        <v>0.000416666666666667</v>
      </c>
      <c r="I838" s="7" t="s">
        <v>534</v>
      </c>
      <c r="J838" s="7" t="s">
        <v>31</v>
      </c>
      <c r="K838" s="79" t="str">
        <f aca="false">INDEX(Products!$B$2:$B$71,MATCH($C838,Products!$A$2:$A$71,0))</f>
        <v>Deserunt Box</v>
      </c>
      <c r="L838" s="79" t="str">
        <f aca="false">INDEX(Products!$C$2:$C$71,MATCH($C838,Products!$A$2:$A$71,0))</f>
        <v>Colors</v>
      </c>
      <c r="M838" s="80" t="n">
        <f aca="false">INDEX(Products!$D$2:$D$71,MATCH($C838,Products!$A$2:$A$71,0))</f>
        <v>1915</v>
      </c>
      <c r="N838" s="80" t="n">
        <f aca="false">$D838*$M838</f>
        <v>9575</v>
      </c>
      <c r="O838" s="79" t="str">
        <f aca="false">INDEX(Customers!$C$2:$C$101,MATCH($B838,Customers!$A$2:$A$101,0))</f>
        <v>Dibrugarh</v>
      </c>
      <c r="P838" s="79" t="str">
        <f aca="false">INDEX(Customers!$F$2:$F$101,MATCH($B838,Customers!$A$2:$A$101,0))</f>
        <v>Female</v>
      </c>
      <c r="Q838" s="79" t="str">
        <f aca="false">INDEX(Customers!$B$2:$B$101,MATCH($B838,Customers!$A$2:$A$101,0))</f>
        <v>Biju Bajwa</v>
      </c>
      <c r="R838" s="79" t="n">
        <f aca="false">MONTH($E838)</f>
        <v>12</v>
      </c>
      <c r="S838" s="79" t="str">
        <f aca="false">INDEX(Lists!$B$2:$B$13,$R838)</f>
        <v>December</v>
      </c>
      <c r="T838" s="79" t="n">
        <f aca="false">HOUR($F838)</f>
        <v>12</v>
      </c>
      <c r="U838" s="79" t="n">
        <f aca="false">WEEKDAY($E838,2)</f>
        <v>2</v>
      </c>
      <c r="V838" s="79" t="str">
        <f aca="false">INDEX(Lists!$F$2:$F$8,$U838)</f>
        <v>Tuesday</v>
      </c>
      <c r="W838" s="81" t="n">
        <f aca="false">($G838+$H838)-($E838+$F838)</f>
        <v>1.46069444444444</v>
      </c>
      <c r="X838" s="79" t="str">
        <f aca="false">LOOKUP($M838,Lists!$G$2:$G$5,Lists!$H$2:$H$5)</f>
        <v>₹1,500 - 2,000</v>
      </c>
      <c r="Y838" s="79" t="str">
        <f aca="false">LOOKUP($W838,Lists!$I$2:$I$7,Lists!$J$2:$J$7)</f>
        <v>0 - 2 days</v>
      </c>
    </row>
    <row r="839" customFormat="false" ht="15" hidden="false" customHeight="false" outlineLevel="0" collapsed="false">
      <c r="A839" s="2" t="n">
        <v>838</v>
      </c>
      <c r="B839" s="2" t="s">
        <v>130</v>
      </c>
      <c r="C839" s="2" t="n">
        <v>19</v>
      </c>
      <c r="D839" s="2" t="n">
        <v>3</v>
      </c>
      <c r="E839" s="82" t="n">
        <v>44966</v>
      </c>
      <c r="F839" s="83" t="n">
        <v>0.429178240740741</v>
      </c>
      <c r="G839" s="82" t="n">
        <v>44974</v>
      </c>
      <c r="H839" s="83" t="n">
        <v>0.256712962962963</v>
      </c>
      <c r="I839" s="2" t="s">
        <v>570</v>
      </c>
      <c r="J839" s="2" t="s">
        <v>179</v>
      </c>
      <c r="K839" s="46" t="str">
        <f aca="false">INDEX(Products!$B$2:$B$71,MATCH($C839,Products!$A$2:$A$71,0))</f>
        <v>Iure Gift</v>
      </c>
      <c r="L839" s="46" t="str">
        <f aca="false">INDEX(Products!$C$2:$C$71,MATCH($C839,Products!$A$2:$A$71,0))</f>
        <v>Mugs</v>
      </c>
      <c r="M839" s="84" t="n">
        <f aca="false">INDEX(Products!$D$2:$D$71,MATCH($C839,Products!$A$2:$A$71,0))</f>
        <v>1234</v>
      </c>
      <c r="N839" s="84" t="n">
        <f aca="false">$D839*$M839</f>
        <v>3702</v>
      </c>
      <c r="O839" s="46" t="str">
        <f aca="false">INDEX(Customers!$C$2:$C$101,MATCH($B839,Customers!$A$2:$A$101,0))</f>
        <v>Bilaspur</v>
      </c>
      <c r="P839" s="46" t="str">
        <f aca="false">INDEX(Customers!$F$2:$F$101,MATCH($B839,Customers!$A$2:$A$101,0))</f>
        <v>Male</v>
      </c>
      <c r="Q839" s="46" t="str">
        <f aca="false">INDEX(Customers!$B$2:$B$101,MATCH($B839,Customers!$A$2:$A$101,0))</f>
        <v>Jayesh Lanka</v>
      </c>
      <c r="R839" s="46" t="n">
        <f aca="false">MONTH($E839)</f>
        <v>2</v>
      </c>
      <c r="S839" s="46" t="str">
        <f aca="false">INDEX(Lists!$B$2:$B$13,$R839)</f>
        <v>February</v>
      </c>
      <c r="T839" s="46" t="n">
        <f aca="false">HOUR($F839)</f>
        <v>10</v>
      </c>
      <c r="U839" s="46" t="n">
        <f aca="false">WEEKDAY($E839,2)</f>
        <v>4</v>
      </c>
      <c r="V839" s="46" t="str">
        <f aca="false">INDEX(Lists!$F$2:$F$8,$U839)</f>
        <v>Thursday</v>
      </c>
      <c r="W839" s="85" t="n">
        <f aca="false">($G839+$H839)-($E839+$F839)</f>
        <v>7.82753472222222</v>
      </c>
      <c r="X839" s="46" t="str">
        <f aca="false">LOOKUP($M839,Lists!$G$2:$G$5,Lists!$H$2:$H$5)</f>
        <v>₹1,000 - 1,499</v>
      </c>
      <c r="Y839" s="46" t="str">
        <f aca="false">LOOKUP($W839,Lists!$I$2:$I$7,Lists!$J$2:$J$7)</f>
        <v>6 - 8 days</v>
      </c>
    </row>
    <row r="840" customFormat="false" ht="15" hidden="false" customHeight="false" outlineLevel="0" collapsed="false">
      <c r="A840" s="7" t="n">
        <v>839</v>
      </c>
      <c r="B840" s="7" t="s">
        <v>316</v>
      </c>
      <c r="C840" s="7" t="n">
        <v>51</v>
      </c>
      <c r="D840" s="7" t="n">
        <v>4</v>
      </c>
      <c r="E840" s="77" t="n">
        <v>45232</v>
      </c>
      <c r="F840" s="78" t="n">
        <v>0.16068287037037</v>
      </c>
      <c r="G840" s="77" t="n">
        <v>45242</v>
      </c>
      <c r="H840" s="78" t="n">
        <v>0.0762847222222222</v>
      </c>
      <c r="I840" s="7" t="s">
        <v>598</v>
      </c>
      <c r="J840" s="7" t="s">
        <v>165</v>
      </c>
      <c r="K840" s="79" t="str">
        <f aca="false">INDEX(Products!$B$2:$B$71,MATCH($C840,Products!$A$2:$A$71,0))</f>
        <v>Fugit Set</v>
      </c>
      <c r="L840" s="79" t="str">
        <f aca="false">INDEX(Products!$C$2:$C$71,MATCH($C840,Products!$A$2:$A$71,0))</f>
        <v>Soft Toys</v>
      </c>
      <c r="M840" s="80" t="n">
        <f aca="false">INDEX(Products!$D$2:$D$71,MATCH($C840,Products!$A$2:$A$71,0))</f>
        <v>1084</v>
      </c>
      <c r="N840" s="80" t="n">
        <f aca="false">$D840*$M840</f>
        <v>4336</v>
      </c>
      <c r="O840" s="79" t="str">
        <f aca="false">INDEX(Customers!$C$2:$C$101,MATCH($B840,Customers!$A$2:$A$101,0))</f>
        <v>Hyderabad</v>
      </c>
      <c r="P840" s="79" t="str">
        <f aca="false">INDEX(Customers!$F$2:$F$101,MATCH($B840,Customers!$A$2:$A$101,0))</f>
        <v>Male</v>
      </c>
      <c r="Q840" s="79" t="str">
        <f aca="false">INDEX(Customers!$B$2:$B$101,MATCH($B840,Customers!$A$2:$A$101,0))</f>
        <v>Charvi Karnik</v>
      </c>
      <c r="R840" s="79" t="n">
        <f aca="false">MONTH($E840)</f>
        <v>11</v>
      </c>
      <c r="S840" s="79" t="str">
        <f aca="false">INDEX(Lists!$B$2:$B$13,$R840)</f>
        <v>November</v>
      </c>
      <c r="T840" s="79" t="n">
        <f aca="false">HOUR($F840)</f>
        <v>3</v>
      </c>
      <c r="U840" s="79" t="n">
        <f aca="false">WEEKDAY($E840,2)</f>
        <v>4</v>
      </c>
      <c r="V840" s="79" t="str">
        <f aca="false">INDEX(Lists!$F$2:$F$8,$U840)</f>
        <v>Thursday</v>
      </c>
      <c r="W840" s="81" t="n">
        <f aca="false">($G840+$H840)-($E840+$F840)</f>
        <v>9.91560185185185</v>
      </c>
      <c r="X840" s="79" t="str">
        <f aca="false">LOOKUP($M840,Lists!$G$2:$G$5,Lists!$H$2:$H$5)</f>
        <v>₹1,000 - 1,499</v>
      </c>
      <c r="Y840" s="79" t="str">
        <f aca="false">LOOKUP($W840,Lists!$I$2:$I$7,Lists!$J$2:$J$7)</f>
        <v>8 - 10 days</v>
      </c>
    </row>
    <row r="841" customFormat="false" ht="15" hidden="false" customHeight="false" outlineLevel="0" collapsed="false">
      <c r="A841" s="2" t="n">
        <v>840</v>
      </c>
      <c r="B841" s="2" t="s">
        <v>200</v>
      </c>
      <c r="C841" s="2" t="n">
        <v>67</v>
      </c>
      <c r="D841" s="2" t="n">
        <v>2</v>
      </c>
      <c r="E841" s="82" t="n">
        <v>44939</v>
      </c>
      <c r="F841" s="83" t="n">
        <v>0.805266203703704</v>
      </c>
      <c r="G841" s="82" t="n">
        <v>44942</v>
      </c>
      <c r="H841" s="83" t="n">
        <v>0.493402777777778</v>
      </c>
      <c r="I841" s="2" t="s">
        <v>592</v>
      </c>
      <c r="J841" s="2" t="s">
        <v>168</v>
      </c>
      <c r="K841" s="46" t="str">
        <f aca="false">INDEX(Products!$B$2:$B$71,MATCH($C841,Products!$A$2:$A$71,0))</f>
        <v>Maiores Box</v>
      </c>
      <c r="L841" s="46" t="str">
        <f aca="false">INDEX(Products!$C$2:$C$71,MATCH($C841,Products!$A$2:$A$71,0))</f>
        <v>Raksha Bandhan</v>
      </c>
      <c r="M841" s="84" t="n">
        <f aca="false">INDEX(Products!$D$2:$D$71,MATCH($C841,Products!$A$2:$A$71,0))</f>
        <v>1374</v>
      </c>
      <c r="N841" s="84" t="n">
        <f aca="false">$D841*$M841</f>
        <v>2748</v>
      </c>
      <c r="O841" s="46" t="str">
        <f aca="false">INDEX(Customers!$C$2:$C$101,MATCH($B841,Customers!$A$2:$A$101,0))</f>
        <v>Sasaram</v>
      </c>
      <c r="P841" s="46" t="str">
        <f aca="false">INDEX(Customers!$F$2:$F$101,MATCH($B841,Customers!$A$2:$A$101,0))</f>
        <v>Female</v>
      </c>
      <c r="Q841" s="46" t="str">
        <f aca="false">INDEX(Customers!$B$2:$B$101,MATCH($B841,Customers!$A$2:$A$101,0))</f>
        <v>Madhup Wable</v>
      </c>
      <c r="R841" s="46" t="n">
        <f aca="false">MONTH($E841)</f>
        <v>1</v>
      </c>
      <c r="S841" s="46" t="str">
        <f aca="false">INDEX(Lists!$B$2:$B$13,$R841)</f>
        <v>January</v>
      </c>
      <c r="T841" s="46" t="n">
        <f aca="false">HOUR($F841)</f>
        <v>19</v>
      </c>
      <c r="U841" s="46" t="n">
        <f aca="false">WEEKDAY($E841,2)</f>
        <v>5</v>
      </c>
      <c r="V841" s="46" t="str">
        <f aca="false">INDEX(Lists!$F$2:$F$8,$U841)</f>
        <v>Friday</v>
      </c>
      <c r="W841" s="85" t="n">
        <f aca="false">($G841+$H841)-($E841+$F841)</f>
        <v>2.68813657407407</v>
      </c>
      <c r="X841" s="46" t="str">
        <f aca="false">LOOKUP($M841,Lists!$G$2:$G$5,Lists!$H$2:$H$5)</f>
        <v>₹1,000 - 1,499</v>
      </c>
      <c r="Y841" s="46" t="str">
        <f aca="false">LOOKUP($W841,Lists!$I$2:$I$7,Lists!$J$2:$J$7)</f>
        <v>2 - 4 days</v>
      </c>
    </row>
    <row r="842" customFormat="false" ht="15" hidden="false" customHeight="false" outlineLevel="0" collapsed="false">
      <c r="A842" s="7" t="n">
        <v>841</v>
      </c>
      <c r="B842" s="7" t="s">
        <v>227</v>
      </c>
      <c r="C842" s="7" t="n">
        <v>26</v>
      </c>
      <c r="D842" s="7" t="n">
        <v>5</v>
      </c>
      <c r="E842" s="77" t="n">
        <v>44992</v>
      </c>
      <c r="F842" s="78" t="n">
        <v>0.261111111111111</v>
      </c>
      <c r="G842" s="77" t="n">
        <v>44997</v>
      </c>
      <c r="H842" s="78" t="n">
        <v>0.969895833333333</v>
      </c>
      <c r="I842" s="7" t="s">
        <v>229</v>
      </c>
      <c r="J842" s="7" t="s">
        <v>33</v>
      </c>
      <c r="K842" s="79" t="str">
        <f aca="false">INDEX(Products!$B$2:$B$71,MATCH($C842,Products!$A$2:$A$71,0))</f>
        <v>Aliquam Box</v>
      </c>
      <c r="L842" s="79" t="str">
        <f aca="false">INDEX(Products!$C$2:$C$71,MATCH($C842,Products!$A$2:$A$71,0))</f>
        <v>Colors</v>
      </c>
      <c r="M842" s="80" t="n">
        <f aca="false">INDEX(Products!$D$2:$D$71,MATCH($C842,Products!$A$2:$A$71,0))</f>
        <v>289</v>
      </c>
      <c r="N842" s="80" t="n">
        <f aca="false">$D842*$M842</f>
        <v>1445</v>
      </c>
      <c r="O842" s="79" t="str">
        <f aca="false">INDEX(Customers!$C$2:$C$101,MATCH($B842,Customers!$A$2:$A$101,0))</f>
        <v>Karaikudi</v>
      </c>
      <c r="P842" s="79" t="str">
        <f aca="false">INDEX(Customers!$F$2:$F$101,MATCH($B842,Customers!$A$2:$A$101,0))</f>
        <v>Male</v>
      </c>
      <c r="Q842" s="79" t="str">
        <f aca="false">INDEX(Customers!$B$2:$B$101,MATCH($B842,Customers!$A$2:$A$101,0))</f>
        <v>Rati Dhingra</v>
      </c>
      <c r="R842" s="79" t="n">
        <f aca="false">MONTH($E842)</f>
        <v>3</v>
      </c>
      <c r="S842" s="79" t="str">
        <f aca="false">INDEX(Lists!$B$2:$B$13,$R842)</f>
        <v>March</v>
      </c>
      <c r="T842" s="79" t="n">
        <f aca="false">HOUR($F842)</f>
        <v>6</v>
      </c>
      <c r="U842" s="79" t="n">
        <f aca="false">WEEKDAY($E842,2)</f>
        <v>2</v>
      </c>
      <c r="V842" s="79" t="str">
        <f aca="false">INDEX(Lists!$F$2:$F$8,$U842)</f>
        <v>Tuesday</v>
      </c>
      <c r="W842" s="81" t="n">
        <f aca="false">($G842+$H842)-($E842+$F842)</f>
        <v>5.70878472222222</v>
      </c>
      <c r="X842" s="79" t="str">
        <f aca="false">LOOKUP($M842,Lists!$G$2:$G$5,Lists!$H$2:$H$5)</f>
        <v>₹0 - 499</v>
      </c>
      <c r="Y842" s="79" t="str">
        <f aca="false">LOOKUP($W842,Lists!$I$2:$I$7,Lists!$J$2:$J$7)</f>
        <v>4 - 6 days</v>
      </c>
    </row>
    <row r="843" customFormat="false" ht="15" hidden="false" customHeight="false" outlineLevel="0" collapsed="false">
      <c r="A843" s="2" t="n">
        <v>842</v>
      </c>
      <c r="B843" s="2" t="s">
        <v>353</v>
      </c>
      <c r="C843" s="2" t="n">
        <v>46</v>
      </c>
      <c r="D843" s="2" t="n">
        <v>2</v>
      </c>
      <c r="E843" s="82" t="n">
        <v>45289</v>
      </c>
      <c r="F843" s="83" t="n">
        <v>0.716354166666667</v>
      </c>
      <c r="G843" s="82" t="n">
        <v>45292</v>
      </c>
      <c r="H843" s="83" t="n">
        <v>0.102615740740741</v>
      </c>
      <c r="I843" s="2" t="s">
        <v>468</v>
      </c>
      <c r="J843" s="2" t="s">
        <v>168</v>
      </c>
      <c r="K843" s="46" t="str">
        <f aca="false">INDEX(Products!$B$2:$B$71,MATCH($C843,Products!$A$2:$A$71,0))</f>
        <v>Pariatur Set</v>
      </c>
      <c r="L843" s="46" t="str">
        <f aca="false">INDEX(Products!$C$2:$C$71,MATCH($C843,Products!$A$2:$A$71,0))</f>
        <v>Cake</v>
      </c>
      <c r="M843" s="84" t="n">
        <f aca="false">INDEX(Products!$D$2:$D$71,MATCH($C843,Products!$A$2:$A$71,0))</f>
        <v>758</v>
      </c>
      <c r="N843" s="84" t="n">
        <f aca="false">$D843*$M843</f>
        <v>1516</v>
      </c>
      <c r="O843" s="46" t="str">
        <f aca="false">INDEX(Customers!$C$2:$C$101,MATCH($B843,Customers!$A$2:$A$101,0))</f>
        <v>Raipur</v>
      </c>
      <c r="P843" s="46" t="str">
        <f aca="false">INDEX(Customers!$F$2:$F$101,MATCH($B843,Customers!$A$2:$A$101,0))</f>
        <v>Male</v>
      </c>
      <c r="Q843" s="46" t="str">
        <f aca="false">INDEX(Customers!$B$2:$B$101,MATCH($B843,Customers!$A$2:$A$101,0))</f>
        <v>Bhamini Johal</v>
      </c>
      <c r="R843" s="46" t="n">
        <f aca="false">MONTH($E843)</f>
        <v>12</v>
      </c>
      <c r="S843" s="46" t="str">
        <f aca="false">INDEX(Lists!$B$2:$B$13,$R843)</f>
        <v>December</v>
      </c>
      <c r="T843" s="46" t="n">
        <f aca="false">HOUR($F843)</f>
        <v>17</v>
      </c>
      <c r="U843" s="46" t="n">
        <f aca="false">WEEKDAY($E843,2)</f>
        <v>5</v>
      </c>
      <c r="V843" s="46" t="str">
        <f aca="false">INDEX(Lists!$F$2:$F$8,$U843)</f>
        <v>Friday</v>
      </c>
      <c r="W843" s="85" t="n">
        <f aca="false">($G843+$H843)-($E843+$F843)</f>
        <v>2.38626157407407</v>
      </c>
      <c r="X843" s="46" t="str">
        <f aca="false">LOOKUP($M843,Lists!$G$2:$G$5,Lists!$H$2:$H$5)</f>
        <v>₹500 - 999</v>
      </c>
      <c r="Y843" s="46" t="str">
        <f aca="false">LOOKUP($W843,Lists!$I$2:$I$7,Lists!$J$2:$J$7)</f>
        <v>2 - 4 days</v>
      </c>
    </row>
    <row r="844" customFormat="false" ht="15" hidden="false" customHeight="false" outlineLevel="0" collapsed="false">
      <c r="A844" s="7" t="n">
        <v>843</v>
      </c>
      <c r="B844" s="7" t="s">
        <v>142</v>
      </c>
      <c r="C844" s="7" t="n">
        <v>68</v>
      </c>
      <c r="D844" s="7" t="n">
        <v>1</v>
      </c>
      <c r="E844" s="77" t="n">
        <v>44968</v>
      </c>
      <c r="F844" s="78" t="n">
        <v>0.906979166666667</v>
      </c>
      <c r="G844" s="77" t="n">
        <v>44969</v>
      </c>
      <c r="H844" s="78" t="n">
        <v>0.810520833333333</v>
      </c>
      <c r="I844" s="7" t="s">
        <v>280</v>
      </c>
      <c r="J844" s="7" t="s">
        <v>179</v>
      </c>
      <c r="K844" s="79" t="str">
        <f aca="false">INDEX(Products!$B$2:$B$71,MATCH($C844,Products!$A$2:$A$71,0))</f>
        <v>Quas Gift</v>
      </c>
      <c r="L844" s="79" t="str">
        <f aca="false">INDEX(Products!$C$2:$C$71,MATCH($C844,Products!$A$2:$A$71,0))</f>
        <v>Soft Toys</v>
      </c>
      <c r="M844" s="80" t="n">
        <f aca="false">INDEX(Products!$D$2:$D$71,MATCH($C844,Products!$A$2:$A$71,0))</f>
        <v>597</v>
      </c>
      <c r="N844" s="80" t="n">
        <f aca="false">$D844*$M844</f>
        <v>597</v>
      </c>
      <c r="O844" s="79" t="str">
        <f aca="false">INDEX(Customers!$C$2:$C$101,MATCH($B844,Customers!$A$2:$A$101,0))</f>
        <v>Berhampore</v>
      </c>
      <c r="P844" s="79" t="str">
        <f aca="false">INDEX(Customers!$F$2:$F$101,MATCH($B844,Customers!$A$2:$A$101,0))</f>
        <v>Male</v>
      </c>
      <c r="Q844" s="79" t="str">
        <f aca="false">INDEX(Customers!$B$2:$B$101,MATCH($B844,Customers!$A$2:$A$101,0))</f>
        <v>Jayant Kamdar</v>
      </c>
      <c r="R844" s="79" t="n">
        <f aca="false">MONTH($E844)</f>
        <v>2</v>
      </c>
      <c r="S844" s="79" t="str">
        <f aca="false">INDEX(Lists!$B$2:$B$13,$R844)</f>
        <v>February</v>
      </c>
      <c r="T844" s="79" t="n">
        <f aca="false">HOUR($F844)</f>
        <v>21</v>
      </c>
      <c r="U844" s="79" t="n">
        <f aca="false">WEEKDAY($E844,2)</f>
        <v>6</v>
      </c>
      <c r="V844" s="79" t="str">
        <f aca="false">INDEX(Lists!$F$2:$F$8,$U844)</f>
        <v>Saturday</v>
      </c>
      <c r="W844" s="81" t="n">
        <f aca="false">($G844+$H844)-($E844+$F844)</f>
        <v>0.903541666666667</v>
      </c>
      <c r="X844" s="79" t="str">
        <f aca="false">LOOKUP($M844,Lists!$G$2:$G$5,Lists!$H$2:$H$5)</f>
        <v>₹500 - 999</v>
      </c>
      <c r="Y844" s="79" t="str">
        <f aca="false">LOOKUP($W844,Lists!$I$2:$I$7,Lists!$J$2:$J$7)</f>
        <v>0 - 2 days</v>
      </c>
    </row>
    <row r="845" customFormat="false" ht="15" hidden="false" customHeight="false" outlineLevel="0" collapsed="false">
      <c r="A845" s="2" t="n">
        <v>844</v>
      </c>
      <c r="B845" s="2" t="s">
        <v>303</v>
      </c>
      <c r="C845" s="2" t="n">
        <v>51</v>
      </c>
      <c r="D845" s="2" t="n">
        <v>1</v>
      </c>
      <c r="E845" s="82" t="n">
        <v>45208</v>
      </c>
      <c r="F845" s="83" t="n">
        <v>0.800636574074074</v>
      </c>
      <c r="G845" s="82" t="n">
        <v>45209</v>
      </c>
      <c r="H845" s="83" t="n">
        <v>0.408645833333333</v>
      </c>
      <c r="I845" s="2" t="s">
        <v>558</v>
      </c>
      <c r="J845" s="2" t="s">
        <v>165</v>
      </c>
      <c r="K845" s="46" t="str">
        <f aca="false">INDEX(Products!$B$2:$B$71,MATCH($C845,Products!$A$2:$A$71,0))</f>
        <v>Fugit Set</v>
      </c>
      <c r="L845" s="46" t="str">
        <f aca="false">INDEX(Products!$C$2:$C$71,MATCH($C845,Products!$A$2:$A$71,0))</f>
        <v>Soft Toys</v>
      </c>
      <c r="M845" s="84" t="n">
        <f aca="false">INDEX(Products!$D$2:$D$71,MATCH($C845,Products!$A$2:$A$71,0))</f>
        <v>1084</v>
      </c>
      <c r="N845" s="84" t="n">
        <f aca="false">$D845*$M845</f>
        <v>1084</v>
      </c>
      <c r="O845" s="46" t="str">
        <f aca="false">INDEX(Customers!$C$2:$C$101,MATCH($B845,Customers!$A$2:$A$101,0))</f>
        <v>Anand</v>
      </c>
      <c r="P845" s="46" t="str">
        <f aca="false">INDEX(Customers!$F$2:$F$101,MATCH($B845,Customers!$A$2:$A$101,0))</f>
        <v>Male</v>
      </c>
      <c r="Q845" s="46" t="str">
        <f aca="false">INDEX(Customers!$B$2:$B$101,MATCH($B845,Customers!$A$2:$A$101,0))</f>
        <v>Eva Sankaran</v>
      </c>
      <c r="R845" s="46" t="n">
        <f aca="false">MONTH($E845)</f>
        <v>10</v>
      </c>
      <c r="S845" s="46" t="str">
        <f aca="false">INDEX(Lists!$B$2:$B$13,$R845)</f>
        <v>October</v>
      </c>
      <c r="T845" s="46" t="n">
        <f aca="false">HOUR($F845)</f>
        <v>19</v>
      </c>
      <c r="U845" s="46" t="n">
        <f aca="false">WEEKDAY($E845,2)</f>
        <v>1</v>
      </c>
      <c r="V845" s="46" t="str">
        <f aca="false">INDEX(Lists!$F$2:$F$8,$U845)</f>
        <v>Monday</v>
      </c>
      <c r="W845" s="85" t="n">
        <f aca="false">($G845+$H845)-($E845+$F845)</f>
        <v>0.608009259259259</v>
      </c>
      <c r="X845" s="46" t="str">
        <f aca="false">LOOKUP($M845,Lists!$G$2:$G$5,Lists!$H$2:$H$5)</f>
        <v>₹1,000 - 1,499</v>
      </c>
      <c r="Y845" s="46" t="str">
        <f aca="false">LOOKUP($W845,Lists!$I$2:$I$7,Lists!$J$2:$J$7)</f>
        <v>0 - 2 days</v>
      </c>
    </row>
    <row r="846" customFormat="false" ht="15" hidden="false" customHeight="false" outlineLevel="0" collapsed="false">
      <c r="A846" s="7" t="n">
        <v>845</v>
      </c>
      <c r="B846" s="7" t="s">
        <v>202</v>
      </c>
      <c r="C846" s="7" t="n">
        <v>57</v>
      </c>
      <c r="D846" s="7" t="n">
        <v>5</v>
      </c>
      <c r="E846" s="77" t="n">
        <v>45216</v>
      </c>
      <c r="F846" s="78" t="n">
        <v>0.785601851851852</v>
      </c>
      <c r="G846" s="77" t="n">
        <v>45224</v>
      </c>
      <c r="H846" s="78" t="n">
        <v>0.1215625</v>
      </c>
      <c r="I846" s="7" t="s">
        <v>412</v>
      </c>
      <c r="J846" s="7" t="s">
        <v>31</v>
      </c>
      <c r="K846" s="79" t="str">
        <f aca="false">INDEX(Products!$B$2:$B$71,MATCH($C846,Products!$A$2:$A$71,0))</f>
        <v>Voluptatem Box</v>
      </c>
      <c r="L846" s="79" t="str">
        <f aca="false">INDEX(Products!$C$2:$C$71,MATCH($C846,Products!$A$2:$A$71,0))</f>
        <v>Colors</v>
      </c>
      <c r="M846" s="80" t="n">
        <f aca="false">INDEX(Products!$D$2:$D$71,MATCH($C846,Products!$A$2:$A$71,0))</f>
        <v>1582</v>
      </c>
      <c r="N846" s="80" t="n">
        <f aca="false">$D846*$M846</f>
        <v>7910</v>
      </c>
      <c r="O846" s="79" t="str">
        <f aca="false">INDEX(Customers!$C$2:$C$101,MATCH($B846,Customers!$A$2:$A$101,0))</f>
        <v>Surat</v>
      </c>
      <c r="P846" s="79" t="str">
        <f aca="false">INDEX(Customers!$F$2:$F$101,MATCH($B846,Customers!$A$2:$A$101,0))</f>
        <v>Male</v>
      </c>
      <c r="Q846" s="79" t="str">
        <f aca="false">INDEX(Customers!$B$2:$B$101,MATCH($B846,Customers!$A$2:$A$101,0))</f>
        <v>Mannat Anand</v>
      </c>
      <c r="R846" s="79" t="n">
        <f aca="false">MONTH($E846)</f>
        <v>10</v>
      </c>
      <c r="S846" s="79" t="str">
        <f aca="false">INDEX(Lists!$B$2:$B$13,$R846)</f>
        <v>October</v>
      </c>
      <c r="T846" s="79" t="n">
        <f aca="false">HOUR($F846)</f>
        <v>18</v>
      </c>
      <c r="U846" s="79" t="n">
        <f aca="false">WEEKDAY($E846,2)</f>
        <v>2</v>
      </c>
      <c r="V846" s="79" t="str">
        <f aca="false">INDEX(Lists!$F$2:$F$8,$U846)</f>
        <v>Tuesday</v>
      </c>
      <c r="W846" s="81" t="n">
        <f aca="false">($G846+$H846)-($E846+$F846)</f>
        <v>7.33596064814815</v>
      </c>
      <c r="X846" s="79" t="str">
        <f aca="false">LOOKUP($M846,Lists!$G$2:$G$5,Lists!$H$2:$H$5)</f>
        <v>₹1,500 - 2,000</v>
      </c>
      <c r="Y846" s="79" t="str">
        <f aca="false">LOOKUP($W846,Lists!$I$2:$I$7,Lists!$J$2:$J$7)</f>
        <v>6 - 8 days</v>
      </c>
    </row>
    <row r="847" customFormat="false" ht="15" hidden="false" customHeight="false" outlineLevel="0" collapsed="false">
      <c r="A847" s="2" t="n">
        <v>846</v>
      </c>
      <c r="B847" s="2" t="s">
        <v>309</v>
      </c>
      <c r="C847" s="2" t="n">
        <v>15</v>
      </c>
      <c r="D847" s="2" t="n">
        <v>4</v>
      </c>
      <c r="E847" s="82" t="n">
        <v>45258</v>
      </c>
      <c r="F847" s="83" t="n">
        <v>0.116423611111111</v>
      </c>
      <c r="G847" s="82" t="n">
        <v>45262</v>
      </c>
      <c r="H847" s="83" t="n">
        <v>0.288923611111111</v>
      </c>
      <c r="I847" s="2" t="s">
        <v>229</v>
      </c>
      <c r="J847" s="2" t="s">
        <v>168</v>
      </c>
      <c r="K847" s="46" t="str">
        <f aca="false">INDEX(Products!$B$2:$B$71,MATCH($C847,Products!$A$2:$A$71,0))</f>
        <v>Repudiandae Box</v>
      </c>
      <c r="L847" s="46" t="str">
        <f aca="false">INDEX(Products!$C$2:$C$71,MATCH($C847,Products!$A$2:$A$71,0))</f>
        <v>Raksha Bandhan</v>
      </c>
      <c r="M847" s="84" t="n">
        <f aca="false">INDEX(Products!$D$2:$D$71,MATCH($C847,Products!$A$2:$A$71,0))</f>
        <v>1488</v>
      </c>
      <c r="N847" s="84" t="n">
        <f aca="false">$D847*$M847</f>
        <v>5952</v>
      </c>
      <c r="O847" s="46" t="str">
        <f aca="false">INDEX(Customers!$C$2:$C$101,MATCH($B847,Customers!$A$2:$A$101,0))</f>
        <v>Madhyamgram</v>
      </c>
      <c r="P847" s="46" t="str">
        <f aca="false">INDEX(Customers!$F$2:$F$101,MATCH($B847,Customers!$A$2:$A$101,0))</f>
        <v>Female</v>
      </c>
      <c r="Q847" s="46" t="str">
        <f aca="false">INDEX(Customers!$B$2:$B$101,MATCH($B847,Customers!$A$2:$A$101,0))</f>
        <v>Hunar Tripathi</v>
      </c>
      <c r="R847" s="46" t="n">
        <f aca="false">MONTH($E847)</f>
        <v>11</v>
      </c>
      <c r="S847" s="46" t="str">
        <f aca="false">INDEX(Lists!$B$2:$B$13,$R847)</f>
        <v>November</v>
      </c>
      <c r="T847" s="46" t="n">
        <f aca="false">HOUR($F847)</f>
        <v>2</v>
      </c>
      <c r="U847" s="46" t="n">
        <f aca="false">WEEKDAY($E847,2)</f>
        <v>2</v>
      </c>
      <c r="V847" s="46" t="str">
        <f aca="false">INDEX(Lists!$F$2:$F$8,$U847)</f>
        <v>Tuesday</v>
      </c>
      <c r="W847" s="85" t="n">
        <f aca="false">($G847+$H847)-($E847+$F847)</f>
        <v>4.1725</v>
      </c>
      <c r="X847" s="46" t="str">
        <f aca="false">LOOKUP($M847,Lists!$G$2:$G$5,Lists!$H$2:$H$5)</f>
        <v>₹1,000 - 1,499</v>
      </c>
      <c r="Y847" s="46" t="str">
        <f aca="false">LOOKUP($W847,Lists!$I$2:$I$7,Lists!$J$2:$J$7)</f>
        <v>4 - 6 days</v>
      </c>
    </row>
    <row r="848" customFormat="false" ht="15" hidden="false" customHeight="false" outlineLevel="0" collapsed="false">
      <c r="A848" s="7" t="n">
        <v>847</v>
      </c>
      <c r="B848" s="7" t="s">
        <v>148</v>
      </c>
      <c r="C848" s="7" t="n">
        <v>44</v>
      </c>
      <c r="D848" s="7" t="n">
        <v>4</v>
      </c>
      <c r="E848" s="77" t="n">
        <v>45237</v>
      </c>
      <c r="F848" s="78" t="n">
        <v>0.757141203703704</v>
      </c>
      <c r="G848" s="77" t="n">
        <v>45242</v>
      </c>
      <c r="H848" s="78" t="n">
        <v>0.431666666666667</v>
      </c>
      <c r="I848" s="7" t="s">
        <v>203</v>
      </c>
      <c r="J848" s="7" t="s">
        <v>32</v>
      </c>
      <c r="K848" s="79" t="str">
        <f aca="false">INDEX(Products!$B$2:$B$71,MATCH($C848,Products!$A$2:$A$71,0))</f>
        <v>Dolorum Set</v>
      </c>
      <c r="L848" s="79" t="str">
        <f aca="false">INDEX(Products!$C$2:$C$71,MATCH($C848,Products!$A$2:$A$71,0))</f>
        <v>Plants</v>
      </c>
      <c r="M848" s="80" t="n">
        <f aca="false">INDEX(Products!$D$2:$D$71,MATCH($C848,Products!$A$2:$A$71,0))</f>
        <v>794</v>
      </c>
      <c r="N848" s="80" t="n">
        <f aca="false">$D848*$M848</f>
        <v>3176</v>
      </c>
      <c r="O848" s="79" t="str">
        <f aca="false">INDEX(Customers!$C$2:$C$101,MATCH($B848,Customers!$A$2:$A$101,0))</f>
        <v>Madurai</v>
      </c>
      <c r="P848" s="79" t="str">
        <f aca="false">INDEX(Customers!$F$2:$F$101,MATCH($B848,Customers!$A$2:$A$101,0))</f>
        <v>Female</v>
      </c>
      <c r="Q848" s="79" t="str">
        <f aca="false">INDEX(Customers!$B$2:$B$101,MATCH($B848,Customers!$A$2:$A$101,0))</f>
        <v>Ritvik Borah</v>
      </c>
      <c r="R848" s="79" t="n">
        <f aca="false">MONTH($E848)</f>
        <v>11</v>
      </c>
      <c r="S848" s="79" t="str">
        <f aca="false">INDEX(Lists!$B$2:$B$13,$R848)</f>
        <v>November</v>
      </c>
      <c r="T848" s="79" t="n">
        <f aca="false">HOUR($F848)</f>
        <v>18</v>
      </c>
      <c r="U848" s="79" t="n">
        <f aca="false">WEEKDAY($E848,2)</f>
        <v>2</v>
      </c>
      <c r="V848" s="79" t="str">
        <f aca="false">INDEX(Lists!$F$2:$F$8,$U848)</f>
        <v>Tuesday</v>
      </c>
      <c r="W848" s="81" t="n">
        <f aca="false">($G848+$H848)-($E848+$F848)</f>
        <v>4.67452546296296</v>
      </c>
      <c r="X848" s="79" t="str">
        <f aca="false">LOOKUP($M848,Lists!$G$2:$G$5,Lists!$H$2:$H$5)</f>
        <v>₹500 - 999</v>
      </c>
      <c r="Y848" s="79" t="str">
        <f aca="false">LOOKUP($W848,Lists!$I$2:$I$7,Lists!$J$2:$J$7)</f>
        <v>4 - 6 days</v>
      </c>
    </row>
    <row r="849" customFormat="false" ht="15" hidden="false" customHeight="false" outlineLevel="0" collapsed="false">
      <c r="A849" s="2" t="n">
        <v>848</v>
      </c>
      <c r="B849" s="2" t="s">
        <v>136</v>
      </c>
      <c r="C849" s="2" t="n">
        <v>6</v>
      </c>
      <c r="D849" s="2" t="n">
        <v>1</v>
      </c>
      <c r="E849" s="82" t="n">
        <v>44991</v>
      </c>
      <c r="F849" s="83" t="n">
        <v>0.7034375</v>
      </c>
      <c r="G849" s="82" t="n">
        <v>44995</v>
      </c>
      <c r="H849" s="83" t="n">
        <v>0.935277777777778</v>
      </c>
      <c r="I849" s="2" t="s">
        <v>563</v>
      </c>
      <c r="J849" s="2" t="s">
        <v>33</v>
      </c>
      <c r="K849" s="46" t="str">
        <f aca="false">INDEX(Products!$B$2:$B$71,MATCH($C849,Products!$A$2:$A$71,0))</f>
        <v>Quos Box</v>
      </c>
      <c r="L849" s="46" t="str">
        <f aca="false">INDEX(Products!$C$2:$C$71,MATCH($C849,Products!$A$2:$A$71,0))</f>
        <v>Cake</v>
      </c>
      <c r="M849" s="84" t="n">
        <f aca="false">INDEX(Products!$D$2:$D$71,MATCH($C849,Products!$A$2:$A$71,0))</f>
        <v>1112</v>
      </c>
      <c r="N849" s="84" t="n">
        <f aca="false">$D849*$M849</f>
        <v>1112</v>
      </c>
      <c r="O849" s="46" t="str">
        <f aca="false">INDEX(Customers!$C$2:$C$101,MATCH($B849,Customers!$A$2:$A$101,0))</f>
        <v>Kottayam</v>
      </c>
      <c r="P849" s="46" t="str">
        <f aca="false">INDEX(Customers!$F$2:$F$101,MATCH($B849,Customers!$A$2:$A$101,0))</f>
        <v>Male</v>
      </c>
      <c r="Q849" s="46" t="str">
        <f aca="false">INDEX(Customers!$B$2:$B$101,MATCH($B849,Customers!$A$2:$A$101,0))</f>
        <v>Hiran Kaul</v>
      </c>
      <c r="R849" s="46" t="n">
        <f aca="false">MONTH($E849)</f>
        <v>3</v>
      </c>
      <c r="S849" s="46" t="str">
        <f aca="false">INDEX(Lists!$B$2:$B$13,$R849)</f>
        <v>March</v>
      </c>
      <c r="T849" s="46" t="n">
        <f aca="false">HOUR($F849)</f>
        <v>16</v>
      </c>
      <c r="U849" s="46" t="n">
        <f aca="false">WEEKDAY($E849,2)</f>
        <v>1</v>
      </c>
      <c r="V849" s="46" t="str">
        <f aca="false">INDEX(Lists!$F$2:$F$8,$U849)</f>
        <v>Monday</v>
      </c>
      <c r="W849" s="85" t="n">
        <f aca="false">($G849+$H849)-($E849+$F849)</f>
        <v>4.23184027777778</v>
      </c>
      <c r="X849" s="46" t="str">
        <f aca="false">LOOKUP($M849,Lists!$G$2:$G$5,Lists!$H$2:$H$5)</f>
        <v>₹1,000 - 1,499</v>
      </c>
      <c r="Y849" s="46" t="str">
        <f aca="false">LOOKUP($W849,Lists!$I$2:$I$7,Lists!$J$2:$J$7)</f>
        <v>4 - 6 days</v>
      </c>
    </row>
    <row r="850" customFormat="false" ht="15" hidden="false" customHeight="false" outlineLevel="0" collapsed="false">
      <c r="A850" s="7" t="n">
        <v>849</v>
      </c>
      <c r="B850" s="7" t="s">
        <v>159</v>
      </c>
      <c r="C850" s="7" t="n">
        <v>57</v>
      </c>
      <c r="D850" s="7" t="n">
        <v>1</v>
      </c>
      <c r="E850" s="77" t="n">
        <v>44997</v>
      </c>
      <c r="F850" s="78" t="n">
        <v>0.0533333333333333</v>
      </c>
      <c r="G850" s="77" t="n">
        <v>44999</v>
      </c>
      <c r="H850" s="78" t="n">
        <v>0.0347569444444444</v>
      </c>
      <c r="I850" s="7" t="s">
        <v>521</v>
      </c>
      <c r="J850" s="7" t="s">
        <v>31</v>
      </c>
      <c r="K850" s="79" t="str">
        <f aca="false">INDEX(Products!$B$2:$B$71,MATCH($C850,Products!$A$2:$A$71,0))</f>
        <v>Voluptatem Box</v>
      </c>
      <c r="L850" s="79" t="str">
        <f aca="false">INDEX(Products!$C$2:$C$71,MATCH($C850,Products!$A$2:$A$71,0))</f>
        <v>Colors</v>
      </c>
      <c r="M850" s="80" t="n">
        <f aca="false">INDEX(Products!$D$2:$D$71,MATCH($C850,Products!$A$2:$A$71,0))</f>
        <v>1582</v>
      </c>
      <c r="N850" s="80" t="n">
        <f aca="false">$D850*$M850</f>
        <v>1582</v>
      </c>
      <c r="O850" s="79" t="str">
        <f aca="false">INDEX(Customers!$C$2:$C$101,MATCH($B850,Customers!$A$2:$A$101,0))</f>
        <v>Mangalore</v>
      </c>
      <c r="P850" s="79" t="str">
        <f aca="false">INDEX(Customers!$F$2:$F$101,MATCH($B850,Customers!$A$2:$A$101,0))</f>
        <v>Female</v>
      </c>
      <c r="Q850" s="79" t="str">
        <f aca="false">INDEX(Customers!$B$2:$B$101,MATCH($B850,Customers!$A$2:$A$101,0))</f>
        <v>Manikya Goswami</v>
      </c>
      <c r="R850" s="79" t="n">
        <f aca="false">MONTH($E850)</f>
        <v>3</v>
      </c>
      <c r="S850" s="79" t="str">
        <f aca="false">INDEX(Lists!$B$2:$B$13,$R850)</f>
        <v>March</v>
      </c>
      <c r="T850" s="79" t="n">
        <f aca="false">HOUR($F850)</f>
        <v>1</v>
      </c>
      <c r="U850" s="79" t="n">
        <f aca="false">WEEKDAY($E850,2)</f>
        <v>7</v>
      </c>
      <c r="V850" s="79" t="str">
        <f aca="false">INDEX(Lists!$F$2:$F$8,$U850)</f>
        <v>Sunday</v>
      </c>
      <c r="W850" s="81" t="n">
        <f aca="false">($G850+$H850)-($E850+$F850)</f>
        <v>1.98142361111111</v>
      </c>
      <c r="X850" s="79" t="str">
        <f aca="false">LOOKUP($M850,Lists!$G$2:$G$5,Lists!$H$2:$H$5)</f>
        <v>₹1,500 - 2,000</v>
      </c>
      <c r="Y850" s="79" t="str">
        <f aca="false">LOOKUP($W850,Lists!$I$2:$I$7,Lists!$J$2:$J$7)</f>
        <v>0 - 2 days</v>
      </c>
    </row>
    <row r="851" customFormat="false" ht="15" hidden="false" customHeight="false" outlineLevel="0" collapsed="false">
      <c r="A851" s="2" t="n">
        <v>850</v>
      </c>
      <c r="B851" s="2" t="s">
        <v>372</v>
      </c>
      <c r="C851" s="2" t="n">
        <v>21</v>
      </c>
      <c r="D851" s="2" t="n">
        <v>4</v>
      </c>
      <c r="E851" s="82" t="n">
        <v>45161</v>
      </c>
      <c r="F851" s="83" t="n">
        <v>0.968946759259259</v>
      </c>
      <c r="G851" s="82" t="n">
        <v>45163</v>
      </c>
      <c r="H851" s="83" t="n">
        <v>0.438206018518519</v>
      </c>
      <c r="I851" s="2" t="s">
        <v>321</v>
      </c>
      <c r="J851" s="2" t="s">
        <v>40</v>
      </c>
      <c r="K851" s="46" t="str">
        <f aca="false">INDEX(Products!$B$2:$B$71,MATCH($C851,Products!$A$2:$A$71,0))</f>
        <v>Quia Gift</v>
      </c>
      <c r="L851" s="46" t="str">
        <f aca="false">INDEX(Products!$C$2:$C$71,MATCH($C851,Products!$A$2:$A$71,0))</f>
        <v>Colors</v>
      </c>
      <c r="M851" s="84" t="n">
        <f aca="false">INDEX(Products!$D$2:$D$71,MATCH($C851,Products!$A$2:$A$71,0))</f>
        <v>1561</v>
      </c>
      <c r="N851" s="84" t="n">
        <f aca="false">$D851*$M851</f>
        <v>6244</v>
      </c>
      <c r="O851" s="46" t="str">
        <f aca="false">INDEX(Customers!$C$2:$C$101,MATCH($B851,Customers!$A$2:$A$101,0))</f>
        <v>Dibrugarh</v>
      </c>
      <c r="P851" s="46" t="str">
        <f aca="false">INDEX(Customers!$F$2:$F$101,MATCH($B851,Customers!$A$2:$A$101,0))</f>
        <v>Male</v>
      </c>
      <c r="Q851" s="46" t="str">
        <f aca="false">INDEX(Customers!$B$2:$B$101,MATCH($B851,Customers!$A$2:$A$101,0))</f>
        <v>Zoya Mani</v>
      </c>
      <c r="R851" s="46" t="n">
        <f aca="false">MONTH($E851)</f>
        <v>8</v>
      </c>
      <c r="S851" s="46" t="str">
        <f aca="false">INDEX(Lists!$B$2:$B$13,$R851)</f>
        <v>August</v>
      </c>
      <c r="T851" s="46" t="n">
        <f aca="false">HOUR($F851)</f>
        <v>23</v>
      </c>
      <c r="U851" s="46" t="n">
        <f aca="false">WEEKDAY($E851,2)</f>
        <v>3</v>
      </c>
      <c r="V851" s="46" t="str">
        <f aca="false">INDEX(Lists!$F$2:$F$8,$U851)</f>
        <v>Wednesday</v>
      </c>
      <c r="W851" s="85" t="n">
        <f aca="false">($G851+$H851)-($E851+$F851)</f>
        <v>1.46925925925926</v>
      </c>
      <c r="X851" s="46" t="str">
        <f aca="false">LOOKUP($M851,Lists!$G$2:$G$5,Lists!$H$2:$H$5)</f>
        <v>₹1,500 - 2,000</v>
      </c>
      <c r="Y851" s="46" t="str">
        <f aca="false">LOOKUP($W851,Lists!$I$2:$I$7,Lists!$J$2:$J$7)</f>
        <v>0 - 2 days</v>
      </c>
    </row>
    <row r="852" customFormat="false" ht="15" hidden="false" customHeight="false" outlineLevel="0" collapsed="false">
      <c r="A852" s="7" t="n">
        <v>851</v>
      </c>
      <c r="B852" s="7" t="s">
        <v>198</v>
      </c>
      <c r="C852" s="7" t="n">
        <v>13</v>
      </c>
      <c r="D852" s="7" t="n">
        <v>3</v>
      </c>
      <c r="E852" s="77" t="n">
        <v>44991</v>
      </c>
      <c r="F852" s="78" t="n">
        <v>0.480520833333333</v>
      </c>
      <c r="G852" s="77" t="n">
        <v>44995</v>
      </c>
      <c r="H852" s="78" t="n">
        <v>0.762430555555556</v>
      </c>
      <c r="I852" s="7" t="s">
        <v>569</v>
      </c>
      <c r="J852" s="7" t="s">
        <v>33</v>
      </c>
      <c r="K852" s="79" t="str">
        <f aca="false">INDEX(Products!$B$2:$B$71,MATCH($C852,Products!$A$2:$A$71,0))</f>
        <v>Et Set</v>
      </c>
      <c r="L852" s="79" t="str">
        <f aca="false">INDEX(Products!$C$2:$C$71,MATCH($C852,Products!$A$2:$A$71,0))</f>
        <v>Mugs</v>
      </c>
      <c r="M852" s="80" t="n">
        <f aca="false">INDEX(Products!$D$2:$D$71,MATCH($C852,Products!$A$2:$A$71,0))</f>
        <v>1141</v>
      </c>
      <c r="N852" s="80" t="n">
        <f aca="false">$D852*$M852</f>
        <v>3423</v>
      </c>
      <c r="O852" s="79" t="str">
        <f aca="false">INDEX(Customers!$C$2:$C$101,MATCH($B852,Customers!$A$2:$A$101,0))</f>
        <v>Sambhal</v>
      </c>
      <c r="P852" s="79" t="str">
        <f aca="false">INDEX(Customers!$F$2:$F$101,MATCH($B852,Customers!$A$2:$A$101,0))</f>
        <v>Male</v>
      </c>
      <c r="Q852" s="79" t="str">
        <f aca="false">INDEX(Customers!$B$2:$B$101,MATCH($B852,Customers!$A$2:$A$101,0))</f>
        <v>Vardaniya Contractor</v>
      </c>
      <c r="R852" s="79" t="n">
        <f aca="false">MONTH($E852)</f>
        <v>3</v>
      </c>
      <c r="S852" s="79" t="str">
        <f aca="false">INDEX(Lists!$B$2:$B$13,$R852)</f>
        <v>March</v>
      </c>
      <c r="T852" s="79" t="n">
        <f aca="false">HOUR($F852)</f>
        <v>11</v>
      </c>
      <c r="U852" s="79" t="n">
        <f aca="false">WEEKDAY($E852,2)</f>
        <v>1</v>
      </c>
      <c r="V852" s="79" t="str">
        <f aca="false">INDEX(Lists!$F$2:$F$8,$U852)</f>
        <v>Monday</v>
      </c>
      <c r="W852" s="81" t="n">
        <f aca="false">($G852+$H852)-($E852+$F852)</f>
        <v>4.28190972222222</v>
      </c>
      <c r="X852" s="79" t="str">
        <f aca="false">LOOKUP($M852,Lists!$G$2:$G$5,Lists!$H$2:$H$5)</f>
        <v>₹1,000 - 1,499</v>
      </c>
      <c r="Y852" s="79" t="str">
        <f aca="false">LOOKUP($W852,Lists!$I$2:$I$7,Lists!$J$2:$J$7)</f>
        <v>4 - 6 days</v>
      </c>
    </row>
    <row r="853" customFormat="false" ht="15" hidden="false" customHeight="false" outlineLevel="0" collapsed="false">
      <c r="A853" s="2" t="n">
        <v>852</v>
      </c>
      <c r="B853" s="2" t="s">
        <v>209</v>
      </c>
      <c r="C853" s="2" t="n">
        <v>44</v>
      </c>
      <c r="D853" s="2" t="n">
        <v>2</v>
      </c>
      <c r="E853" s="82" t="n">
        <v>45241</v>
      </c>
      <c r="F853" s="83" t="n">
        <v>0.40400462962963</v>
      </c>
      <c r="G853" s="82" t="n">
        <v>45244</v>
      </c>
      <c r="H853" s="83" t="n">
        <v>0.594097222222222</v>
      </c>
      <c r="I853" s="2" t="s">
        <v>516</v>
      </c>
      <c r="J853" s="2" t="s">
        <v>32</v>
      </c>
      <c r="K853" s="46" t="str">
        <f aca="false">INDEX(Products!$B$2:$B$71,MATCH($C853,Products!$A$2:$A$71,0))</f>
        <v>Dolorum Set</v>
      </c>
      <c r="L853" s="46" t="str">
        <f aca="false">INDEX(Products!$C$2:$C$71,MATCH($C853,Products!$A$2:$A$71,0))</f>
        <v>Plants</v>
      </c>
      <c r="M853" s="84" t="n">
        <f aca="false">INDEX(Products!$D$2:$D$71,MATCH($C853,Products!$A$2:$A$71,0))</f>
        <v>794</v>
      </c>
      <c r="N853" s="84" t="n">
        <f aca="false">$D853*$M853</f>
        <v>1588</v>
      </c>
      <c r="O853" s="46" t="str">
        <f aca="false">INDEX(Customers!$C$2:$C$101,MATCH($B853,Customers!$A$2:$A$101,0))</f>
        <v>Vellore</v>
      </c>
      <c r="P853" s="46" t="str">
        <f aca="false">INDEX(Customers!$F$2:$F$101,MATCH($B853,Customers!$A$2:$A$101,0))</f>
        <v>Male</v>
      </c>
      <c r="Q853" s="46" t="str">
        <f aca="false">INDEX(Customers!$B$2:$B$101,MATCH($B853,Customers!$A$2:$A$101,0))</f>
        <v>Ira Sarna</v>
      </c>
      <c r="R853" s="46" t="n">
        <f aca="false">MONTH($E853)</f>
        <v>11</v>
      </c>
      <c r="S853" s="46" t="str">
        <f aca="false">INDEX(Lists!$B$2:$B$13,$R853)</f>
        <v>November</v>
      </c>
      <c r="T853" s="46" t="n">
        <f aca="false">HOUR($F853)</f>
        <v>9</v>
      </c>
      <c r="U853" s="46" t="n">
        <f aca="false">WEEKDAY($E853,2)</f>
        <v>6</v>
      </c>
      <c r="V853" s="46" t="str">
        <f aca="false">INDEX(Lists!$F$2:$F$8,$U853)</f>
        <v>Saturday</v>
      </c>
      <c r="W853" s="85" t="n">
        <f aca="false">($G853+$H853)-($E853+$F853)</f>
        <v>3.19009259259259</v>
      </c>
      <c r="X853" s="46" t="str">
        <f aca="false">LOOKUP($M853,Lists!$G$2:$G$5,Lists!$H$2:$H$5)</f>
        <v>₹500 - 999</v>
      </c>
      <c r="Y853" s="46" t="str">
        <f aca="false">LOOKUP($W853,Lists!$I$2:$I$7,Lists!$J$2:$J$7)</f>
        <v>2 - 4 days</v>
      </c>
    </row>
    <row r="854" customFormat="false" ht="15" hidden="false" customHeight="false" outlineLevel="0" collapsed="false">
      <c r="A854" s="7" t="n">
        <v>853</v>
      </c>
      <c r="B854" s="7" t="s">
        <v>254</v>
      </c>
      <c r="C854" s="7" t="n">
        <v>51</v>
      </c>
      <c r="D854" s="7" t="n">
        <v>3</v>
      </c>
      <c r="E854" s="77" t="n">
        <v>45186</v>
      </c>
      <c r="F854" s="78" t="n">
        <v>0.885335648148148</v>
      </c>
      <c r="G854" s="77" t="n">
        <v>45192</v>
      </c>
      <c r="H854" s="78" t="n">
        <v>0.602407407407407</v>
      </c>
      <c r="I854" s="7" t="s">
        <v>442</v>
      </c>
      <c r="J854" s="7" t="s">
        <v>165</v>
      </c>
      <c r="K854" s="79" t="str">
        <f aca="false">INDEX(Products!$B$2:$B$71,MATCH($C854,Products!$A$2:$A$71,0))</f>
        <v>Fugit Set</v>
      </c>
      <c r="L854" s="79" t="str">
        <f aca="false">INDEX(Products!$C$2:$C$71,MATCH($C854,Products!$A$2:$A$71,0))</f>
        <v>Soft Toys</v>
      </c>
      <c r="M854" s="80" t="n">
        <f aca="false">INDEX(Products!$D$2:$D$71,MATCH($C854,Products!$A$2:$A$71,0))</f>
        <v>1084</v>
      </c>
      <c r="N854" s="80" t="n">
        <f aca="false">$D854*$M854</f>
        <v>3252</v>
      </c>
      <c r="O854" s="79" t="str">
        <f aca="false">INDEX(Customers!$C$2:$C$101,MATCH($B854,Customers!$A$2:$A$101,0))</f>
        <v>Imphal</v>
      </c>
      <c r="P854" s="79" t="str">
        <f aca="false">INDEX(Customers!$F$2:$F$101,MATCH($B854,Customers!$A$2:$A$101,0))</f>
        <v>Female</v>
      </c>
      <c r="Q854" s="79" t="str">
        <f aca="false">INDEX(Customers!$B$2:$B$101,MATCH($B854,Customers!$A$2:$A$101,0))</f>
        <v>Chirag Srinivas</v>
      </c>
      <c r="R854" s="79" t="n">
        <f aca="false">MONTH($E854)</f>
        <v>9</v>
      </c>
      <c r="S854" s="79" t="str">
        <f aca="false">INDEX(Lists!$B$2:$B$13,$R854)</f>
        <v>September</v>
      </c>
      <c r="T854" s="79" t="n">
        <f aca="false">HOUR($F854)</f>
        <v>21</v>
      </c>
      <c r="U854" s="79" t="n">
        <f aca="false">WEEKDAY($E854,2)</f>
        <v>7</v>
      </c>
      <c r="V854" s="79" t="str">
        <f aca="false">INDEX(Lists!$F$2:$F$8,$U854)</f>
        <v>Sunday</v>
      </c>
      <c r="W854" s="81" t="n">
        <f aca="false">($G854+$H854)-($E854+$F854)</f>
        <v>5.71707175925926</v>
      </c>
      <c r="X854" s="79" t="str">
        <f aca="false">LOOKUP($M854,Lists!$G$2:$G$5,Lists!$H$2:$H$5)</f>
        <v>₹1,000 - 1,499</v>
      </c>
      <c r="Y854" s="79" t="str">
        <f aca="false">LOOKUP($W854,Lists!$I$2:$I$7,Lists!$J$2:$J$7)</f>
        <v>4 - 6 days</v>
      </c>
    </row>
    <row r="855" customFormat="false" ht="15" hidden="false" customHeight="false" outlineLevel="0" collapsed="false">
      <c r="A855" s="2" t="n">
        <v>854</v>
      </c>
      <c r="B855" s="2" t="s">
        <v>167</v>
      </c>
      <c r="C855" s="2" t="n">
        <v>62</v>
      </c>
      <c r="D855" s="2" t="n">
        <v>3</v>
      </c>
      <c r="E855" s="82" t="n">
        <v>44984</v>
      </c>
      <c r="F855" s="83" t="n">
        <v>0.0837152777777778</v>
      </c>
      <c r="G855" s="82" t="n">
        <v>44987</v>
      </c>
      <c r="H855" s="83" t="n">
        <v>0.119085648148148</v>
      </c>
      <c r="I855" s="2" t="s">
        <v>250</v>
      </c>
      <c r="J855" s="2" t="s">
        <v>33</v>
      </c>
      <c r="K855" s="46" t="str">
        <f aca="false">INDEX(Products!$B$2:$B$71,MATCH($C855,Products!$A$2:$A$71,0))</f>
        <v>Sed Set</v>
      </c>
      <c r="L855" s="46" t="str">
        <f aca="false">INDEX(Products!$C$2:$C$71,MATCH($C855,Products!$A$2:$A$71,0))</f>
        <v>Colors</v>
      </c>
      <c r="M855" s="84" t="n">
        <f aca="false">INDEX(Products!$D$2:$D$71,MATCH($C855,Products!$A$2:$A$71,0))</f>
        <v>1356</v>
      </c>
      <c r="N855" s="84" t="n">
        <f aca="false">$D855*$M855</f>
        <v>4068</v>
      </c>
      <c r="O855" s="46" t="str">
        <f aca="false">INDEX(Customers!$C$2:$C$101,MATCH($B855,Customers!$A$2:$A$101,0))</f>
        <v>Tenali</v>
      </c>
      <c r="P855" s="46" t="str">
        <f aca="false">INDEX(Customers!$F$2:$F$101,MATCH($B855,Customers!$A$2:$A$101,0))</f>
        <v>Male</v>
      </c>
      <c r="Q855" s="46" t="str">
        <f aca="false">INDEX(Customers!$B$2:$B$101,MATCH($B855,Customers!$A$2:$A$101,0))</f>
        <v>Amani Ganesh</v>
      </c>
      <c r="R855" s="46" t="n">
        <f aca="false">MONTH($E855)</f>
        <v>2</v>
      </c>
      <c r="S855" s="46" t="str">
        <f aca="false">INDEX(Lists!$B$2:$B$13,$R855)</f>
        <v>February</v>
      </c>
      <c r="T855" s="46" t="n">
        <f aca="false">HOUR($F855)</f>
        <v>2</v>
      </c>
      <c r="U855" s="46" t="n">
        <f aca="false">WEEKDAY($E855,2)</f>
        <v>1</v>
      </c>
      <c r="V855" s="46" t="str">
        <f aca="false">INDEX(Lists!$F$2:$F$8,$U855)</f>
        <v>Monday</v>
      </c>
      <c r="W855" s="85" t="n">
        <f aca="false">($G855+$H855)-($E855+$F855)</f>
        <v>3.03537037037037</v>
      </c>
      <c r="X855" s="46" t="str">
        <f aca="false">LOOKUP($M855,Lists!$G$2:$G$5,Lists!$H$2:$H$5)</f>
        <v>₹1,000 - 1,499</v>
      </c>
      <c r="Y855" s="46" t="str">
        <f aca="false">LOOKUP($W855,Lists!$I$2:$I$7,Lists!$J$2:$J$7)</f>
        <v>2 - 4 days</v>
      </c>
    </row>
    <row r="856" customFormat="false" ht="15" hidden="false" customHeight="false" outlineLevel="0" collapsed="false">
      <c r="A856" s="7" t="n">
        <v>855</v>
      </c>
      <c r="B856" s="7" t="s">
        <v>204</v>
      </c>
      <c r="C856" s="7" t="n">
        <v>57</v>
      </c>
      <c r="D856" s="7" t="n">
        <v>5</v>
      </c>
      <c r="E856" s="77" t="n">
        <v>45145</v>
      </c>
      <c r="F856" s="78" t="n">
        <v>0.99318287037037</v>
      </c>
      <c r="G856" s="77" t="n">
        <v>45155</v>
      </c>
      <c r="H856" s="78" t="n">
        <v>0.844247685185185</v>
      </c>
      <c r="I856" s="7" t="s">
        <v>153</v>
      </c>
      <c r="J856" s="7" t="s">
        <v>31</v>
      </c>
      <c r="K856" s="79" t="str">
        <f aca="false">INDEX(Products!$B$2:$B$71,MATCH($C856,Products!$A$2:$A$71,0))</f>
        <v>Voluptatem Box</v>
      </c>
      <c r="L856" s="79" t="str">
        <f aca="false">INDEX(Products!$C$2:$C$71,MATCH($C856,Products!$A$2:$A$71,0))</f>
        <v>Colors</v>
      </c>
      <c r="M856" s="80" t="n">
        <f aca="false">INDEX(Products!$D$2:$D$71,MATCH($C856,Products!$A$2:$A$71,0))</f>
        <v>1582</v>
      </c>
      <c r="N856" s="80" t="n">
        <f aca="false">$D856*$M856</f>
        <v>7910</v>
      </c>
      <c r="O856" s="79" t="str">
        <f aca="false">INDEX(Customers!$C$2:$C$101,MATCH($B856,Customers!$A$2:$A$101,0))</f>
        <v>Indore</v>
      </c>
      <c r="P856" s="79" t="str">
        <f aca="false">INDEX(Customers!$F$2:$F$101,MATCH($B856,Customers!$A$2:$A$101,0))</f>
        <v>Female</v>
      </c>
      <c r="Q856" s="79" t="str">
        <f aca="false">INDEX(Customers!$B$2:$B$101,MATCH($B856,Customers!$A$2:$A$101,0))</f>
        <v>Suhana Kurian</v>
      </c>
      <c r="R856" s="79" t="n">
        <f aca="false">MONTH($E856)</f>
        <v>8</v>
      </c>
      <c r="S856" s="79" t="str">
        <f aca="false">INDEX(Lists!$B$2:$B$13,$R856)</f>
        <v>August</v>
      </c>
      <c r="T856" s="79" t="n">
        <f aca="false">HOUR($F856)</f>
        <v>23</v>
      </c>
      <c r="U856" s="79" t="n">
        <f aca="false">WEEKDAY($E856,2)</f>
        <v>1</v>
      </c>
      <c r="V856" s="79" t="str">
        <f aca="false">INDEX(Lists!$F$2:$F$8,$U856)</f>
        <v>Monday</v>
      </c>
      <c r="W856" s="81" t="n">
        <f aca="false">($G856+$H856)-($E856+$F856)</f>
        <v>9.85106481481482</v>
      </c>
      <c r="X856" s="79" t="str">
        <f aca="false">LOOKUP($M856,Lists!$G$2:$G$5,Lists!$H$2:$H$5)</f>
        <v>₹1,500 - 2,000</v>
      </c>
      <c r="Y856" s="79" t="str">
        <f aca="false">LOOKUP($W856,Lists!$I$2:$I$7,Lists!$J$2:$J$7)</f>
        <v>8 - 10 days</v>
      </c>
    </row>
    <row r="857" customFormat="false" ht="15" hidden="false" customHeight="false" outlineLevel="0" collapsed="false">
      <c r="A857" s="2" t="n">
        <v>856</v>
      </c>
      <c r="B857" s="2" t="s">
        <v>331</v>
      </c>
      <c r="C857" s="2" t="n">
        <v>21</v>
      </c>
      <c r="D857" s="2" t="n">
        <v>2</v>
      </c>
      <c r="E857" s="82" t="n">
        <v>45165</v>
      </c>
      <c r="F857" s="83" t="n">
        <v>0.736238425925926</v>
      </c>
      <c r="G857" s="82" t="n">
        <v>45171</v>
      </c>
      <c r="H857" s="83" t="n">
        <v>0.678356481481482</v>
      </c>
      <c r="I857" s="2" t="s">
        <v>448</v>
      </c>
      <c r="J857" s="2" t="s">
        <v>40</v>
      </c>
      <c r="K857" s="46" t="str">
        <f aca="false">INDEX(Products!$B$2:$B$71,MATCH($C857,Products!$A$2:$A$71,0))</f>
        <v>Quia Gift</v>
      </c>
      <c r="L857" s="46" t="str">
        <f aca="false">INDEX(Products!$C$2:$C$71,MATCH($C857,Products!$A$2:$A$71,0))</f>
        <v>Colors</v>
      </c>
      <c r="M857" s="84" t="n">
        <f aca="false">INDEX(Products!$D$2:$D$71,MATCH($C857,Products!$A$2:$A$71,0))</f>
        <v>1561</v>
      </c>
      <c r="N857" s="84" t="n">
        <f aca="false">$D857*$M857</f>
        <v>3122</v>
      </c>
      <c r="O857" s="46" t="str">
        <f aca="false">INDEX(Customers!$C$2:$C$101,MATCH($B857,Customers!$A$2:$A$101,0))</f>
        <v>Panchkula</v>
      </c>
      <c r="P857" s="46" t="str">
        <f aca="false">INDEX(Customers!$F$2:$F$101,MATCH($B857,Customers!$A$2:$A$101,0))</f>
        <v>Female</v>
      </c>
      <c r="Q857" s="46" t="str">
        <f aca="false">INDEX(Customers!$B$2:$B$101,MATCH($B857,Customers!$A$2:$A$101,0))</f>
        <v>Gokul Ahluwalia</v>
      </c>
      <c r="R857" s="46" t="n">
        <f aca="false">MONTH($E857)</f>
        <v>8</v>
      </c>
      <c r="S857" s="46" t="str">
        <f aca="false">INDEX(Lists!$B$2:$B$13,$R857)</f>
        <v>August</v>
      </c>
      <c r="T857" s="46" t="n">
        <f aca="false">HOUR($F857)</f>
        <v>17</v>
      </c>
      <c r="U857" s="46" t="n">
        <f aca="false">WEEKDAY($E857,2)</f>
        <v>7</v>
      </c>
      <c r="V857" s="46" t="str">
        <f aca="false">INDEX(Lists!$F$2:$F$8,$U857)</f>
        <v>Sunday</v>
      </c>
      <c r="W857" s="85" t="n">
        <f aca="false">($G857+$H857)-($E857+$F857)</f>
        <v>5.94211805555556</v>
      </c>
      <c r="X857" s="46" t="str">
        <f aca="false">LOOKUP($M857,Lists!$G$2:$G$5,Lists!$H$2:$H$5)</f>
        <v>₹1,500 - 2,000</v>
      </c>
      <c r="Y857" s="46" t="str">
        <f aca="false">LOOKUP($W857,Lists!$I$2:$I$7,Lists!$J$2:$J$7)</f>
        <v>4 - 6 days</v>
      </c>
    </row>
    <row r="858" customFormat="false" ht="15" hidden="false" customHeight="false" outlineLevel="0" collapsed="false">
      <c r="A858" s="7" t="n">
        <v>857</v>
      </c>
      <c r="B858" s="7" t="s">
        <v>263</v>
      </c>
      <c r="C858" s="7" t="n">
        <v>63</v>
      </c>
      <c r="D858" s="7" t="n">
        <v>1</v>
      </c>
      <c r="E858" s="77" t="n">
        <v>44966</v>
      </c>
      <c r="F858" s="78" t="n">
        <v>0.390486111111111</v>
      </c>
      <c r="G858" s="77" t="n">
        <v>44975</v>
      </c>
      <c r="H858" s="78" t="n">
        <v>0.583842592592593</v>
      </c>
      <c r="I858" s="7" t="s">
        <v>203</v>
      </c>
      <c r="J858" s="7" t="s">
        <v>165</v>
      </c>
      <c r="K858" s="79" t="str">
        <f aca="false">INDEX(Products!$B$2:$B$71,MATCH($C858,Products!$A$2:$A$71,0))</f>
        <v>Adipisci Set</v>
      </c>
      <c r="L858" s="79" t="str">
        <f aca="false">INDEX(Products!$C$2:$C$71,MATCH($C858,Products!$A$2:$A$71,0))</f>
        <v>Sweets</v>
      </c>
      <c r="M858" s="80" t="n">
        <f aca="false">INDEX(Products!$D$2:$D$71,MATCH($C858,Products!$A$2:$A$71,0))</f>
        <v>1348</v>
      </c>
      <c r="N858" s="80" t="n">
        <f aca="false">$D858*$M858</f>
        <v>1348</v>
      </c>
      <c r="O858" s="79" t="str">
        <f aca="false">INDEX(Customers!$C$2:$C$101,MATCH($B858,Customers!$A$2:$A$101,0))</f>
        <v>Bharatpur</v>
      </c>
      <c r="P858" s="79" t="str">
        <f aca="false">INDEX(Customers!$F$2:$F$101,MATCH($B858,Customers!$A$2:$A$101,0))</f>
        <v>Female</v>
      </c>
      <c r="Q858" s="79" t="str">
        <f aca="false">INDEX(Customers!$B$2:$B$101,MATCH($B858,Customers!$A$2:$A$101,0))</f>
        <v>Kismat Kapadia</v>
      </c>
      <c r="R858" s="79" t="n">
        <f aca="false">MONTH($E858)</f>
        <v>2</v>
      </c>
      <c r="S858" s="79" t="str">
        <f aca="false">INDEX(Lists!$B$2:$B$13,$R858)</f>
        <v>February</v>
      </c>
      <c r="T858" s="79" t="n">
        <f aca="false">HOUR($F858)</f>
        <v>9</v>
      </c>
      <c r="U858" s="79" t="n">
        <f aca="false">WEEKDAY($E858,2)</f>
        <v>4</v>
      </c>
      <c r="V858" s="79" t="str">
        <f aca="false">INDEX(Lists!$F$2:$F$8,$U858)</f>
        <v>Thursday</v>
      </c>
      <c r="W858" s="81" t="n">
        <f aca="false">($G858+$H858)-($E858+$F858)</f>
        <v>9.19335648148148</v>
      </c>
      <c r="X858" s="79" t="str">
        <f aca="false">LOOKUP($M858,Lists!$G$2:$G$5,Lists!$H$2:$H$5)</f>
        <v>₹1,000 - 1,499</v>
      </c>
      <c r="Y858" s="79" t="str">
        <f aca="false">LOOKUP($W858,Lists!$I$2:$I$7,Lists!$J$2:$J$7)</f>
        <v>8 - 10 days</v>
      </c>
    </row>
    <row r="859" customFormat="false" ht="15" hidden="false" customHeight="false" outlineLevel="0" collapsed="false">
      <c r="A859" s="2" t="n">
        <v>858</v>
      </c>
      <c r="B859" s="2" t="s">
        <v>242</v>
      </c>
      <c r="C859" s="2" t="n">
        <v>44</v>
      </c>
      <c r="D859" s="2" t="n">
        <v>4</v>
      </c>
      <c r="E859" s="82" t="n">
        <v>45238</v>
      </c>
      <c r="F859" s="83" t="n">
        <v>0.0776388888888889</v>
      </c>
      <c r="G859" s="82" t="n">
        <v>45239</v>
      </c>
      <c r="H859" s="83" t="n">
        <v>0.667638888888889</v>
      </c>
      <c r="I859" s="2" t="s">
        <v>551</v>
      </c>
      <c r="J859" s="2" t="s">
        <v>32</v>
      </c>
      <c r="K859" s="46" t="str">
        <f aca="false">INDEX(Products!$B$2:$B$71,MATCH($C859,Products!$A$2:$A$71,0))</f>
        <v>Dolorum Set</v>
      </c>
      <c r="L859" s="46" t="str">
        <f aca="false">INDEX(Products!$C$2:$C$71,MATCH($C859,Products!$A$2:$A$71,0))</f>
        <v>Plants</v>
      </c>
      <c r="M859" s="84" t="n">
        <f aca="false">INDEX(Products!$D$2:$D$71,MATCH($C859,Products!$A$2:$A$71,0))</f>
        <v>794</v>
      </c>
      <c r="N859" s="84" t="n">
        <f aca="false">$D859*$M859</f>
        <v>3176</v>
      </c>
      <c r="O859" s="46" t="str">
        <f aca="false">INDEX(Customers!$C$2:$C$101,MATCH($B859,Customers!$A$2:$A$101,0))</f>
        <v>Guna</v>
      </c>
      <c r="P859" s="46" t="str">
        <f aca="false">INDEX(Customers!$F$2:$F$101,MATCH($B859,Customers!$A$2:$A$101,0))</f>
        <v>Male</v>
      </c>
      <c r="Q859" s="46" t="str">
        <f aca="false">INDEX(Customers!$B$2:$B$101,MATCH($B859,Customers!$A$2:$A$101,0))</f>
        <v>Tara Kannan</v>
      </c>
      <c r="R859" s="46" t="n">
        <f aca="false">MONTH($E859)</f>
        <v>11</v>
      </c>
      <c r="S859" s="46" t="str">
        <f aca="false">INDEX(Lists!$B$2:$B$13,$R859)</f>
        <v>November</v>
      </c>
      <c r="T859" s="46" t="n">
        <f aca="false">HOUR($F859)</f>
        <v>1</v>
      </c>
      <c r="U859" s="46" t="n">
        <f aca="false">WEEKDAY($E859,2)</f>
        <v>3</v>
      </c>
      <c r="V859" s="46" t="str">
        <f aca="false">INDEX(Lists!$F$2:$F$8,$U859)</f>
        <v>Wednesday</v>
      </c>
      <c r="W859" s="85" t="n">
        <f aca="false">($G859+$H859)-($E859+$F859)</f>
        <v>1.59</v>
      </c>
      <c r="X859" s="46" t="str">
        <f aca="false">LOOKUP($M859,Lists!$G$2:$G$5,Lists!$H$2:$H$5)</f>
        <v>₹500 - 999</v>
      </c>
      <c r="Y859" s="46" t="str">
        <f aca="false">LOOKUP($W859,Lists!$I$2:$I$7,Lists!$J$2:$J$7)</f>
        <v>0 - 2 days</v>
      </c>
    </row>
    <row r="860" customFormat="false" ht="15" hidden="false" customHeight="false" outlineLevel="0" collapsed="false">
      <c r="A860" s="7" t="n">
        <v>859</v>
      </c>
      <c r="B860" s="7" t="s">
        <v>245</v>
      </c>
      <c r="C860" s="7" t="n">
        <v>43</v>
      </c>
      <c r="D860" s="7" t="n">
        <v>1</v>
      </c>
      <c r="E860" s="77" t="n">
        <v>45240</v>
      </c>
      <c r="F860" s="78" t="n">
        <v>0.296076388888889</v>
      </c>
      <c r="G860" s="77" t="n">
        <v>45245</v>
      </c>
      <c r="H860" s="78" t="n">
        <v>0.0739236111111111</v>
      </c>
      <c r="I860" s="7" t="s">
        <v>603</v>
      </c>
      <c r="J860" s="7" t="s">
        <v>32</v>
      </c>
      <c r="K860" s="79" t="str">
        <f aca="false">INDEX(Products!$B$2:$B$71,MATCH($C860,Products!$A$2:$A$71,0))</f>
        <v>Quisquam Pack</v>
      </c>
      <c r="L860" s="79" t="str">
        <f aca="false">INDEX(Products!$C$2:$C$71,MATCH($C860,Products!$A$2:$A$71,0))</f>
        <v>Raksha Bandhan</v>
      </c>
      <c r="M860" s="80" t="n">
        <f aca="false">INDEX(Products!$D$2:$D$71,MATCH($C860,Products!$A$2:$A$71,0))</f>
        <v>750</v>
      </c>
      <c r="N860" s="80" t="n">
        <f aca="false">$D860*$M860</f>
        <v>750</v>
      </c>
      <c r="O860" s="79" t="str">
        <f aca="false">INDEX(Customers!$C$2:$C$101,MATCH($B860,Customers!$A$2:$A$101,0))</f>
        <v>Jorhat</v>
      </c>
      <c r="P860" s="79" t="str">
        <f aca="false">INDEX(Customers!$F$2:$F$101,MATCH($B860,Customers!$A$2:$A$101,0))</f>
        <v>Male</v>
      </c>
      <c r="Q860" s="79" t="str">
        <f aca="false">INDEX(Customers!$B$2:$B$101,MATCH($B860,Customers!$A$2:$A$101,0))</f>
        <v>Bhamini Ravi</v>
      </c>
      <c r="R860" s="79" t="n">
        <f aca="false">MONTH($E860)</f>
        <v>11</v>
      </c>
      <c r="S860" s="79" t="str">
        <f aca="false">INDEX(Lists!$B$2:$B$13,$R860)</f>
        <v>November</v>
      </c>
      <c r="T860" s="79" t="n">
        <f aca="false">HOUR($F860)</f>
        <v>7</v>
      </c>
      <c r="U860" s="79" t="n">
        <f aca="false">WEEKDAY($E860,2)</f>
        <v>5</v>
      </c>
      <c r="V860" s="79" t="str">
        <f aca="false">INDEX(Lists!$F$2:$F$8,$U860)</f>
        <v>Friday</v>
      </c>
      <c r="W860" s="81" t="n">
        <f aca="false">($G860+$H860)-($E860+$F860)</f>
        <v>4.77784722222222</v>
      </c>
      <c r="X860" s="79" t="str">
        <f aca="false">LOOKUP($M860,Lists!$G$2:$G$5,Lists!$H$2:$H$5)</f>
        <v>₹500 - 999</v>
      </c>
      <c r="Y860" s="79" t="str">
        <f aca="false">LOOKUP($W860,Lists!$I$2:$I$7,Lists!$J$2:$J$7)</f>
        <v>4 - 6 days</v>
      </c>
    </row>
    <row r="861" customFormat="false" ht="15" hidden="false" customHeight="false" outlineLevel="0" collapsed="false">
      <c r="A861" s="2" t="n">
        <v>860</v>
      </c>
      <c r="B861" s="2" t="s">
        <v>294</v>
      </c>
      <c r="C861" s="2" t="n">
        <v>14</v>
      </c>
      <c r="D861" s="2" t="n">
        <v>1</v>
      </c>
      <c r="E861" s="82" t="n">
        <v>44936</v>
      </c>
      <c r="F861" s="83" t="n">
        <v>0.812488425925926</v>
      </c>
      <c r="G861" s="82" t="n">
        <v>44939</v>
      </c>
      <c r="H861" s="83" t="n">
        <v>0.562847222222222</v>
      </c>
      <c r="I861" s="2" t="s">
        <v>123</v>
      </c>
      <c r="J861" s="2" t="s">
        <v>31</v>
      </c>
      <c r="K861" s="46" t="str">
        <f aca="false">INDEX(Products!$B$2:$B$71,MATCH($C861,Products!$A$2:$A$71,0))</f>
        <v>Deserunt Box</v>
      </c>
      <c r="L861" s="46" t="str">
        <f aca="false">INDEX(Products!$C$2:$C$71,MATCH($C861,Products!$A$2:$A$71,0))</f>
        <v>Colors</v>
      </c>
      <c r="M861" s="84" t="n">
        <f aca="false">INDEX(Products!$D$2:$D$71,MATCH($C861,Products!$A$2:$A$71,0))</f>
        <v>1915</v>
      </c>
      <c r="N861" s="84" t="n">
        <f aca="false">$D861*$M861</f>
        <v>1915</v>
      </c>
      <c r="O861" s="46" t="str">
        <f aca="false">INDEX(Customers!$C$2:$C$101,MATCH($B861,Customers!$A$2:$A$101,0))</f>
        <v>Srikakulam</v>
      </c>
      <c r="P861" s="46" t="str">
        <f aca="false">INDEX(Customers!$F$2:$F$101,MATCH($B861,Customers!$A$2:$A$101,0))</f>
        <v>Male</v>
      </c>
      <c r="Q861" s="46" t="str">
        <f aca="false">INDEX(Customers!$B$2:$B$101,MATCH($B861,Customers!$A$2:$A$101,0))</f>
        <v>Indrajit Kale</v>
      </c>
      <c r="R861" s="46" t="n">
        <f aca="false">MONTH($E861)</f>
        <v>1</v>
      </c>
      <c r="S861" s="46" t="str">
        <f aca="false">INDEX(Lists!$B$2:$B$13,$R861)</f>
        <v>January</v>
      </c>
      <c r="T861" s="46" t="n">
        <f aca="false">HOUR($F861)</f>
        <v>19</v>
      </c>
      <c r="U861" s="46" t="n">
        <f aca="false">WEEKDAY($E861,2)</f>
        <v>2</v>
      </c>
      <c r="V861" s="46" t="str">
        <f aca="false">INDEX(Lists!$F$2:$F$8,$U861)</f>
        <v>Tuesday</v>
      </c>
      <c r="W861" s="85" t="n">
        <f aca="false">($G861+$H861)-($E861+$F861)</f>
        <v>2.7503587962963</v>
      </c>
      <c r="X861" s="46" t="str">
        <f aca="false">LOOKUP($M861,Lists!$G$2:$G$5,Lists!$H$2:$H$5)</f>
        <v>₹1,500 - 2,000</v>
      </c>
      <c r="Y861" s="46" t="str">
        <f aca="false">LOOKUP($W861,Lists!$I$2:$I$7,Lists!$J$2:$J$7)</f>
        <v>2 - 4 days</v>
      </c>
    </row>
    <row r="862" customFormat="false" ht="15" hidden="false" customHeight="false" outlineLevel="0" collapsed="false">
      <c r="A862" s="7" t="n">
        <v>861</v>
      </c>
      <c r="B862" s="7" t="s">
        <v>198</v>
      </c>
      <c r="C862" s="7" t="n">
        <v>32</v>
      </c>
      <c r="D862" s="7" t="n">
        <v>1</v>
      </c>
      <c r="E862" s="77" t="n">
        <v>44966</v>
      </c>
      <c r="F862" s="78" t="n">
        <v>0.346886574074074</v>
      </c>
      <c r="G862" s="77" t="n">
        <v>44971</v>
      </c>
      <c r="H862" s="78" t="n">
        <v>0.109421296296296</v>
      </c>
      <c r="I862" s="7" t="s">
        <v>268</v>
      </c>
      <c r="J862" s="7" t="s">
        <v>31</v>
      </c>
      <c r="K862" s="79" t="str">
        <f aca="false">INDEX(Products!$B$2:$B$71,MATCH($C862,Products!$A$2:$A$71,0))</f>
        <v>Fuga Set</v>
      </c>
      <c r="L862" s="79" t="str">
        <f aca="false">INDEX(Products!$C$2:$C$71,MATCH($C862,Products!$A$2:$A$71,0))</f>
        <v>Soft Toys</v>
      </c>
      <c r="M862" s="80" t="n">
        <f aca="false">INDEX(Products!$D$2:$D$71,MATCH($C862,Products!$A$2:$A$71,0))</f>
        <v>1792</v>
      </c>
      <c r="N862" s="80" t="n">
        <f aca="false">$D862*$M862</f>
        <v>1792</v>
      </c>
      <c r="O862" s="79" t="str">
        <f aca="false">INDEX(Customers!$C$2:$C$101,MATCH($B862,Customers!$A$2:$A$101,0))</f>
        <v>Sambhal</v>
      </c>
      <c r="P862" s="79" t="str">
        <f aca="false">INDEX(Customers!$F$2:$F$101,MATCH($B862,Customers!$A$2:$A$101,0))</f>
        <v>Male</v>
      </c>
      <c r="Q862" s="79" t="str">
        <f aca="false">INDEX(Customers!$B$2:$B$101,MATCH($B862,Customers!$A$2:$A$101,0))</f>
        <v>Vardaniya Contractor</v>
      </c>
      <c r="R862" s="79" t="n">
        <f aca="false">MONTH($E862)</f>
        <v>2</v>
      </c>
      <c r="S862" s="79" t="str">
        <f aca="false">INDEX(Lists!$B$2:$B$13,$R862)</f>
        <v>February</v>
      </c>
      <c r="T862" s="79" t="n">
        <f aca="false">HOUR($F862)</f>
        <v>8</v>
      </c>
      <c r="U862" s="79" t="n">
        <f aca="false">WEEKDAY($E862,2)</f>
        <v>4</v>
      </c>
      <c r="V862" s="79" t="str">
        <f aca="false">INDEX(Lists!$F$2:$F$8,$U862)</f>
        <v>Thursday</v>
      </c>
      <c r="W862" s="81" t="n">
        <f aca="false">($G862+$H862)-($E862+$F862)</f>
        <v>4.76253472222222</v>
      </c>
      <c r="X862" s="79" t="str">
        <f aca="false">LOOKUP($M862,Lists!$G$2:$G$5,Lists!$H$2:$H$5)</f>
        <v>₹1,500 - 2,000</v>
      </c>
      <c r="Y862" s="79" t="str">
        <f aca="false">LOOKUP($W862,Lists!$I$2:$I$7,Lists!$J$2:$J$7)</f>
        <v>4 - 6 days</v>
      </c>
    </row>
    <row r="863" customFormat="false" ht="15" hidden="false" customHeight="false" outlineLevel="0" collapsed="false">
      <c r="A863" s="2" t="n">
        <v>862</v>
      </c>
      <c r="B863" s="2" t="s">
        <v>251</v>
      </c>
      <c r="C863" s="2" t="n">
        <v>6</v>
      </c>
      <c r="D863" s="2" t="n">
        <v>4</v>
      </c>
      <c r="E863" s="82" t="n">
        <v>44992</v>
      </c>
      <c r="F863" s="83" t="n">
        <v>0.243912037037037</v>
      </c>
      <c r="G863" s="82" t="n">
        <v>45000</v>
      </c>
      <c r="H863" s="83" t="n">
        <v>0.349849537037037</v>
      </c>
      <c r="I863" s="2" t="s">
        <v>564</v>
      </c>
      <c r="J863" s="2" t="s">
        <v>33</v>
      </c>
      <c r="K863" s="46" t="str">
        <f aca="false">INDEX(Products!$B$2:$B$71,MATCH($C863,Products!$A$2:$A$71,0))</f>
        <v>Quos Box</v>
      </c>
      <c r="L863" s="46" t="str">
        <f aca="false">INDEX(Products!$C$2:$C$71,MATCH($C863,Products!$A$2:$A$71,0))</f>
        <v>Cake</v>
      </c>
      <c r="M863" s="84" t="n">
        <f aca="false">INDEX(Products!$D$2:$D$71,MATCH($C863,Products!$A$2:$A$71,0))</f>
        <v>1112</v>
      </c>
      <c r="N863" s="84" t="n">
        <f aca="false">$D863*$M863</f>
        <v>4448</v>
      </c>
      <c r="O863" s="46" t="str">
        <f aca="false">INDEX(Customers!$C$2:$C$101,MATCH($B863,Customers!$A$2:$A$101,0))</f>
        <v>Imphal</v>
      </c>
      <c r="P863" s="46" t="str">
        <f aca="false">INDEX(Customers!$F$2:$F$101,MATCH($B863,Customers!$A$2:$A$101,0))</f>
        <v>Female</v>
      </c>
      <c r="Q863" s="46" t="str">
        <f aca="false">INDEX(Customers!$B$2:$B$101,MATCH($B863,Customers!$A$2:$A$101,0))</f>
        <v>Aarush Balasubramanian</v>
      </c>
      <c r="R863" s="46" t="n">
        <f aca="false">MONTH($E863)</f>
        <v>3</v>
      </c>
      <c r="S863" s="46" t="str">
        <f aca="false">INDEX(Lists!$B$2:$B$13,$R863)</f>
        <v>March</v>
      </c>
      <c r="T863" s="46" t="n">
        <f aca="false">HOUR($F863)</f>
        <v>5</v>
      </c>
      <c r="U863" s="46" t="n">
        <f aca="false">WEEKDAY($E863,2)</f>
        <v>2</v>
      </c>
      <c r="V863" s="46" t="str">
        <f aca="false">INDEX(Lists!$F$2:$F$8,$U863)</f>
        <v>Tuesday</v>
      </c>
      <c r="W863" s="85" t="n">
        <f aca="false">($G863+$H863)-($E863+$F863)</f>
        <v>8.1059375</v>
      </c>
      <c r="X863" s="46" t="str">
        <f aca="false">LOOKUP($M863,Lists!$G$2:$G$5,Lists!$H$2:$H$5)</f>
        <v>₹1,000 - 1,499</v>
      </c>
      <c r="Y863" s="46" t="str">
        <f aca="false">LOOKUP($W863,Lists!$I$2:$I$7,Lists!$J$2:$J$7)</f>
        <v>8 - 10 days</v>
      </c>
    </row>
    <row r="864" customFormat="false" ht="15" hidden="false" customHeight="false" outlineLevel="0" collapsed="false">
      <c r="A864" s="7" t="n">
        <v>863</v>
      </c>
      <c r="B864" s="7" t="s">
        <v>390</v>
      </c>
      <c r="C864" s="7" t="n">
        <v>20</v>
      </c>
      <c r="D864" s="7" t="n">
        <v>3</v>
      </c>
      <c r="E864" s="77" t="n">
        <v>45082</v>
      </c>
      <c r="F864" s="78" t="n">
        <v>0.394490740740741</v>
      </c>
      <c r="G864" s="77" t="n">
        <v>45092</v>
      </c>
      <c r="H864" s="78" t="n">
        <v>0.134085648148148</v>
      </c>
      <c r="I864" s="7" t="s">
        <v>439</v>
      </c>
      <c r="J864" s="7" t="s">
        <v>168</v>
      </c>
      <c r="K864" s="79" t="str">
        <f aca="false">INDEX(Products!$B$2:$B$71,MATCH($C864,Products!$A$2:$A$71,0))</f>
        <v>Reiciendis Box</v>
      </c>
      <c r="L864" s="79" t="str">
        <f aca="false">INDEX(Products!$C$2:$C$71,MATCH($C864,Products!$A$2:$A$71,0))</f>
        <v>Colors</v>
      </c>
      <c r="M864" s="80" t="n">
        <f aca="false">INDEX(Products!$D$2:$D$71,MATCH($C864,Products!$A$2:$A$71,0))</f>
        <v>697</v>
      </c>
      <c r="N864" s="80" t="n">
        <f aca="false">$D864*$M864</f>
        <v>2091</v>
      </c>
      <c r="O864" s="79" t="str">
        <f aca="false">INDEX(Customers!$C$2:$C$101,MATCH($B864,Customers!$A$2:$A$101,0))</f>
        <v>Dhanbad</v>
      </c>
      <c r="P864" s="79" t="str">
        <f aca="false">INDEX(Customers!$F$2:$F$101,MATCH($B864,Customers!$A$2:$A$101,0))</f>
        <v>Female</v>
      </c>
      <c r="Q864" s="79" t="str">
        <f aca="false">INDEX(Customers!$B$2:$B$101,MATCH($B864,Customers!$A$2:$A$101,0))</f>
        <v>Ranbir Loyal</v>
      </c>
      <c r="R864" s="79" t="n">
        <f aca="false">MONTH($E864)</f>
        <v>6</v>
      </c>
      <c r="S864" s="79" t="str">
        <f aca="false">INDEX(Lists!$B$2:$B$13,$R864)</f>
        <v>June</v>
      </c>
      <c r="T864" s="79" t="n">
        <f aca="false">HOUR($F864)</f>
        <v>9</v>
      </c>
      <c r="U864" s="79" t="n">
        <f aca="false">WEEKDAY($E864,2)</f>
        <v>1</v>
      </c>
      <c r="V864" s="79" t="str">
        <f aca="false">INDEX(Lists!$F$2:$F$8,$U864)</f>
        <v>Monday</v>
      </c>
      <c r="W864" s="81" t="n">
        <f aca="false">($G864+$H864)-($E864+$F864)</f>
        <v>9.73959490740741</v>
      </c>
      <c r="X864" s="79" t="str">
        <f aca="false">LOOKUP($M864,Lists!$G$2:$G$5,Lists!$H$2:$H$5)</f>
        <v>₹500 - 999</v>
      </c>
      <c r="Y864" s="79" t="str">
        <f aca="false">LOOKUP($W864,Lists!$I$2:$I$7,Lists!$J$2:$J$7)</f>
        <v>8 - 10 days</v>
      </c>
    </row>
    <row r="865" customFormat="false" ht="15" hidden="false" customHeight="false" outlineLevel="0" collapsed="false">
      <c r="A865" s="2" t="n">
        <v>864</v>
      </c>
      <c r="B865" s="2" t="s">
        <v>204</v>
      </c>
      <c r="C865" s="2" t="n">
        <v>11</v>
      </c>
      <c r="D865" s="2" t="n">
        <v>1</v>
      </c>
      <c r="E865" s="82" t="n">
        <v>44968</v>
      </c>
      <c r="F865" s="83" t="n">
        <v>0.815532407407407</v>
      </c>
      <c r="G865" s="82" t="n">
        <v>44972</v>
      </c>
      <c r="H865" s="83" t="n">
        <v>0.33724537037037</v>
      </c>
      <c r="I865" s="2" t="s">
        <v>473</v>
      </c>
      <c r="J865" s="2" t="s">
        <v>179</v>
      </c>
      <c r="K865" s="46" t="str">
        <f aca="false">INDEX(Products!$B$2:$B$71,MATCH($C865,Products!$A$2:$A$71,0))</f>
        <v>Maxime Set</v>
      </c>
      <c r="L865" s="46" t="str">
        <f aca="false">INDEX(Products!$C$2:$C$71,MATCH($C865,Products!$A$2:$A$71,0))</f>
        <v>Mugs</v>
      </c>
      <c r="M865" s="84" t="n">
        <f aca="false">INDEX(Products!$D$2:$D$71,MATCH($C865,Products!$A$2:$A$71,0))</f>
        <v>1096</v>
      </c>
      <c r="N865" s="84" t="n">
        <f aca="false">$D865*$M865</f>
        <v>1096</v>
      </c>
      <c r="O865" s="46" t="str">
        <f aca="false">INDEX(Customers!$C$2:$C$101,MATCH($B865,Customers!$A$2:$A$101,0))</f>
        <v>Indore</v>
      </c>
      <c r="P865" s="46" t="str">
        <f aca="false">INDEX(Customers!$F$2:$F$101,MATCH($B865,Customers!$A$2:$A$101,0))</f>
        <v>Female</v>
      </c>
      <c r="Q865" s="46" t="str">
        <f aca="false">INDEX(Customers!$B$2:$B$101,MATCH($B865,Customers!$A$2:$A$101,0))</f>
        <v>Suhana Kurian</v>
      </c>
      <c r="R865" s="46" t="n">
        <f aca="false">MONTH($E865)</f>
        <v>2</v>
      </c>
      <c r="S865" s="46" t="str">
        <f aca="false">INDEX(Lists!$B$2:$B$13,$R865)</f>
        <v>February</v>
      </c>
      <c r="T865" s="46" t="n">
        <f aca="false">HOUR($F865)</f>
        <v>19</v>
      </c>
      <c r="U865" s="46" t="n">
        <f aca="false">WEEKDAY($E865,2)</f>
        <v>6</v>
      </c>
      <c r="V865" s="46" t="str">
        <f aca="false">INDEX(Lists!$F$2:$F$8,$U865)</f>
        <v>Saturday</v>
      </c>
      <c r="W865" s="85" t="n">
        <f aca="false">($G865+$H865)-($E865+$F865)</f>
        <v>3.52171296296296</v>
      </c>
      <c r="X865" s="46" t="str">
        <f aca="false">LOOKUP($M865,Lists!$G$2:$G$5,Lists!$H$2:$H$5)</f>
        <v>₹1,000 - 1,499</v>
      </c>
      <c r="Y865" s="46" t="str">
        <f aca="false">LOOKUP($W865,Lists!$I$2:$I$7,Lists!$J$2:$J$7)</f>
        <v>2 - 4 days</v>
      </c>
    </row>
    <row r="866" customFormat="false" ht="15" hidden="false" customHeight="false" outlineLevel="0" collapsed="false">
      <c r="A866" s="7" t="n">
        <v>865</v>
      </c>
      <c r="B866" s="7" t="s">
        <v>202</v>
      </c>
      <c r="C866" s="7" t="n">
        <v>19</v>
      </c>
      <c r="D866" s="7" t="n">
        <v>1</v>
      </c>
      <c r="E866" s="77" t="n">
        <v>44969</v>
      </c>
      <c r="F866" s="78" t="n">
        <v>0.756412037037037</v>
      </c>
      <c r="G866" s="77" t="n">
        <v>44970</v>
      </c>
      <c r="H866" s="78" t="n">
        <v>0.276388888888889</v>
      </c>
      <c r="I866" s="7" t="s">
        <v>469</v>
      </c>
      <c r="J866" s="7" t="s">
        <v>179</v>
      </c>
      <c r="K866" s="79" t="str">
        <f aca="false">INDEX(Products!$B$2:$B$71,MATCH($C866,Products!$A$2:$A$71,0))</f>
        <v>Iure Gift</v>
      </c>
      <c r="L866" s="79" t="str">
        <f aca="false">INDEX(Products!$C$2:$C$71,MATCH($C866,Products!$A$2:$A$71,0))</f>
        <v>Mugs</v>
      </c>
      <c r="M866" s="80" t="n">
        <f aca="false">INDEX(Products!$D$2:$D$71,MATCH($C866,Products!$A$2:$A$71,0))</f>
        <v>1234</v>
      </c>
      <c r="N866" s="80" t="n">
        <f aca="false">$D866*$M866</f>
        <v>1234</v>
      </c>
      <c r="O866" s="79" t="str">
        <f aca="false">INDEX(Customers!$C$2:$C$101,MATCH($B866,Customers!$A$2:$A$101,0))</f>
        <v>Surat</v>
      </c>
      <c r="P866" s="79" t="str">
        <f aca="false">INDEX(Customers!$F$2:$F$101,MATCH($B866,Customers!$A$2:$A$101,0))</f>
        <v>Male</v>
      </c>
      <c r="Q866" s="79" t="str">
        <f aca="false">INDEX(Customers!$B$2:$B$101,MATCH($B866,Customers!$A$2:$A$101,0))</f>
        <v>Mannat Anand</v>
      </c>
      <c r="R866" s="79" t="n">
        <f aca="false">MONTH($E866)</f>
        <v>2</v>
      </c>
      <c r="S866" s="79" t="str">
        <f aca="false">INDEX(Lists!$B$2:$B$13,$R866)</f>
        <v>February</v>
      </c>
      <c r="T866" s="79" t="n">
        <f aca="false">HOUR($F866)</f>
        <v>18</v>
      </c>
      <c r="U866" s="79" t="n">
        <f aca="false">WEEKDAY($E866,2)</f>
        <v>7</v>
      </c>
      <c r="V866" s="79" t="str">
        <f aca="false">INDEX(Lists!$F$2:$F$8,$U866)</f>
        <v>Sunday</v>
      </c>
      <c r="W866" s="81" t="n">
        <f aca="false">($G866+$H866)-($E866+$F866)</f>
        <v>0.519976851851852</v>
      </c>
      <c r="X866" s="79" t="str">
        <f aca="false">LOOKUP($M866,Lists!$G$2:$G$5,Lists!$H$2:$H$5)</f>
        <v>₹1,000 - 1,499</v>
      </c>
      <c r="Y866" s="79" t="str">
        <f aca="false">LOOKUP($W866,Lists!$I$2:$I$7,Lists!$J$2:$J$7)</f>
        <v>0 - 2 days</v>
      </c>
    </row>
    <row r="867" customFormat="false" ht="15" hidden="false" customHeight="false" outlineLevel="0" collapsed="false">
      <c r="A867" s="2" t="n">
        <v>866</v>
      </c>
      <c r="B867" s="2" t="s">
        <v>178</v>
      </c>
      <c r="C867" s="2" t="n">
        <v>15</v>
      </c>
      <c r="D867" s="2" t="n">
        <v>5</v>
      </c>
      <c r="E867" s="82" t="n">
        <v>45148</v>
      </c>
      <c r="F867" s="83" t="n">
        <v>0.837928240740741</v>
      </c>
      <c r="G867" s="82" t="n">
        <v>45149</v>
      </c>
      <c r="H867" s="83" t="n">
        <v>0.335196759259259</v>
      </c>
      <c r="I867" s="2" t="s">
        <v>486</v>
      </c>
      <c r="J867" s="2" t="s">
        <v>168</v>
      </c>
      <c r="K867" s="46" t="str">
        <f aca="false">INDEX(Products!$B$2:$B$71,MATCH($C867,Products!$A$2:$A$71,0))</f>
        <v>Repudiandae Box</v>
      </c>
      <c r="L867" s="46" t="str">
        <f aca="false">INDEX(Products!$C$2:$C$71,MATCH($C867,Products!$A$2:$A$71,0))</f>
        <v>Raksha Bandhan</v>
      </c>
      <c r="M867" s="84" t="n">
        <f aca="false">INDEX(Products!$D$2:$D$71,MATCH($C867,Products!$A$2:$A$71,0))</f>
        <v>1488</v>
      </c>
      <c r="N867" s="84" t="n">
        <f aca="false">$D867*$M867</f>
        <v>7440</v>
      </c>
      <c r="O867" s="46" t="str">
        <f aca="false">INDEX(Customers!$C$2:$C$101,MATCH($B867,Customers!$A$2:$A$101,0))</f>
        <v>Mehsana</v>
      </c>
      <c r="P867" s="46" t="str">
        <f aca="false">INDEX(Customers!$F$2:$F$101,MATCH($B867,Customers!$A$2:$A$101,0))</f>
        <v>Male</v>
      </c>
      <c r="Q867" s="46" t="str">
        <f aca="false">INDEX(Customers!$B$2:$B$101,MATCH($B867,Customers!$A$2:$A$101,0))</f>
        <v>Siya Talwar</v>
      </c>
      <c r="R867" s="46" t="n">
        <f aca="false">MONTH($E867)</f>
        <v>8</v>
      </c>
      <c r="S867" s="46" t="str">
        <f aca="false">INDEX(Lists!$B$2:$B$13,$R867)</f>
        <v>August</v>
      </c>
      <c r="T867" s="46" t="n">
        <f aca="false">HOUR($F867)</f>
        <v>20</v>
      </c>
      <c r="U867" s="46" t="n">
        <f aca="false">WEEKDAY($E867,2)</f>
        <v>4</v>
      </c>
      <c r="V867" s="46" t="str">
        <f aca="false">INDEX(Lists!$F$2:$F$8,$U867)</f>
        <v>Thursday</v>
      </c>
      <c r="W867" s="85" t="n">
        <f aca="false">($G867+$H867)-($E867+$F867)</f>
        <v>0.497268518518519</v>
      </c>
      <c r="X867" s="46" t="str">
        <f aca="false">LOOKUP($M867,Lists!$G$2:$G$5,Lists!$H$2:$H$5)</f>
        <v>₹1,000 - 1,499</v>
      </c>
      <c r="Y867" s="46" t="str">
        <f aca="false">LOOKUP($W867,Lists!$I$2:$I$7,Lists!$J$2:$J$7)</f>
        <v>0 - 2 days</v>
      </c>
    </row>
    <row r="868" customFormat="false" ht="15" hidden="false" customHeight="false" outlineLevel="0" collapsed="false">
      <c r="A868" s="7" t="n">
        <v>867</v>
      </c>
      <c r="B868" s="7" t="s">
        <v>161</v>
      </c>
      <c r="C868" s="7" t="n">
        <v>48</v>
      </c>
      <c r="D868" s="7" t="n">
        <v>1</v>
      </c>
      <c r="E868" s="77" t="n">
        <v>45232</v>
      </c>
      <c r="F868" s="78" t="n">
        <v>0.515347222222222</v>
      </c>
      <c r="G868" s="77" t="n">
        <v>45234</v>
      </c>
      <c r="H868" s="78" t="n">
        <v>0.21443287037037</v>
      </c>
      <c r="I868" s="7" t="s">
        <v>403</v>
      </c>
      <c r="J868" s="7" t="s">
        <v>32</v>
      </c>
      <c r="K868" s="79" t="str">
        <f aca="false">INDEX(Products!$B$2:$B$71,MATCH($C868,Products!$A$2:$A$71,0))</f>
        <v>Maiores Gift</v>
      </c>
      <c r="L868" s="79" t="str">
        <f aca="false">INDEX(Products!$C$2:$C$71,MATCH($C868,Products!$A$2:$A$71,0))</f>
        <v>Colors</v>
      </c>
      <c r="M868" s="80" t="n">
        <f aca="false">INDEX(Products!$D$2:$D$71,MATCH($C868,Products!$A$2:$A$71,0))</f>
        <v>433</v>
      </c>
      <c r="N868" s="80" t="n">
        <f aca="false">$D868*$M868</f>
        <v>433</v>
      </c>
      <c r="O868" s="79" t="str">
        <f aca="false">INDEX(Customers!$C$2:$C$101,MATCH($B868,Customers!$A$2:$A$101,0))</f>
        <v>Panvel</v>
      </c>
      <c r="P868" s="79" t="str">
        <f aca="false">INDEX(Customers!$F$2:$F$101,MATCH($B868,Customers!$A$2:$A$101,0))</f>
        <v>Female</v>
      </c>
      <c r="Q868" s="79" t="str">
        <f aca="false">INDEX(Customers!$B$2:$B$101,MATCH($B868,Customers!$A$2:$A$101,0))</f>
        <v>Indrans Shukla</v>
      </c>
      <c r="R868" s="79" t="n">
        <f aca="false">MONTH($E868)</f>
        <v>11</v>
      </c>
      <c r="S868" s="79" t="str">
        <f aca="false">INDEX(Lists!$B$2:$B$13,$R868)</f>
        <v>November</v>
      </c>
      <c r="T868" s="79" t="n">
        <f aca="false">HOUR($F868)</f>
        <v>12</v>
      </c>
      <c r="U868" s="79" t="n">
        <f aca="false">WEEKDAY($E868,2)</f>
        <v>4</v>
      </c>
      <c r="V868" s="79" t="str">
        <f aca="false">INDEX(Lists!$F$2:$F$8,$U868)</f>
        <v>Thursday</v>
      </c>
      <c r="W868" s="81" t="n">
        <f aca="false">($G868+$H868)-($E868+$F868)</f>
        <v>1.69908564814815</v>
      </c>
      <c r="X868" s="79" t="str">
        <f aca="false">LOOKUP($M868,Lists!$G$2:$G$5,Lists!$H$2:$H$5)</f>
        <v>₹0 - 499</v>
      </c>
      <c r="Y868" s="79" t="str">
        <f aca="false">LOOKUP($W868,Lists!$I$2:$I$7,Lists!$J$2:$J$7)</f>
        <v>0 - 2 days</v>
      </c>
    </row>
    <row r="869" customFormat="false" ht="15" hidden="false" customHeight="false" outlineLevel="0" collapsed="false">
      <c r="A869" s="2" t="n">
        <v>868</v>
      </c>
      <c r="B869" s="2" t="s">
        <v>390</v>
      </c>
      <c r="C869" s="2" t="n">
        <v>32</v>
      </c>
      <c r="D869" s="2" t="n">
        <v>1</v>
      </c>
      <c r="E869" s="82" t="n">
        <v>45160</v>
      </c>
      <c r="F869" s="83" t="n">
        <v>0.0425578703703704</v>
      </c>
      <c r="G869" s="82" t="n">
        <v>45168</v>
      </c>
      <c r="H869" s="83" t="n">
        <v>0.423055555555556</v>
      </c>
      <c r="I869" s="2" t="s">
        <v>175</v>
      </c>
      <c r="J869" s="2" t="s">
        <v>31</v>
      </c>
      <c r="K869" s="46" t="str">
        <f aca="false">INDEX(Products!$B$2:$B$71,MATCH($C869,Products!$A$2:$A$71,0))</f>
        <v>Fuga Set</v>
      </c>
      <c r="L869" s="46" t="str">
        <f aca="false">INDEX(Products!$C$2:$C$71,MATCH($C869,Products!$A$2:$A$71,0))</f>
        <v>Soft Toys</v>
      </c>
      <c r="M869" s="84" t="n">
        <f aca="false">INDEX(Products!$D$2:$D$71,MATCH($C869,Products!$A$2:$A$71,0))</f>
        <v>1792</v>
      </c>
      <c r="N869" s="84" t="n">
        <f aca="false">$D869*$M869</f>
        <v>1792</v>
      </c>
      <c r="O869" s="46" t="str">
        <f aca="false">INDEX(Customers!$C$2:$C$101,MATCH($B869,Customers!$A$2:$A$101,0))</f>
        <v>Dhanbad</v>
      </c>
      <c r="P869" s="46" t="str">
        <f aca="false">INDEX(Customers!$F$2:$F$101,MATCH($B869,Customers!$A$2:$A$101,0))</f>
        <v>Female</v>
      </c>
      <c r="Q869" s="46" t="str">
        <f aca="false">INDEX(Customers!$B$2:$B$101,MATCH($B869,Customers!$A$2:$A$101,0))</f>
        <v>Ranbir Loyal</v>
      </c>
      <c r="R869" s="46" t="n">
        <f aca="false">MONTH($E869)</f>
        <v>8</v>
      </c>
      <c r="S869" s="46" t="str">
        <f aca="false">INDEX(Lists!$B$2:$B$13,$R869)</f>
        <v>August</v>
      </c>
      <c r="T869" s="46" t="n">
        <f aca="false">HOUR($F869)</f>
        <v>1</v>
      </c>
      <c r="U869" s="46" t="n">
        <f aca="false">WEEKDAY($E869,2)</f>
        <v>2</v>
      </c>
      <c r="V869" s="46" t="str">
        <f aca="false">INDEX(Lists!$F$2:$F$8,$U869)</f>
        <v>Tuesday</v>
      </c>
      <c r="W869" s="85" t="n">
        <f aca="false">($G869+$H869)-($E869+$F869)</f>
        <v>8.38049768518519</v>
      </c>
      <c r="X869" s="46" t="str">
        <f aca="false">LOOKUP($M869,Lists!$G$2:$G$5,Lists!$H$2:$H$5)</f>
        <v>₹1,500 - 2,000</v>
      </c>
      <c r="Y869" s="46" t="str">
        <f aca="false">LOOKUP($W869,Lists!$I$2:$I$7,Lists!$J$2:$J$7)</f>
        <v>8 - 10 days</v>
      </c>
    </row>
    <row r="870" customFormat="false" ht="15" hidden="false" customHeight="false" outlineLevel="0" collapsed="false">
      <c r="A870" s="7" t="n">
        <v>869</v>
      </c>
      <c r="B870" s="7" t="s">
        <v>202</v>
      </c>
      <c r="C870" s="7" t="n">
        <v>3</v>
      </c>
      <c r="D870" s="7" t="n">
        <v>5</v>
      </c>
      <c r="E870" s="77" t="n">
        <v>44963</v>
      </c>
      <c r="F870" s="78" t="n">
        <v>0.418969907407407</v>
      </c>
      <c r="G870" s="77" t="n">
        <v>44968</v>
      </c>
      <c r="H870" s="78" t="n">
        <v>0.969768518518519</v>
      </c>
      <c r="I870" s="7" t="s">
        <v>408</v>
      </c>
      <c r="J870" s="7" t="s">
        <v>179</v>
      </c>
      <c r="K870" s="79" t="str">
        <f aca="false">INDEX(Products!$B$2:$B$71,MATCH($C870,Products!$A$2:$A$71,0))</f>
        <v>Eius Gift</v>
      </c>
      <c r="L870" s="79" t="str">
        <f aca="false">INDEX(Products!$C$2:$C$71,MATCH($C870,Products!$A$2:$A$71,0))</f>
        <v>Colors</v>
      </c>
      <c r="M870" s="80" t="n">
        <f aca="false">INDEX(Products!$D$2:$D$71,MATCH($C870,Products!$A$2:$A$71,0))</f>
        <v>1534</v>
      </c>
      <c r="N870" s="80" t="n">
        <f aca="false">$D870*$M870</f>
        <v>7670</v>
      </c>
      <c r="O870" s="79" t="str">
        <f aca="false">INDEX(Customers!$C$2:$C$101,MATCH($B870,Customers!$A$2:$A$101,0))</f>
        <v>Surat</v>
      </c>
      <c r="P870" s="79" t="str">
        <f aca="false">INDEX(Customers!$F$2:$F$101,MATCH($B870,Customers!$A$2:$A$101,0))</f>
        <v>Male</v>
      </c>
      <c r="Q870" s="79" t="str">
        <f aca="false">INDEX(Customers!$B$2:$B$101,MATCH($B870,Customers!$A$2:$A$101,0))</f>
        <v>Mannat Anand</v>
      </c>
      <c r="R870" s="79" t="n">
        <f aca="false">MONTH($E870)</f>
        <v>2</v>
      </c>
      <c r="S870" s="79" t="str">
        <f aca="false">INDEX(Lists!$B$2:$B$13,$R870)</f>
        <v>February</v>
      </c>
      <c r="T870" s="79" t="n">
        <f aca="false">HOUR($F870)</f>
        <v>10</v>
      </c>
      <c r="U870" s="79" t="n">
        <f aca="false">WEEKDAY($E870,2)</f>
        <v>1</v>
      </c>
      <c r="V870" s="79" t="str">
        <f aca="false">INDEX(Lists!$F$2:$F$8,$U870)</f>
        <v>Monday</v>
      </c>
      <c r="W870" s="81" t="n">
        <f aca="false">($G870+$H870)-($E870+$F870)</f>
        <v>5.55079861111111</v>
      </c>
      <c r="X870" s="79" t="str">
        <f aca="false">LOOKUP($M870,Lists!$G$2:$G$5,Lists!$H$2:$H$5)</f>
        <v>₹1,500 - 2,000</v>
      </c>
      <c r="Y870" s="79" t="str">
        <f aca="false">LOOKUP($W870,Lists!$I$2:$I$7,Lists!$J$2:$J$7)</f>
        <v>4 - 6 days</v>
      </c>
    </row>
    <row r="871" customFormat="false" ht="15" hidden="false" customHeight="false" outlineLevel="0" collapsed="false">
      <c r="A871" s="2" t="n">
        <v>870</v>
      </c>
      <c r="B871" s="2" t="s">
        <v>172</v>
      </c>
      <c r="C871" s="2" t="n">
        <v>43</v>
      </c>
      <c r="D871" s="2" t="n">
        <v>5</v>
      </c>
      <c r="E871" s="82" t="n">
        <v>45235</v>
      </c>
      <c r="F871" s="83" t="n">
        <v>0.634560185185185</v>
      </c>
      <c r="G871" s="82" t="n">
        <v>45237</v>
      </c>
      <c r="H871" s="83" t="n">
        <v>0.284479166666667</v>
      </c>
      <c r="I871" s="2" t="s">
        <v>518</v>
      </c>
      <c r="J871" s="2" t="s">
        <v>32</v>
      </c>
      <c r="K871" s="46" t="str">
        <f aca="false">INDEX(Products!$B$2:$B$71,MATCH($C871,Products!$A$2:$A$71,0))</f>
        <v>Quisquam Pack</v>
      </c>
      <c r="L871" s="46" t="str">
        <f aca="false">INDEX(Products!$C$2:$C$71,MATCH($C871,Products!$A$2:$A$71,0))</f>
        <v>Raksha Bandhan</v>
      </c>
      <c r="M871" s="84" t="n">
        <f aca="false">INDEX(Products!$D$2:$D$71,MATCH($C871,Products!$A$2:$A$71,0))</f>
        <v>750</v>
      </c>
      <c r="N871" s="84" t="n">
        <f aca="false">$D871*$M871</f>
        <v>3750</v>
      </c>
      <c r="O871" s="46" t="str">
        <f aca="false">INDEX(Customers!$C$2:$C$101,MATCH($B871,Customers!$A$2:$A$101,0))</f>
        <v>Nizamabad</v>
      </c>
      <c r="P871" s="46" t="str">
        <f aca="false">INDEX(Customers!$F$2:$F$101,MATCH($B871,Customers!$A$2:$A$101,0))</f>
        <v>Male</v>
      </c>
      <c r="Q871" s="46" t="str">
        <f aca="false">INDEX(Customers!$B$2:$B$101,MATCH($B871,Customers!$A$2:$A$101,0))</f>
        <v>Eva Vaidya</v>
      </c>
      <c r="R871" s="46" t="n">
        <f aca="false">MONTH($E871)</f>
        <v>11</v>
      </c>
      <c r="S871" s="46" t="str">
        <f aca="false">INDEX(Lists!$B$2:$B$13,$R871)</f>
        <v>November</v>
      </c>
      <c r="T871" s="46" t="n">
        <f aca="false">HOUR($F871)</f>
        <v>15</v>
      </c>
      <c r="U871" s="46" t="n">
        <f aca="false">WEEKDAY($E871,2)</f>
        <v>7</v>
      </c>
      <c r="V871" s="46" t="str">
        <f aca="false">INDEX(Lists!$F$2:$F$8,$U871)</f>
        <v>Sunday</v>
      </c>
      <c r="W871" s="85" t="n">
        <f aca="false">($G871+$H871)-($E871+$F871)</f>
        <v>1.64991898148148</v>
      </c>
      <c r="X871" s="46" t="str">
        <f aca="false">LOOKUP($M871,Lists!$G$2:$G$5,Lists!$H$2:$H$5)</f>
        <v>₹500 - 999</v>
      </c>
      <c r="Y871" s="46" t="str">
        <f aca="false">LOOKUP($W871,Lists!$I$2:$I$7,Lists!$J$2:$J$7)</f>
        <v>0 - 2 days</v>
      </c>
    </row>
    <row r="872" customFormat="false" ht="15" hidden="false" customHeight="false" outlineLevel="0" collapsed="false">
      <c r="A872" s="7" t="n">
        <v>871</v>
      </c>
      <c r="B872" s="7" t="s">
        <v>288</v>
      </c>
      <c r="C872" s="7" t="n">
        <v>15</v>
      </c>
      <c r="D872" s="7" t="n">
        <v>1</v>
      </c>
      <c r="E872" s="77" t="n">
        <v>45088</v>
      </c>
      <c r="F872" s="78" t="n">
        <v>0.253819444444444</v>
      </c>
      <c r="G872" s="77" t="n">
        <v>45092</v>
      </c>
      <c r="H872" s="78" t="n">
        <v>0.87287037037037</v>
      </c>
      <c r="I872" s="7" t="s">
        <v>560</v>
      </c>
      <c r="J872" s="7" t="s">
        <v>168</v>
      </c>
      <c r="K872" s="79" t="str">
        <f aca="false">INDEX(Products!$B$2:$B$71,MATCH($C872,Products!$A$2:$A$71,0))</f>
        <v>Repudiandae Box</v>
      </c>
      <c r="L872" s="79" t="str">
        <f aca="false">INDEX(Products!$C$2:$C$71,MATCH($C872,Products!$A$2:$A$71,0))</f>
        <v>Raksha Bandhan</v>
      </c>
      <c r="M872" s="80" t="n">
        <f aca="false">INDEX(Products!$D$2:$D$71,MATCH($C872,Products!$A$2:$A$71,0))</f>
        <v>1488</v>
      </c>
      <c r="N872" s="80" t="n">
        <f aca="false">$D872*$M872</f>
        <v>1488</v>
      </c>
      <c r="O872" s="79" t="str">
        <f aca="false">INDEX(Customers!$C$2:$C$101,MATCH($B872,Customers!$A$2:$A$101,0))</f>
        <v>Nagpur</v>
      </c>
      <c r="P872" s="79" t="str">
        <f aca="false">INDEX(Customers!$F$2:$F$101,MATCH($B872,Customers!$A$2:$A$101,0))</f>
        <v>Male</v>
      </c>
      <c r="Q872" s="79" t="str">
        <f aca="false">INDEX(Customers!$B$2:$B$101,MATCH($B872,Customers!$A$2:$A$101,0))</f>
        <v>Inaaya  Sarraf</v>
      </c>
      <c r="R872" s="79" t="n">
        <f aca="false">MONTH($E872)</f>
        <v>6</v>
      </c>
      <c r="S872" s="79" t="str">
        <f aca="false">INDEX(Lists!$B$2:$B$13,$R872)</f>
        <v>June</v>
      </c>
      <c r="T872" s="79" t="n">
        <f aca="false">HOUR($F872)</f>
        <v>6</v>
      </c>
      <c r="U872" s="79" t="n">
        <f aca="false">WEEKDAY($E872,2)</f>
        <v>7</v>
      </c>
      <c r="V872" s="79" t="str">
        <f aca="false">INDEX(Lists!$F$2:$F$8,$U872)</f>
        <v>Sunday</v>
      </c>
      <c r="W872" s="81" t="n">
        <f aca="false">($G872+$H872)-($E872+$F872)</f>
        <v>4.61905092592593</v>
      </c>
      <c r="X872" s="79" t="str">
        <f aca="false">LOOKUP($M872,Lists!$G$2:$G$5,Lists!$H$2:$H$5)</f>
        <v>₹1,000 - 1,499</v>
      </c>
      <c r="Y872" s="79" t="str">
        <f aca="false">LOOKUP($W872,Lists!$I$2:$I$7,Lists!$J$2:$J$7)</f>
        <v>4 - 6 days</v>
      </c>
    </row>
    <row r="873" customFormat="false" ht="15" hidden="false" customHeight="false" outlineLevel="0" collapsed="false">
      <c r="A873" s="2" t="n">
        <v>872</v>
      </c>
      <c r="B873" s="2" t="s">
        <v>377</v>
      </c>
      <c r="C873" s="2" t="n">
        <v>13</v>
      </c>
      <c r="D873" s="2" t="n">
        <v>2</v>
      </c>
      <c r="E873" s="82" t="n">
        <v>44990</v>
      </c>
      <c r="F873" s="83" t="n">
        <v>0.852743055555556</v>
      </c>
      <c r="G873" s="82" t="n">
        <v>44995</v>
      </c>
      <c r="H873" s="83" t="n">
        <v>0.0641550925925926</v>
      </c>
      <c r="I873" s="2" t="s">
        <v>284</v>
      </c>
      <c r="J873" s="2" t="s">
        <v>33</v>
      </c>
      <c r="K873" s="46" t="str">
        <f aca="false">INDEX(Products!$B$2:$B$71,MATCH($C873,Products!$A$2:$A$71,0))</f>
        <v>Et Set</v>
      </c>
      <c r="L873" s="46" t="str">
        <f aca="false">INDEX(Products!$C$2:$C$71,MATCH($C873,Products!$A$2:$A$71,0))</f>
        <v>Mugs</v>
      </c>
      <c r="M873" s="84" t="n">
        <f aca="false">INDEX(Products!$D$2:$D$71,MATCH($C873,Products!$A$2:$A$71,0))</f>
        <v>1141</v>
      </c>
      <c r="N873" s="84" t="n">
        <f aca="false">$D873*$M873</f>
        <v>2282</v>
      </c>
      <c r="O873" s="46" t="str">
        <f aca="false">INDEX(Customers!$C$2:$C$101,MATCH($B873,Customers!$A$2:$A$101,0))</f>
        <v>Deoghar</v>
      </c>
      <c r="P873" s="46" t="str">
        <f aca="false">INDEX(Customers!$F$2:$F$101,MATCH($B873,Customers!$A$2:$A$101,0))</f>
        <v>Female</v>
      </c>
      <c r="Q873" s="46" t="str">
        <f aca="false">INDEX(Customers!$B$2:$B$101,MATCH($B873,Customers!$A$2:$A$101,0))</f>
        <v>Raghav Babu</v>
      </c>
      <c r="R873" s="46" t="n">
        <f aca="false">MONTH($E873)</f>
        <v>3</v>
      </c>
      <c r="S873" s="46" t="str">
        <f aca="false">INDEX(Lists!$B$2:$B$13,$R873)</f>
        <v>March</v>
      </c>
      <c r="T873" s="46" t="n">
        <f aca="false">HOUR($F873)</f>
        <v>20</v>
      </c>
      <c r="U873" s="46" t="n">
        <f aca="false">WEEKDAY($E873,2)</f>
        <v>7</v>
      </c>
      <c r="V873" s="46" t="str">
        <f aca="false">INDEX(Lists!$F$2:$F$8,$U873)</f>
        <v>Sunday</v>
      </c>
      <c r="W873" s="85" t="n">
        <f aca="false">($G873+$H873)-($E873+$F873)</f>
        <v>4.21141203703704</v>
      </c>
      <c r="X873" s="46" t="str">
        <f aca="false">LOOKUP($M873,Lists!$G$2:$G$5,Lists!$H$2:$H$5)</f>
        <v>₹1,000 - 1,499</v>
      </c>
      <c r="Y873" s="46" t="str">
        <f aca="false">LOOKUP($W873,Lists!$I$2:$I$7,Lists!$J$2:$J$7)</f>
        <v>4 - 6 days</v>
      </c>
    </row>
    <row r="874" customFormat="false" ht="15" hidden="false" customHeight="false" outlineLevel="0" collapsed="false">
      <c r="A874" s="7" t="n">
        <v>873</v>
      </c>
      <c r="B874" s="7" t="s">
        <v>192</v>
      </c>
      <c r="C874" s="7" t="n">
        <v>64</v>
      </c>
      <c r="D874" s="7" t="n">
        <v>4</v>
      </c>
      <c r="E874" s="77" t="n">
        <v>45164</v>
      </c>
      <c r="F874" s="78" t="n">
        <v>0.45625</v>
      </c>
      <c r="G874" s="77" t="n">
        <v>45174</v>
      </c>
      <c r="H874" s="78" t="n">
        <v>0.6565625</v>
      </c>
      <c r="I874" s="7" t="s">
        <v>504</v>
      </c>
      <c r="J874" s="7" t="s">
        <v>40</v>
      </c>
      <c r="K874" s="79" t="str">
        <f aca="false">INDEX(Products!$B$2:$B$71,MATCH($C874,Products!$A$2:$A$71,0))</f>
        <v>Nostrum Box</v>
      </c>
      <c r="L874" s="79" t="str">
        <f aca="false">INDEX(Products!$C$2:$C$71,MATCH($C874,Products!$A$2:$A$71,0))</f>
        <v>Soft Toys</v>
      </c>
      <c r="M874" s="80" t="n">
        <f aca="false">INDEX(Products!$D$2:$D$71,MATCH($C874,Products!$A$2:$A$71,0))</f>
        <v>1878</v>
      </c>
      <c r="N874" s="80" t="n">
        <f aca="false">$D874*$M874</f>
        <v>7512</v>
      </c>
      <c r="O874" s="79" t="str">
        <f aca="false">INDEX(Customers!$C$2:$C$101,MATCH($B874,Customers!$A$2:$A$101,0))</f>
        <v>Serampore</v>
      </c>
      <c r="P874" s="79" t="str">
        <f aca="false">INDEX(Customers!$F$2:$F$101,MATCH($B874,Customers!$A$2:$A$101,0))</f>
        <v>Female</v>
      </c>
      <c r="Q874" s="79" t="str">
        <f aca="false">INDEX(Customers!$B$2:$B$101,MATCH($B874,Customers!$A$2:$A$101,0))</f>
        <v>Kashvi Sur</v>
      </c>
      <c r="R874" s="79" t="n">
        <f aca="false">MONTH($E874)</f>
        <v>8</v>
      </c>
      <c r="S874" s="79" t="str">
        <f aca="false">INDEX(Lists!$B$2:$B$13,$R874)</f>
        <v>August</v>
      </c>
      <c r="T874" s="79" t="n">
        <f aca="false">HOUR($F874)</f>
        <v>10</v>
      </c>
      <c r="U874" s="79" t="n">
        <f aca="false">WEEKDAY($E874,2)</f>
        <v>6</v>
      </c>
      <c r="V874" s="79" t="str">
        <f aca="false">INDEX(Lists!$F$2:$F$8,$U874)</f>
        <v>Saturday</v>
      </c>
      <c r="W874" s="81" t="n">
        <f aca="false">($G874+$H874)-($E874+$F874)</f>
        <v>10.2003125</v>
      </c>
      <c r="X874" s="79" t="str">
        <f aca="false">LOOKUP($M874,Lists!$G$2:$G$5,Lists!$H$2:$H$5)</f>
        <v>₹1,500 - 2,000</v>
      </c>
      <c r="Y874" s="79" t="str">
        <f aca="false">LOOKUP($W874,Lists!$I$2:$I$7,Lists!$J$2:$J$7)</f>
        <v>Over 10 days</v>
      </c>
    </row>
    <row r="875" customFormat="false" ht="15" hidden="false" customHeight="false" outlineLevel="0" collapsed="false">
      <c r="A875" s="2" t="n">
        <v>874</v>
      </c>
      <c r="B875" s="2" t="s">
        <v>151</v>
      </c>
      <c r="C875" s="2" t="n">
        <v>68</v>
      </c>
      <c r="D875" s="2" t="n">
        <v>1</v>
      </c>
      <c r="E875" s="82" t="n">
        <v>44968</v>
      </c>
      <c r="F875" s="83" t="n">
        <v>0.529513888888889</v>
      </c>
      <c r="G875" s="82" t="n">
        <v>44978</v>
      </c>
      <c r="H875" s="83" t="n">
        <v>0.733148148148148</v>
      </c>
      <c r="I875" s="2" t="s">
        <v>541</v>
      </c>
      <c r="J875" s="2" t="s">
        <v>179</v>
      </c>
      <c r="K875" s="46" t="str">
        <f aca="false">INDEX(Products!$B$2:$B$71,MATCH($C875,Products!$A$2:$A$71,0))</f>
        <v>Quas Gift</v>
      </c>
      <c r="L875" s="46" t="str">
        <f aca="false">INDEX(Products!$C$2:$C$71,MATCH($C875,Products!$A$2:$A$71,0))</f>
        <v>Soft Toys</v>
      </c>
      <c r="M875" s="84" t="n">
        <f aca="false">INDEX(Products!$D$2:$D$71,MATCH($C875,Products!$A$2:$A$71,0))</f>
        <v>597</v>
      </c>
      <c r="N875" s="84" t="n">
        <f aca="false">$D875*$M875</f>
        <v>597</v>
      </c>
      <c r="O875" s="46" t="str">
        <f aca="false">INDEX(Customers!$C$2:$C$101,MATCH($B875,Customers!$A$2:$A$101,0))</f>
        <v>Kanpur</v>
      </c>
      <c r="P875" s="46" t="str">
        <f aca="false">INDEX(Customers!$F$2:$F$101,MATCH($B875,Customers!$A$2:$A$101,0))</f>
        <v>Male</v>
      </c>
      <c r="Q875" s="46" t="str">
        <f aca="false">INDEX(Customers!$B$2:$B$101,MATCH($B875,Customers!$A$2:$A$101,0))</f>
        <v>Darshit Dave</v>
      </c>
      <c r="R875" s="46" t="n">
        <f aca="false">MONTH($E875)</f>
        <v>2</v>
      </c>
      <c r="S875" s="46" t="str">
        <f aca="false">INDEX(Lists!$B$2:$B$13,$R875)</f>
        <v>February</v>
      </c>
      <c r="T875" s="46" t="n">
        <f aca="false">HOUR($F875)</f>
        <v>12</v>
      </c>
      <c r="U875" s="46" t="n">
        <f aca="false">WEEKDAY($E875,2)</f>
        <v>6</v>
      </c>
      <c r="V875" s="46" t="str">
        <f aca="false">INDEX(Lists!$F$2:$F$8,$U875)</f>
        <v>Saturday</v>
      </c>
      <c r="W875" s="85" t="n">
        <f aca="false">($G875+$H875)-($E875+$F875)</f>
        <v>10.2036342592593</v>
      </c>
      <c r="X875" s="46" t="str">
        <f aca="false">LOOKUP($M875,Lists!$G$2:$G$5,Lists!$H$2:$H$5)</f>
        <v>₹500 - 999</v>
      </c>
      <c r="Y875" s="46" t="str">
        <f aca="false">LOOKUP($W875,Lists!$I$2:$I$7,Lists!$J$2:$J$7)</f>
        <v>Over 10 days</v>
      </c>
    </row>
    <row r="876" customFormat="false" ht="15" hidden="false" customHeight="false" outlineLevel="0" collapsed="false">
      <c r="A876" s="7" t="n">
        <v>875</v>
      </c>
      <c r="B876" s="7" t="s">
        <v>154</v>
      </c>
      <c r="C876" s="7" t="n">
        <v>13</v>
      </c>
      <c r="D876" s="7" t="n">
        <v>1</v>
      </c>
      <c r="E876" s="77" t="n">
        <v>44990</v>
      </c>
      <c r="F876" s="78" t="n">
        <v>0.890636574074074</v>
      </c>
      <c r="G876" s="77" t="n">
        <v>44999</v>
      </c>
      <c r="H876" s="78" t="n">
        <v>0.831782407407407</v>
      </c>
      <c r="I876" s="7" t="s">
        <v>533</v>
      </c>
      <c r="J876" s="7" t="s">
        <v>33</v>
      </c>
      <c r="K876" s="79" t="str">
        <f aca="false">INDEX(Products!$B$2:$B$71,MATCH($C876,Products!$A$2:$A$71,0))</f>
        <v>Et Set</v>
      </c>
      <c r="L876" s="79" t="str">
        <f aca="false">INDEX(Products!$C$2:$C$71,MATCH($C876,Products!$A$2:$A$71,0))</f>
        <v>Mugs</v>
      </c>
      <c r="M876" s="80" t="n">
        <f aca="false">INDEX(Products!$D$2:$D$71,MATCH($C876,Products!$A$2:$A$71,0))</f>
        <v>1141</v>
      </c>
      <c r="N876" s="80" t="n">
        <f aca="false">$D876*$M876</f>
        <v>1141</v>
      </c>
      <c r="O876" s="79" t="str">
        <f aca="false">INDEX(Customers!$C$2:$C$101,MATCH($B876,Customers!$A$2:$A$101,0))</f>
        <v>Orai</v>
      </c>
      <c r="P876" s="79" t="str">
        <f aca="false">INDEX(Customers!$F$2:$F$101,MATCH($B876,Customers!$A$2:$A$101,0))</f>
        <v>Female</v>
      </c>
      <c r="Q876" s="79" t="str">
        <f aca="false">INDEX(Customers!$B$2:$B$101,MATCH($B876,Customers!$A$2:$A$101,0))</f>
        <v>Lagan Kapoor</v>
      </c>
      <c r="R876" s="79" t="n">
        <f aca="false">MONTH($E876)</f>
        <v>3</v>
      </c>
      <c r="S876" s="79" t="str">
        <f aca="false">INDEX(Lists!$B$2:$B$13,$R876)</f>
        <v>March</v>
      </c>
      <c r="T876" s="79" t="n">
        <f aca="false">HOUR($F876)</f>
        <v>21</v>
      </c>
      <c r="U876" s="79" t="n">
        <f aca="false">WEEKDAY($E876,2)</f>
        <v>7</v>
      </c>
      <c r="V876" s="79" t="str">
        <f aca="false">INDEX(Lists!$F$2:$F$8,$U876)</f>
        <v>Sunday</v>
      </c>
      <c r="W876" s="81" t="n">
        <f aca="false">($G876+$H876)-($E876+$F876)</f>
        <v>8.94114583333333</v>
      </c>
      <c r="X876" s="79" t="str">
        <f aca="false">LOOKUP($M876,Lists!$G$2:$G$5,Lists!$H$2:$H$5)</f>
        <v>₹1,000 - 1,499</v>
      </c>
      <c r="Y876" s="79" t="str">
        <f aca="false">LOOKUP($W876,Lists!$I$2:$I$7,Lists!$J$2:$J$7)</f>
        <v>8 - 10 days</v>
      </c>
    </row>
    <row r="877" customFormat="false" ht="15" hidden="false" customHeight="false" outlineLevel="0" collapsed="false">
      <c r="A877" s="2" t="n">
        <v>876</v>
      </c>
      <c r="B877" s="2" t="s">
        <v>167</v>
      </c>
      <c r="C877" s="2" t="n">
        <v>4</v>
      </c>
      <c r="D877" s="2" t="n">
        <v>4</v>
      </c>
      <c r="E877" s="82" t="n">
        <v>45236</v>
      </c>
      <c r="F877" s="83" t="n">
        <v>0.401805555555556</v>
      </c>
      <c r="G877" s="82" t="n">
        <v>45244</v>
      </c>
      <c r="H877" s="83" t="n">
        <v>0.866481481481482</v>
      </c>
      <c r="I877" s="2" t="s">
        <v>438</v>
      </c>
      <c r="J877" s="2" t="s">
        <v>32</v>
      </c>
      <c r="K877" s="46" t="str">
        <f aca="false">INDEX(Products!$B$2:$B$71,MATCH($C877,Products!$A$2:$A$71,0))</f>
        <v>Accusantium Set</v>
      </c>
      <c r="L877" s="46" t="str">
        <f aca="false">INDEX(Products!$C$2:$C$71,MATCH($C877,Products!$A$2:$A$71,0))</f>
        <v>Sweets</v>
      </c>
      <c r="M877" s="84" t="n">
        <f aca="false">INDEX(Products!$D$2:$D$71,MATCH($C877,Products!$A$2:$A$71,0))</f>
        <v>1199</v>
      </c>
      <c r="N877" s="84" t="n">
        <f aca="false">$D877*$M877</f>
        <v>4796</v>
      </c>
      <c r="O877" s="46" t="str">
        <f aca="false">INDEX(Customers!$C$2:$C$101,MATCH($B877,Customers!$A$2:$A$101,0))</f>
        <v>Tenali</v>
      </c>
      <c r="P877" s="46" t="str">
        <f aca="false">INDEX(Customers!$F$2:$F$101,MATCH($B877,Customers!$A$2:$A$101,0))</f>
        <v>Male</v>
      </c>
      <c r="Q877" s="46" t="str">
        <f aca="false">INDEX(Customers!$B$2:$B$101,MATCH($B877,Customers!$A$2:$A$101,0))</f>
        <v>Amani Ganesh</v>
      </c>
      <c r="R877" s="46" t="n">
        <f aca="false">MONTH($E877)</f>
        <v>11</v>
      </c>
      <c r="S877" s="46" t="str">
        <f aca="false">INDEX(Lists!$B$2:$B$13,$R877)</f>
        <v>November</v>
      </c>
      <c r="T877" s="46" t="n">
        <f aca="false">HOUR($F877)</f>
        <v>9</v>
      </c>
      <c r="U877" s="46" t="n">
        <f aca="false">WEEKDAY($E877,2)</f>
        <v>1</v>
      </c>
      <c r="V877" s="46" t="str">
        <f aca="false">INDEX(Lists!$F$2:$F$8,$U877)</f>
        <v>Monday</v>
      </c>
      <c r="W877" s="85" t="n">
        <f aca="false">($G877+$H877)-($E877+$F877)</f>
        <v>8.46467592592593</v>
      </c>
      <c r="X877" s="46" t="str">
        <f aca="false">LOOKUP($M877,Lists!$G$2:$G$5,Lists!$H$2:$H$5)</f>
        <v>₹1,000 - 1,499</v>
      </c>
      <c r="Y877" s="46" t="str">
        <f aca="false">LOOKUP($W877,Lists!$I$2:$I$7,Lists!$J$2:$J$7)</f>
        <v>8 - 10 days</v>
      </c>
    </row>
    <row r="878" customFormat="false" ht="15" hidden="false" customHeight="false" outlineLevel="0" collapsed="false">
      <c r="A878" s="7" t="n">
        <v>877</v>
      </c>
      <c r="B878" s="7" t="s">
        <v>227</v>
      </c>
      <c r="C878" s="7" t="n">
        <v>46</v>
      </c>
      <c r="D878" s="7" t="n">
        <v>5</v>
      </c>
      <c r="E878" s="77" t="n">
        <v>44994</v>
      </c>
      <c r="F878" s="78" t="n">
        <v>0.96962962962963</v>
      </c>
      <c r="G878" s="77" t="n">
        <v>45003</v>
      </c>
      <c r="H878" s="78" t="n">
        <v>0.519027777777778</v>
      </c>
      <c r="I878" s="7" t="s">
        <v>408</v>
      </c>
      <c r="J878" s="7" t="s">
        <v>168</v>
      </c>
      <c r="K878" s="79" t="str">
        <f aca="false">INDEX(Products!$B$2:$B$71,MATCH($C878,Products!$A$2:$A$71,0))</f>
        <v>Pariatur Set</v>
      </c>
      <c r="L878" s="79" t="str">
        <f aca="false">INDEX(Products!$C$2:$C$71,MATCH($C878,Products!$A$2:$A$71,0))</f>
        <v>Cake</v>
      </c>
      <c r="M878" s="80" t="n">
        <f aca="false">INDEX(Products!$D$2:$D$71,MATCH($C878,Products!$A$2:$A$71,0))</f>
        <v>758</v>
      </c>
      <c r="N878" s="80" t="n">
        <f aca="false">$D878*$M878</f>
        <v>3790</v>
      </c>
      <c r="O878" s="79" t="str">
        <f aca="false">INDEX(Customers!$C$2:$C$101,MATCH($B878,Customers!$A$2:$A$101,0))</f>
        <v>Karaikudi</v>
      </c>
      <c r="P878" s="79" t="str">
        <f aca="false">INDEX(Customers!$F$2:$F$101,MATCH($B878,Customers!$A$2:$A$101,0))</f>
        <v>Male</v>
      </c>
      <c r="Q878" s="79" t="str">
        <f aca="false">INDEX(Customers!$B$2:$B$101,MATCH($B878,Customers!$A$2:$A$101,0))</f>
        <v>Rati Dhingra</v>
      </c>
      <c r="R878" s="79" t="n">
        <f aca="false">MONTH($E878)</f>
        <v>3</v>
      </c>
      <c r="S878" s="79" t="str">
        <f aca="false">INDEX(Lists!$B$2:$B$13,$R878)</f>
        <v>March</v>
      </c>
      <c r="T878" s="79" t="n">
        <f aca="false">HOUR($F878)</f>
        <v>23</v>
      </c>
      <c r="U878" s="79" t="n">
        <f aca="false">WEEKDAY($E878,2)</f>
        <v>4</v>
      </c>
      <c r="V878" s="79" t="str">
        <f aca="false">INDEX(Lists!$F$2:$F$8,$U878)</f>
        <v>Thursday</v>
      </c>
      <c r="W878" s="81" t="n">
        <f aca="false">($G878+$H878)-($E878+$F878)</f>
        <v>8.54939814814815</v>
      </c>
      <c r="X878" s="79" t="str">
        <f aca="false">LOOKUP($M878,Lists!$G$2:$G$5,Lists!$H$2:$H$5)</f>
        <v>₹500 - 999</v>
      </c>
      <c r="Y878" s="79" t="str">
        <f aca="false">LOOKUP($W878,Lists!$I$2:$I$7,Lists!$J$2:$J$7)</f>
        <v>8 - 10 days</v>
      </c>
    </row>
    <row r="879" customFormat="false" ht="15" hidden="false" customHeight="false" outlineLevel="0" collapsed="false">
      <c r="A879" s="2" t="n">
        <v>878</v>
      </c>
      <c r="B879" s="2" t="s">
        <v>275</v>
      </c>
      <c r="C879" s="2" t="n">
        <v>4</v>
      </c>
      <c r="D879" s="2" t="n">
        <v>2</v>
      </c>
      <c r="E879" s="82" t="n">
        <v>45240</v>
      </c>
      <c r="F879" s="83" t="n">
        <v>0.692349537037037</v>
      </c>
      <c r="G879" s="82" t="n">
        <v>45249</v>
      </c>
      <c r="H879" s="83" t="n">
        <v>0.698310185185185</v>
      </c>
      <c r="I879" s="2" t="s">
        <v>569</v>
      </c>
      <c r="J879" s="2" t="s">
        <v>32</v>
      </c>
      <c r="K879" s="46" t="str">
        <f aca="false">INDEX(Products!$B$2:$B$71,MATCH($C879,Products!$A$2:$A$71,0))</f>
        <v>Accusantium Set</v>
      </c>
      <c r="L879" s="46" t="str">
        <f aca="false">INDEX(Products!$C$2:$C$71,MATCH($C879,Products!$A$2:$A$71,0))</f>
        <v>Sweets</v>
      </c>
      <c r="M879" s="84" t="n">
        <f aca="false">INDEX(Products!$D$2:$D$71,MATCH($C879,Products!$A$2:$A$71,0))</f>
        <v>1199</v>
      </c>
      <c r="N879" s="84" t="n">
        <f aca="false">$D879*$M879</f>
        <v>2398</v>
      </c>
      <c r="O879" s="46" t="str">
        <f aca="false">INDEX(Customers!$C$2:$C$101,MATCH($B879,Customers!$A$2:$A$101,0))</f>
        <v>Delhi</v>
      </c>
      <c r="P879" s="46" t="str">
        <f aca="false">INDEX(Customers!$F$2:$F$101,MATCH($B879,Customers!$A$2:$A$101,0))</f>
        <v>Female</v>
      </c>
      <c r="Q879" s="46" t="str">
        <f aca="false">INDEX(Customers!$B$2:$B$101,MATCH($B879,Customers!$A$2:$A$101,0))</f>
        <v>Zain Hegde</v>
      </c>
      <c r="R879" s="46" t="n">
        <f aca="false">MONTH($E879)</f>
        <v>11</v>
      </c>
      <c r="S879" s="46" t="str">
        <f aca="false">INDEX(Lists!$B$2:$B$13,$R879)</f>
        <v>November</v>
      </c>
      <c r="T879" s="46" t="n">
        <f aca="false">HOUR($F879)</f>
        <v>16</v>
      </c>
      <c r="U879" s="46" t="n">
        <f aca="false">WEEKDAY($E879,2)</f>
        <v>5</v>
      </c>
      <c r="V879" s="46" t="str">
        <f aca="false">INDEX(Lists!$F$2:$F$8,$U879)</f>
        <v>Friday</v>
      </c>
      <c r="W879" s="85" t="n">
        <f aca="false">($G879+$H879)-($E879+$F879)</f>
        <v>9.00596064814815</v>
      </c>
      <c r="X879" s="46" t="str">
        <f aca="false">LOOKUP($M879,Lists!$G$2:$G$5,Lists!$H$2:$H$5)</f>
        <v>₹1,000 - 1,499</v>
      </c>
      <c r="Y879" s="46" t="str">
        <f aca="false">LOOKUP($W879,Lists!$I$2:$I$7,Lists!$J$2:$J$7)</f>
        <v>8 - 10 days</v>
      </c>
    </row>
    <row r="880" customFormat="false" ht="15" hidden="false" customHeight="false" outlineLevel="0" collapsed="false">
      <c r="A880" s="7" t="n">
        <v>879</v>
      </c>
      <c r="B880" s="7" t="s">
        <v>372</v>
      </c>
      <c r="C880" s="7" t="n">
        <v>33</v>
      </c>
      <c r="D880" s="7" t="n">
        <v>2</v>
      </c>
      <c r="E880" s="77" t="n">
        <v>44964</v>
      </c>
      <c r="F880" s="78" t="n">
        <v>0.232337962962963</v>
      </c>
      <c r="G880" s="77" t="n">
        <v>44967</v>
      </c>
      <c r="H880" s="78" t="n">
        <v>0.477523148148148</v>
      </c>
      <c r="I880" s="7" t="s">
        <v>459</v>
      </c>
      <c r="J880" s="7" t="s">
        <v>179</v>
      </c>
      <c r="K880" s="79" t="str">
        <f aca="false">INDEX(Products!$B$2:$B$71,MATCH($C880,Products!$A$2:$A$71,0))</f>
        <v>Earum Set</v>
      </c>
      <c r="L880" s="79" t="str">
        <f aca="false">INDEX(Products!$C$2:$C$71,MATCH($C880,Products!$A$2:$A$71,0))</f>
        <v>Colors</v>
      </c>
      <c r="M880" s="80" t="n">
        <f aca="false">INDEX(Products!$D$2:$D$71,MATCH($C880,Products!$A$2:$A$71,0))</f>
        <v>314</v>
      </c>
      <c r="N880" s="80" t="n">
        <f aca="false">$D880*$M880</f>
        <v>628</v>
      </c>
      <c r="O880" s="79" t="str">
        <f aca="false">INDEX(Customers!$C$2:$C$101,MATCH($B880,Customers!$A$2:$A$101,0))</f>
        <v>Dibrugarh</v>
      </c>
      <c r="P880" s="79" t="str">
        <f aca="false">INDEX(Customers!$F$2:$F$101,MATCH($B880,Customers!$A$2:$A$101,0))</f>
        <v>Male</v>
      </c>
      <c r="Q880" s="79" t="str">
        <f aca="false">INDEX(Customers!$B$2:$B$101,MATCH($B880,Customers!$A$2:$A$101,0))</f>
        <v>Zoya Mani</v>
      </c>
      <c r="R880" s="79" t="n">
        <f aca="false">MONTH($E880)</f>
        <v>2</v>
      </c>
      <c r="S880" s="79" t="str">
        <f aca="false">INDEX(Lists!$B$2:$B$13,$R880)</f>
        <v>February</v>
      </c>
      <c r="T880" s="79" t="n">
        <f aca="false">HOUR($F880)</f>
        <v>5</v>
      </c>
      <c r="U880" s="79" t="n">
        <f aca="false">WEEKDAY($E880,2)</f>
        <v>2</v>
      </c>
      <c r="V880" s="79" t="str">
        <f aca="false">INDEX(Lists!$F$2:$F$8,$U880)</f>
        <v>Tuesday</v>
      </c>
      <c r="W880" s="81" t="n">
        <f aca="false">($G880+$H880)-($E880+$F880)</f>
        <v>3.24518518518519</v>
      </c>
      <c r="X880" s="79" t="str">
        <f aca="false">LOOKUP($M880,Lists!$G$2:$G$5,Lists!$H$2:$H$5)</f>
        <v>₹0 - 499</v>
      </c>
      <c r="Y880" s="79" t="str">
        <f aca="false">LOOKUP($W880,Lists!$I$2:$I$7,Lists!$J$2:$J$7)</f>
        <v>2 - 4 days</v>
      </c>
    </row>
    <row r="881" customFormat="false" ht="15" hidden="false" customHeight="false" outlineLevel="0" collapsed="false">
      <c r="A881" s="2" t="n">
        <v>880</v>
      </c>
      <c r="B881" s="2" t="s">
        <v>236</v>
      </c>
      <c r="C881" s="2" t="n">
        <v>34</v>
      </c>
      <c r="D881" s="2" t="n">
        <v>5</v>
      </c>
      <c r="E881" s="82" t="n">
        <v>45167</v>
      </c>
      <c r="F881" s="83" t="n">
        <v>0.926689814814815</v>
      </c>
      <c r="G881" s="82" t="n">
        <v>45169</v>
      </c>
      <c r="H881" s="83" t="n">
        <v>0.20474537037037</v>
      </c>
      <c r="I881" s="2" t="s">
        <v>533</v>
      </c>
      <c r="J881" s="2" t="s">
        <v>40</v>
      </c>
      <c r="K881" s="46" t="str">
        <f aca="false">INDEX(Products!$B$2:$B$71,MATCH($C881,Products!$A$2:$A$71,0))</f>
        <v>Placeat Pack</v>
      </c>
      <c r="L881" s="46" t="str">
        <f aca="false">INDEX(Products!$C$2:$C$71,MATCH($C881,Products!$A$2:$A$71,0))</f>
        <v>Soft Toys</v>
      </c>
      <c r="M881" s="84" t="n">
        <f aca="false">INDEX(Products!$D$2:$D$71,MATCH($C881,Products!$A$2:$A$71,0))</f>
        <v>1335</v>
      </c>
      <c r="N881" s="84" t="n">
        <f aca="false">$D881*$M881</f>
        <v>6675</v>
      </c>
      <c r="O881" s="46" t="str">
        <f aca="false">INDEX(Customers!$C$2:$C$101,MATCH($B881,Customers!$A$2:$A$101,0))</f>
        <v>Agra</v>
      </c>
      <c r="P881" s="46" t="str">
        <f aca="false">INDEX(Customers!$F$2:$F$101,MATCH($B881,Customers!$A$2:$A$101,0))</f>
        <v>Male</v>
      </c>
      <c r="Q881" s="46" t="str">
        <f aca="false">INDEX(Customers!$B$2:$B$101,MATCH($B881,Customers!$A$2:$A$101,0))</f>
        <v>Seher Mann</v>
      </c>
      <c r="R881" s="46" t="n">
        <f aca="false">MONTH($E881)</f>
        <v>8</v>
      </c>
      <c r="S881" s="46" t="str">
        <f aca="false">INDEX(Lists!$B$2:$B$13,$R881)</f>
        <v>August</v>
      </c>
      <c r="T881" s="46" t="n">
        <f aca="false">HOUR($F881)</f>
        <v>22</v>
      </c>
      <c r="U881" s="46" t="n">
        <f aca="false">WEEKDAY($E881,2)</f>
        <v>2</v>
      </c>
      <c r="V881" s="46" t="str">
        <f aca="false">INDEX(Lists!$F$2:$F$8,$U881)</f>
        <v>Tuesday</v>
      </c>
      <c r="W881" s="85" t="n">
        <f aca="false">($G881+$H881)-($E881+$F881)</f>
        <v>1.27805555555556</v>
      </c>
      <c r="X881" s="46" t="str">
        <f aca="false">LOOKUP($M881,Lists!$G$2:$G$5,Lists!$H$2:$H$5)</f>
        <v>₹1,000 - 1,499</v>
      </c>
      <c r="Y881" s="46" t="str">
        <f aca="false">LOOKUP($W881,Lists!$I$2:$I$7,Lists!$J$2:$J$7)</f>
        <v>0 - 2 days</v>
      </c>
    </row>
    <row r="882" customFormat="false" ht="15" hidden="false" customHeight="false" outlineLevel="0" collapsed="false">
      <c r="A882" s="7" t="n">
        <v>881</v>
      </c>
      <c r="B882" s="7" t="s">
        <v>164</v>
      </c>
      <c r="C882" s="7" t="n">
        <v>28</v>
      </c>
      <c r="D882" s="7" t="n">
        <v>4</v>
      </c>
      <c r="E882" s="77" t="n">
        <v>45159</v>
      </c>
      <c r="F882" s="78" t="n">
        <v>0.637291666666667</v>
      </c>
      <c r="G882" s="77" t="n">
        <v>45166</v>
      </c>
      <c r="H882" s="78" t="n">
        <v>0.541493055555556</v>
      </c>
      <c r="I882" s="7" t="s">
        <v>510</v>
      </c>
      <c r="J882" s="7" t="s">
        <v>40</v>
      </c>
      <c r="K882" s="79" t="str">
        <f aca="false">INDEX(Products!$B$2:$B$71,MATCH($C882,Products!$A$2:$A$71,0))</f>
        <v>Velit Set</v>
      </c>
      <c r="L882" s="79" t="str">
        <f aca="false">INDEX(Products!$C$2:$C$71,MATCH($C882,Products!$A$2:$A$71,0))</f>
        <v>Sweets</v>
      </c>
      <c r="M882" s="80" t="n">
        <f aca="false">INDEX(Products!$D$2:$D$71,MATCH($C882,Products!$A$2:$A$71,0))</f>
        <v>1778</v>
      </c>
      <c r="N882" s="80" t="n">
        <f aca="false">$D882*$M882</f>
        <v>7112</v>
      </c>
      <c r="O882" s="79" t="str">
        <f aca="false">INDEX(Customers!$C$2:$C$101,MATCH($B882,Customers!$A$2:$A$101,0))</f>
        <v>Kolkata</v>
      </c>
      <c r="P882" s="79" t="str">
        <f aca="false">INDEX(Customers!$F$2:$F$101,MATCH($B882,Customers!$A$2:$A$101,0))</f>
        <v>Female</v>
      </c>
      <c r="Q882" s="79" t="str">
        <f aca="false">INDEX(Customers!$B$2:$B$101,MATCH($B882,Customers!$A$2:$A$101,0))</f>
        <v>Romil Bajwa</v>
      </c>
      <c r="R882" s="79" t="n">
        <f aca="false">MONTH($E882)</f>
        <v>8</v>
      </c>
      <c r="S882" s="79" t="str">
        <f aca="false">INDEX(Lists!$B$2:$B$13,$R882)</f>
        <v>August</v>
      </c>
      <c r="T882" s="79" t="n">
        <f aca="false">HOUR($F882)</f>
        <v>15</v>
      </c>
      <c r="U882" s="79" t="n">
        <f aca="false">WEEKDAY($E882,2)</f>
        <v>1</v>
      </c>
      <c r="V882" s="79" t="str">
        <f aca="false">INDEX(Lists!$F$2:$F$8,$U882)</f>
        <v>Monday</v>
      </c>
      <c r="W882" s="81" t="n">
        <f aca="false">($G882+$H882)-($E882+$F882)</f>
        <v>6.90420138888889</v>
      </c>
      <c r="X882" s="79" t="str">
        <f aca="false">LOOKUP($M882,Lists!$G$2:$G$5,Lists!$H$2:$H$5)</f>
        <v>₹1,500 - 2,000</v>
      </c>
      <c r="Y882" s="79" t="str">
        <f aca="false">LOOKUP($W882,Lists!$I$2:$I$7,Lists!$J$2:$J$7)</f>
        <v>6 - 8 days</v>
      </c>
    </row>
    <row r="883" customFormat="false" ht="15" hidden="false" customHeight="false" outlineLevel="0" collapsed="false">
      <c r="A883" s="2" t="n">
        <v>882</v>
      </c>
      <c r="B883" s="2" t="s">
        <v>363</v>
      </c>
      <c r="C883" s="2" t="n">
        <v>64</v>
      </c>
      <c r="D883" s="2" t="n">
        <v>2</v>
      </c>
      <c r="E883" s="82" t="n">
        <v>45167</v>
      </c>
      <c r="F883" s="83" t="n">
        <v>0.231018518518519</v>
      </c>
      <c r="G883" s="82" t="n">
        <v>45177</v>
      </c>
      <c r="H883" s="83" t="n">
        <v>0.677002314814815</v>
      </c>
      <c r="I883" s="2" t="s">
        <v>576</v>
      </c>
      <c r="J883" s="2" t="s">
        <v>40</v>
      </c>
      <c r="K883" s="46" t="str">
        <f aca="false">INDEX(Products!$B$2:$B$71,MATCH($C883,Products!$A$2:$A$71,0))</f>
        <v>Nostrum Box</v>
      </c>
      <c r="L883" s="46" t="str">
        <f aca="false">INDEX(Products!$C$2:$C$71,MATCH($C883,Products!$A$2:$A$71,0))</f>
        <v>Soft Toys</v>
      </c>
      <c r="M883" s="84" t="n">
        <f aca="false">INDEX(Products!$D$2:$D$71,MATCH($C883,Products!$A$2:$A$71,0))</f>
        <v>1878</v>
      </c>
      <c r="N883" s="84" t="n">
        <f aca="false">$D883*$M883</f>
        <v>3756</v>
      </c>
      <c r="O883" s="46" t="str">
        <f aca="false">INDEX(Customers!$C$2:$C$101,MATCH($B883,Customers!$A$2:$A$101,0))</f>
        <v>Nellore</v>
      </c>
      <c r="P883" s="46" t="str">
        <f aca="false">INDEX(Customers!$F$2:$F$101,MATCH($B883,Customers!$A$2:$A$101,0))</f>
        <v>Female</v>
      </c>
      <c r="Q883" s="46" t="str">
        <f aca="false">INDEX(Customers!$B$2:$B$101,MATCH($B883,Customers!$A$2:$A$101,0))</f>
        <v>Oorja Dey</v>
      </c>
      <c r="R883" s="46" t="n">
        <f aca="false">MONTH($E883)</f>
        <v>8</v>
      </c>
      <c r="S883" s="46" t="str">
        <f aca="false">INDEX(Lists!$B$2:$B$13,$R883)</f>
        <v>August</v>
      </c>
      <c r="T883" s="46" t="n">
        <f aca="false">HOUR($F883)</f>
        <v>5</v>
      </c>
      <c r="U883" s="46" t="n">
        <f aca="false">WEEKDAY($E883,2)</f>
        <v>2</v>
      </c>
      <c r="V883" s="46" t="str">
        <f aca="false">INDEX(Lists!$F$2:$F$8,$U883)</f>
        <v>Tuesday</v>
      </c>
      <c r="W883" s="85" t="n">
        <f aca="false">($G883+$H883)-($E883+$F883)</f>
        <v>10.4459837962963</v>
      </c>
      <c r="X883" s="46" t="str">
        <f aca="false">LOOKUP($M883,Lists!$G$2:$G$5,Lists!$H$2:$H$5)</f>
        <v>₹1,500 - 2,000</v>
      </c>
      <c r="Y883" s="46" t="str">
        <f aca="false">LOOKUP($W883,Lists!$I$2:$I$7,Lists!$J$2:$J$7)</f>
        <v>Over 10 days</v>
      </c>
    </row>
    <row r="884" customFormat="false" ht="15" hidden="false" customHeight="false" outlineLevel="0" collapsed="false">
      <c r="A884" s="7" t="n">
        <v>883</v>
      </c>
      <c r="B884" s="7" t="s">
        <v>227</v>
      </c>
      <c r="C884" s="7" t="n">
        <v>36</v>
      </c>
      <c r="D884" s="7" t="n">
        <v>4</v>
      </c>
      <c r="E884" s="77" t="n">
        <v>45123</v>
      </c>
      <c r="F884" s="78" t="n">
        <v>0.822268518518519</v>
      </c>
      <c r="G884" s="77" t="n">
        <v>45124</v>
      </c>
      <c r="H884" s="78" t="n">
        <v>0.877106481481482</v>
      </c>
      <c r="I884" s="7" t="s">
        <v>562</v>
      </c>
      <c r="J884" s="7" t="s">
        <v>31</v>
      </c>
      <c r="K884" s="79" t="str">
        <f aca="false">INDEX(Products!$B$2:$B$71,MATCH($C884,Products!$A$2:$A$71,0))</f>
        <v>Cum Gift</v>
      </c>
      <c r="L884" s="79" t="str">
        <f aca="false">INDEX(Products!$C$2:$C$71,MATCH($C884,Products!$A$2:$A$71,0))</f>
        <v>Plants</v>
      </c>
      <c r="M884" s="80" t="n">
        <f aca="false">INDEX(Products!$D$2:$D$71,MATCH($C884,Products!$A$2:$A$71,0))</f>
        <v>203</v>
      </c>
      <c r="N884" s="80" t="n">
        <f aca="false">$D884*$M884</f>
        <v>812</v>
      </c>
      <c r="O884" s="79" t="str">
        <f aca="false">INDEX(Customers!$C$2:$C$101,MATCH($B884,Customers!$A$2:$A$101,0))</f>
        <v>Karaikudi</v>
      </c>
      <c r="P884" s="79" t="str">
        <f aca="false">INDEX(Customers!$F$2:$F$101,MATCH($B884,Customers!$A$2:$A$101,0))</f>
        <v>Male</v>
      </c>
      <c r="Q884" s="79" t="str">
        <f aca="false">INDEX(Customers!$B$2:$B$101,MATCH($B884,Customers!$A$2:$A$101,0))</f>
        <v>Rati Dhingra</v>
      </c>
      <c r="R884" s="79" t="n">
        <f aca="false">MONTH($E884)</f>
        <v>7</v>
      </c>
      <c r="S884" s="79" t="str">
        <f aca="false">INDEX(Lists!$B$2:$B$13,$R884)</f>
        <v>July</v>
      </c>
      <c r="T884" s="79" t="n">
        <f aca="false">HOUR($F884)</f>
        <v>19</v>
      </c>
      <c r="U884" s="79" t="n">
        <f aca="false">WEEKDAY($E884,2)</f>
        <v>7</v>
      </c>
      <c r="V884" s="79" t="str">
        <f aca="false">INDEX(Lists!$F$2:$F$8,$U884)</f>
        <v>Sunday</v>
      </c>
      <c r="W884" s="81" t="n">
        <f aca="false">($G884+$H884)-($E884+$F884)</f>
        <v>1.05483796296296</v>
      </c>
      <c r="X884" s="79" t="str">
        <f aca="false">LOOKUP($M884,Lists!$G$2:$G$5,Lists!$H$2:$H$5)</f>
        <v>₹0 - 499</v>
      </c>
      <c r="Y884" s="79" t="str">
        <f aca="false">LOOKUP($W884,Lists!$I$2:$I$7,Lists!$J$2:$J$7)</f>
        <v>0 - 2 days</v>
      </c>
    </row>
    <row r="885" customFormat="false" ht="15" hidden="false" customHeight="false" outlineLevel="0" collapsed="false">
      <c r="A885" s="2" t="n">
        <v>884</v>
      </c>
      <c r="B885" s="2" t="s">
        <v>369</v>
      </c>
      <c r="C885" s="2" t="n">
        <v>10</v>
      </c>
      <c r="D885" s="2" t="n">
        <v>3</v>
      </c>
      <c r="E885" s="82" t="n">
        <v>45003</v>
      </c>
      <c r="F885" s="83" t="n">
        <v>0.927592592592593</v>
      </c>
      <c r="G885" s="82" t="n">
        <v>45012</v>
      </c>
      <c r="H885" s="83" t="n">
        <v>0.791608796296296</v>
      </c>
      <c r="I885" s="2" t="s">
        <v>585</v>
      </c>
      <c r="J885" s="2" t="s">
        <v>31</v>
      </c>
      <c r="K885" s="46" t="str">
        <f aca="false">INDEX(Products!$B$2:$B$71,MATCH($C885,Products!$A$2:$A$71,0))</f>
        <v>Accusantium Gift</v>
      </c>
      <c r="L885" s="46" t="str">
        <f aca="false">INDEX(Products!$C$2:$C$71,MATCH($C885,Products!$A$2:$A$71,0))</f>
        <v>Cake</v>
      </c>
      <c r="M885" s="84" t="n">
        <f aca="false">INDEX(Products!$D$2:$D$71,MATCH($C885,Products!$A$2:$A$71,0))</f>
        <v>259</v>
      </c>
      <c r="N885" s="84" t="n">
        <f aca="false">$D885*$M885</f>
        <v>777</v>
      </c>
      <c r="O885" s="46" t="str">
        <f aca="false">INDEX(Customers!$C$2:$C$101,MATCH($B885,Customers!$A$2:$A$101,0))</f>
        <v>New Delhi</v>
      </c>
      <c r="P885" s="46" t="str">
        <f aca="false">INDEX(Customers!$F$2:$F$101,MATCH($B885,Customers!$A$2:$A$101,0))</f>
        <v>Female</v>
      </c>
      <c r="Q885" s="46" t="str">
        <f aca="false">INDEX(Customers!$B$2:$B$101,MATCH($B885,Customers!$A$2:$A$101,0))</f>
        <v>Adira Rajan</v>
      </c>
      <c r="R885" s="46" t="n">
        <f aca="false">MONTH($E885)</f>
        <v>3</v>
      </c>
      <c r="S885" s="46" t="str">
        <f aca="false">INDEX(Lists!$B$2:$B$13,$R885)</f>
        <v>March</v>
      </c>
      <c r="T885" s="46" t="n">
        <f aca="false">HOUR($F885)</f>
        <v>22</v>
      </c>
      <c r="U885" s="46" t="n">
        <f aca="false">WEEKDAY($E885,2)</f>
        <v>6</v>
      </c>
      <c r="V885" s="46" t="str">
        <f aca="false">INDEX(Lists!$F$2:$F$8,$U885)</f>
        <v>Saturday</v>
      </c>
      <c r="W885" s="85" t="n">
        <f aca="false">($G885+$H885)-($E885+$F885)</f>
        <v>8.8640162037037</v>
      </c>
      <c r="X885" s="46" t="str">
        <f aca="false">LOOKUP($M885,Lists!$G$2:$G$5,Lists!$H$2:$H$5)</f>
        <v>₹0 - 499</v>
      </c>
      <c r="Y885" s="46" t="str">
        <f aca="false">LOOKUP($W885,Lists!$I$2:$I$7,Lists!$J$2:$J$7)</f>
        <v>8 - 10 days</v>
      </c>
    </row>
    <row r="886" customFormat="false" ht="15" hidden="false" customHeight="false" outlineLevel="0" collapsed="false">
      <c r="A886" s="7" t="n">
        <v>885</v>
      </c>
      <c r="B886" s="7" t="s">
        <v>350</v>
      </c>
      <c r="C886" s="7" t="n">
        <v>42</v>
      </c>
      <c r="D886" s="7" t="n">
        <v>2</v>
      </c>
      <c r="E886" s="77" t="n">
        <v>45216</v>
      </c>
      <c r="F886" s="78" t="n">
        <v>0.828449074074074</v>
      </c>
      <c r="G886" s="77" t="n">
        <v>45220</v>
      </c>
      <c r="H886" s="78" t="n">
        <v>0.782060185185185</v>
      </c>
      <c r="I886" s="7" t="s">
        <v>531</v>
      </c>
      <c r="J886" s="7" t="s">
        <v>165</v>
      </c>
      <c r="K886" s="79" t="str">
        <f aca="false">INDEX(Products!$B$2:$B$71,MATCH($C886,Products!$A$2:$A$71,0))</f>
        <v>Expedita Gift</v>
      </c>
      <c r="L886" s="79" t="str">
        <f aca="false">INDEX(Products!$C$2:$C$71,MATCH($C886,Products!$A$2:$A$71,0))</f>
        <v>Sweets</v>
      </c>
      <c r="M886" s="80" t="n">
        <f aca="false">INDEX(Products!$D$2:$D$71,MATCH($C886,Products!$A$2:$A$71,0))</f>
        <v>1744</v>
      </c>
      <c r="N886" s="80" t="n">
        <f aca="false">$D886*$M886</f>
        <v>3488</v>
      </c>
      <c r="O886" s="79" t="str">
        <f aca="false">INDEX(Customers!$C$2:$C$101,MATCH($B886,Customers!$A$2:$A$101,0))</f>
        <v>Tiruchirappalli</v>
      </c>
      <c r="P886" s="79" t="str">
        <f aca="false">INDEX(Customers!$F$2:$F$101,MATCH($B886,Customers!$A$2:$A$101,0))</f>
        <v>Male</v>
      </c>
      <c r="Q886" s="79" t="str">
        <f aca="false">INDEX(Customers!$B$2:$B$101,MATCH($B886,Customers!$A$2:$A$101,0))</f>
        <v>Anahita Shankar</v>
      </c>
      <c r="R886" s="79" t="n">
        <f aca="false">MONTH($E886)</f>
        <v>10</v>
      </c>
      <c r="S886" s="79" t="str">
        <f aca="false">INDEX(Lists!$B$2:$B$13,$R886)</f>
        <v>October</v>
      </c>
      <c r="T886" s="79" t="n">
        <f aca="false">HOUR($F886)</f>
        <v>19</v>
      </c>
      <c r="U886" s="79" t="n">
        <f aca="false">WEEKDAY($E886,2)</f>
        <v>2</v>
      </c>
      <c r="V886" s="79" t="str">
        <f aca="false">INDEX(Lists!$F$2:$F$8,$U886)</f>
        <v>Tuesday</v>
      </c>
      <c r="W886" s="81" t="n">
        <f aca="false">($G886+$H886)-($E886+$F886)</f>
        <v>3.95361111111111</v>
      </c>
      <c r="X886" s="79" t="str">
        <f aca="false">LOOKUP($M886,Lists!$G$2:$G$5,Lists!$H$2:$H$5)</f>
        <v>₹1,500 - 2,000</v>
      </c>
      <c r="Y886" s="79" t="str">
        <f aca="false">LOOKUP($W886,Lists!$I$2:$I$7,Lists!$J$2:$J$7)</f>
        <v>2 - 4 days</v>
      </c>
    </row>
    <row r="887" customFormat="false" ht="15" hidden="false" customHeight="false" outlineLevel="0" collapsed="false">
      <c r="A887" s="2" t="n">
        <v>886</v>
      </c>
      <c r="B887" s="2" t="s">
        <v>239</v>
      </c>
      <c r="C887" s="2" t="n">
        <v>53</v>
      </c>
      <c r="D887" s="2" t="n">
        <v>3</v>
      </c>
      <c r="E887" s="82" t="n">
        <v>45159</v>
      </c>
      <c r="F887" s="83" t="n">
        <v>0.349328703703704</v>
      </c>
      <c r="G887" s="82" t="n">
        <v>45163</v>
      </c>
      <c r="H887" s="83" t="n">
        <v>0.82818287037037</v>
      </c>
      <c r="I887" s="2" t="s">
        <v>503</v>
      </c>
      <c r="J887" s="2" t="s">
        <v>40</v>
      </c>
      <c r="K887" s="46" t="str">
        <f aca="false">INDEX(Products!$B$2:$B$71,MATCH($C887,Products!$A$2:$A$71,0))</f>
        <v>Ipsam Set</v>
      </c>
      <c r="L887" s="46" t="str">
        <f aca="false">INDEX(Products!$C$2:$C$71,MATCH($C887,Products!$A$2:$A$71,0))</f>
        <v>Sweets</v>
      </c>
      <c r="M887" s="84" t="n">
        <f aca="false">INDEX(Products!$D$2:$D$71,MATCH($C887,Products!$A$2:$A$71,0))</f>
        <v>1672</v>
      </c>
      <c r="N887" s="84" t="n">
        <f aca="false">$D887*$M887</f>
        <v>5016</v>
      </c>
      <c r="O887" s="46" t="str">
        <f aca="false">INDEX(Customers!$C$2:$C$101,MATCH($B887,Customers!$A$2:$A$101,0))</f>
        <v>Maheshtala</v>
      </c>
      <c r="P887" s="46" t="str">
        <f aca="false">INDEX(Customers!$F$2:$F$101,MATCH($B887,Customers!$A$2:$A$101,0))</f>
        <v>Female</v>
      </c>
      <c r="Q887" s="46" t="str">
        <f aca="false">INDEX(Customers!$B$2:$B$101,MATCH($B887,Customers!$A$2:$A$101,0))</f>
        <v>Divit Mahajan</v>
      </c>
      <c r="R887" s="46" t="n">
        <f aca="false">MONTH($E887)</f>
        <v>8</v>
      </c>
      <c r="S887" s="46" t="str">
        <f aca="false">INDEX(Lists!$B$2:$B$13,$R887)</f>
        <v>August</v>
      </c>
      <c r="T887" s="46" t="n">
        <f aca="false">HOUR($F887)</f>
        <v>8</v>
      </c>
      <c r="U887" s="46" t="n">
        <f aca="false">WEEKDAY($E887,2)</f>
        <v>1</v>
      </c>
      <c r="V887" s="46" t="str">
        <f aca="false">INDEX(Lists!$F$2:$F$8,$U887)</f>
        <v>Monday</v>
      </c>
      <c r="W887" s="85" t="n">
        <f aca="false">($G887+$H887)-($E887+$F887)</f>
        <v>4.47885416666667</v>
      </c>
      <c r="X887" s="46" t="str">
        <f aca="false">LOOKUP($M887,Lists!$G$2:$G$5,Lists!$H$2:$H$5)</f>
        <v>₹1,500 - 2,000</v>
      </c>
      <c r="Y887" s="46" t="str">
        <f aca="false">LOOKUP($W887,Lists!$I$2:$I$7,Lists!$J$2:$J$7)</f>
        <v>4 - 6 days</v>
      </c>
    </row>
    <row r="888" customFormat="false" ht="15" hidden="false" customHeight="false" outlineLevel="0" collapsed="false">
      <c r="A888" s="7" t="n">
        <v>887</v>
      </c>
      <c r="B888" s="7" t="s">
        <v>369</v>
      </c>
      <c r="C888" s="7" t="n">
        <v>51</v>
      </c>
      <c r="D888" s="7" t="n">
        <v>3</v>
      </c>
      <c r="E888" s="77" t="n">
        <v>45106</v>
      </c>
      <c r="F888" s="78" t="n">
        <v>0.72255787037037</v>
      </c>
      <c r="G888" s="77" t="n">
        <v>45107</v>
      </c>
      <c r="H888" s="78" t="n">
        <v>0.413773148148148</v>
      </c>
      <c r="I888" s="7" t="s">
        <v>608</v>
      </c>
      <c r="J888" s="7" t="s">
        <v>165</v>
      </c>
      <c r="K888" s="79" t="str">
        <f aca="false">INDEX(Products!$B$2:$B$71,MATCH($C888,Products!$A$2:$A$71,0))</f>
        <v>Fugit Set</v>
      </c>
      <c r="L888" s="79" t="str">
        <f aca="false">INDEX(Products!$C$2:$C$71,MATCH($C888,Products!$A$2:$A$71,0))</f>
        <v>Soft Toys</v>
      </c>
      <c r="M888" s="80" t="n">
        <f aca="false">INDEX(Products!$D$2:$D$71,MATCH($C888,Products!$A$2:$A$71,0))</f>
        <v>1084</v>
      </c>
      <c r="N888" s="80" t="n">
        <f aca="false">$D888*$M888</f>
        <v>3252</v>
      </c>
      <c r="O888" s="79" t="str">
        <f aca="false">INDEX(Customers!$C$2:$C$101,MATCH($B888,Customers!$A$2:$A$101,0))</f>
        <v>New Delhi</v>
      </c>
      <c r="P888" s="79" t="str">
        <f aca="false">INDEX(Customers!$F$2:$F$101,MATCH($B888,Customers!$A$2:$A$101,0))</f>
        <v>Female</v>
      </c>
      <c r="Q888" s="79" t="str">
        <f aca="false">INDEX(Customers!$B$2:$B$101,MATCH($B888,Customers!$A$2:$A$101,0))</f>
        <v>Adira Rajan</v>
      </c>
      <c r="R888" s="79" t="n">
        <f aca="false">MONTH($E888)</f>
        <v>6</v>
      </c>
      <c r="S888" s="79" t="str">
        <f aca="false">INDEX(Lists!$B$2:$B$13,$R888)</f>
        <v>June</v>
      </c>
      <c r="T888" s="79" t="n">
        <f aca="false">HOUR($F888)</f>
        <v>17</v>
      </c>
      <c r="U888" s="79" t="n">
        <f aca="false">WEEKDAY($E888,2)</f>
        <v>4</v>
      </c>
      <c r="V888" s="79" t="str">
        <f aca="false">INDEX(Lists!$F$2:$F$8,$U888)</f>
        <v>Thursday</v>
      </c>
      <c r="W888" s="81" t="n">
        <f aca="false">($G888+$H888)-($E888+$F888)</f>
        <v>0.691215277777778</v>
      </c>
      <c r="X888" s="79" t="str">
        <f aca="false">LOOKUP($M888,Lists!$G$2:$G$5,Lists!$H$2:$H$5)</f>
        <v>₹1,000 - 1,499</v>
      </c>
      <c r="Y888" s="79" t="str">
        <f aca="false">LOOKUP($W888,Lists!$I$2:$I$7,Lists!$J$2:$J$7)</f>
        <v>0 - 2 days</v>
      </c>
    </row>
    <row r="889" customFormat="false" ht="15" hidden="false" customHeight="false" outlineLevel="0" collapsed="false">
      <c r="A889" s="2" t="n">
        <v>888</v>
      </c>
      <c r="B889" s="2" t="s">
        <v>161</v>
      </c>
      <c r="C889" s="2" t="n">
        <v>69</v>
      </c>
      <c r="D889" s="2" t="n">
        <v>3</v>
      </c>
      <c r="E889" s="82" t="n">
        <v>44991</v>
      </c>
      <c r="F889" s="83" t="n">
        <v>0.48244212962963</v>
      </c>
      <c r="G889" s="82" t="n">
        <v>44996</v>
      </c>
      <c r="H889" s="83" t="n">
        <v>0.634826388888889</v>
      </c>
      <c r="I889" s="2" t="s">
        <v>378</v>
      </c>
      <c r="J889" s="2" t="s">
        <v>33</v>
      </c>
      <c r="K889" s="46" t="str">
        <f aca="false">INDEX(Products!$B$2:$B$71,MATCH($C889,Products!$A$2:$A$71,0))</f>
        <v>Id Box</v>
      </c>
      <c r="L889" s="46" t="str">
        <f aca="false">INDEX(Products!$C$2:$C$71,MATCH($C889,Products!$A$2:$A$71,0))</f>
        <v>Cake</v>
      </c>
      <c r="M889" s="84" t="n">
        <f aca="false">INDEX(Products!$D$2:$D$71,MATCH($C889,Products!$A$2:$A$71,0))</f>
        <v>998</v>
      </c>
      <c r="N889" s="84" t="n">
        <f aca="false">$D889*$M889</f>
        <v>2994</v>
      </c>
      <c r="O889" s="46" t="str">
        <f aca="false">INDEX(Customers!$C$2:$C$101,MATCH($B889,Customers!$A$2:$A$101,0))</f>
        <v>Panvel</v>
      </c>
      <c r="P889" s="46" t="str">
        <f aca="false">INDEX(Customers!$F$2:$F$101,MATCH($B889,Customers!$A$2:$A$101,0))</f>
        <v>Female</v>
      </c>
      <c r="Q889" s="46" t="str">
        <f aca="false">INDEX(Customers!$B$2:$B$101,MATCH($B889,Customers!$A$2:$A$101,0))</f>
        <v>Indrans Shukla</v>
      </c>
      <c r="R889" s="46" t="n">
        <f aca="false">MONTH($E889)</f>
        <v>3</v>
      </c>
      <c r="S889" s="46" t="str">
        <f aca="false">INDEX(Lists!$B$2:$B$13,$R889)</f>
        <v>March</v>
      </c>
      <c r="T889" s="46" t="n">
        <f aca="false">HOUR($F889)</f>
        <v>11</v>
      </c>
      <c r="U889" s="46" t="n">
        <f aca="false">WEEKDAY($E889,2)</f>
        <v>1</v>
      </c>
      <c r="V889" s="46" t="str">
        <f aca="false">INDEX(Lists!$F$2:$F$8,$U889)</f>
        <v>Monday</v>
      </c>
      <c r="W889" s="85" t="n">
        <f aca="false">($G889+$H889)-($E889+$F889)</f>
        <v>5.15238425925926</v>
      </c>
      <c r="X889" s="46" t="str">
        <f aca="false">LOOKUP($M889,Lists!$G$2:$G$5,Lists!$H$2:$H$5)</f>
        <v>₹500 - 999</v>
      </c>
      <c r="Y889" s="46" t="str">
        <f aca="false">LOOKUP($W889,Lists!$I$2:$I$7,Lists!$J$2:$J$7)</f>
        <v>4 - 6 days</v>
      </c>
    </row>
    <row r="890" customFormat="false" ht="15" hidden="false" customHeight="false" outlineLevel="0" collapsed="false">
      <c r="A890" s="7" t="n">
        <v>889</v>
      </c>
      <c r="B890" s="7" t="s">
        <v>254</v>
      </c>
      <c r="C890" s="7" t="n">
        <v>36</v>
      </c>
      <c r="D890" s="7" t="n">
        <v>3</v>
      </c>
      <c r="E890" s="77" t="n">
        <v>45154</v>
      </c>
      <c r="F890" s="78" t="n">
        <v>0.963009259259259</v>
      </c>
      <c r="G890" s="77" t="n">
        <v>45156</v>
      </c>
      <c r="H890" s="78" t="n">
        <v>0.420162037037037</v>
      </c>
      <c r="I890" s="7" t="s">
        <v>197</v>
      </c>
      <c r="J890" s="7" t="s">
        <v>31</v>
      </c>
      <c r="K890" s="79" t="str">
        <f aca="false">INDEX(Products!$B$2:$B$71,MATCH($C890,Products!$A$2:$A$71,0))</f>
        <v>Cum Gift</v>
      </c>
      <c r="L890" s="79" t="str">
        <f aca="false">INDEX(Products!$C$2:$C$71,MATCH($C890,Products!$A$2:$A$71,0))</f>
        <v>Plants</v>
      </c>
      <c r="M890" s="80" t="n">
        <f aca="false">INDEX(Products!$D$2:$D$71,MATCH($C890,Products!$A$2:$A$71,0))</f>
        <v>203</v>
      </c>
      <c r="N890" s="80" t="n">
        <f aca="false">$D890*$M890</f>
        <v>609</v>
      </c>
      <c r="O890" s="79" t="str">
        <f aca="false">INDEX(Customers!$C$2:$C$101,MATCH($B890,Customers!$A$2:$A$101,0))</f>
        <v>Imphal</v>
      </c>
      <c r="P890" s="79" t="str">
        <f aca="false">INDEX(Customers!$F$2:$F$101,MATCH($B890,Customers!$A$2:$A$101,0))</f>
        <v>Female</v>
      </c>
      <c r="Q890" s="79" t="str">
        <f aca="false">INDEX(Customers!$B$2:$B$101,MATCH($B890,Customers!$A$2:$A$101,0))</f>
        <v>Chirag Srinivas</v>
      </c>
      <c r="R890" s="79" t="n">
        <f aca="false">MONTH($E890)</f>
        <v>8</v>
      </c>
      <c r="S890" s="79" t="str">
        <f aca="false">INDEX(Lists!$B$2:$B$13,$R890)</f>
        <v>August</v>
      </c>
      <c r="T890" s="79" t="n">
        <f aca="false">HOUR($F890)</f>
        <v>23</v>
      </c>
      <c r="U890" s="79" t="n">
        <f aca="false">WEEKDAY($E890,2)</f>
        <v>3</v>
      </c>
      <c r="V890" s="79" t="str">
        <f aca="false">INDEX(Lists!$F$2:$F$8,$U890)</f>
        <v>Wednesday</v>
      </c>
      <c r="W890" s="81" t="n">
        <f aca="false">($G890+$H890)-($E890+$F890)</f>
        <v>1.45715277777778</v>
      </c>
      <c r="X890" s="79" t="str">
        <f aca="false">LOOKUP($M890,Lists!$G$2:$G$5,Lists!$H$2:$H$5)</f>
        <v>₹0 - 499</v>
      </c>
      <c r="Y890" s="79" t="str">
        <f aca="false">LOOKUP($W890,Lists!$I$2:$I$7,Lists!$J$2:$J$7)</f>
        <v>0 - 2 days</v>
      </c>
    </row>
    <row r="891" customFormat="false" ht="15" hidden="false" customHeight="false" outlineLevel="0" collapsed="false">
      <c r="A891" s="2" t="n">
        <v>890</v>
      </c>
      <c r="B891" s="2" t="s">
        <v>294</v>
      </c>
      <c r="C891" s="2" t="n">
        <v>45</v>
      </c>
      <c r="D891" s="2" t="n">
        <v>4</v>
      </c>
      <c r="E891" s="82" t="n">
        <v>45008</v>
      </c>
      <c r="F891" s="83" t="n">
        <v>0.975925925925926</v>
      </c>
      <c r="G891" s="82" t="n">
        <v>45012</v>
      </c>
      <c r="H891" s="83" t="n">
        <v>0.484895833333333</v>
      </c>
      <c r="I891" s="2" t="s">
        <v>456</v>
      </c>
      <c r="J891" s="2" t="s">
        <v>31</v>
      </c>
      <c r="K891" s="46" t="str">
        <f aca="false">INDEX(Products!$B$2:$B$71,MATCH($C891,Products!$A$2:$A$71,0))</f>
        <v>Iusto Set</v>
      </c>
      <c r="L891" s="46" t="str">
        <f aca="false">INDEX(Products!$C$2:$C$71,MATCH($C891,Products!$A$2:$A$71,0))</f>
        <v>Raksha Bandhan</v>
      </c>
      <c r="M891" s="84" t="n">
        <f aca="false">INDEX(Products!$D$2:$D$71,MATCH($C891,Products!$A$2:$A$71,0))</f>
        <v>722</v>
      </c>
      <c r="N891" s="84" t="n">
        <f aca="false">$D891*$M891</f>
        <v>2888</v>
      </c>
      <c r="O891" s="46" t="str">
        <f aca="false">INDEX(Customers!$C$2:$C$101,MATCH($B891,Customers!$A$2:$A$101,0))</f>
        <v>Srikakulam</v>
      </c>
      <c r="P891" s="46" t="str">
        <f aca="false">INDEX(Customers!$F$2:$F$101,MATCH($B891,Customers!$A$2:$A$101,0))</f>
        <v>Male</v>
      </c>
      <c r="Q891" s="46" t="str">
        <f aca="false">INDEX(Customers!$B$2:$B$101,MATCH($B891,Customers!$A$2:$A$101,0))</f>
        <v>Indrajit Kale</v>
      </c>
      <c r="R891" s="46" t="n">
        <f aca="false">MONTH($E891)</f>
        <v>3</v>
      </c>
      <c r="S891" s="46" t="str">
        <f aca="false">INDEX(Lists!$B$2:$B$13,$R891)</f>
        <v>March</v>
      </c>
      <c r="T891" s="46" t="n">
        <f aca="false">HOUR($F891)</f>
        <v>23</v>
      </c>
      <c r="U891" s="46" t="n">
        <f aca="false">WEEKDAY($E891,2)</f>
        <v>4</v>
      </c>
      <c r="V891" s="46" t="str">
        <f aca="false">INDEX(Lists!$F$2:$F$8,$U891)</f>
        <v>Thursday</v>
      </c>
      <c r="W891" s="85" t="n">
        <f aca="false">($G891+$H891)-($E891+$F891)</f>
        <v>3.50896990740741</v>
      </c>
      <c r="X891" s="46" t="str">
        <f aca="false">LOOKUP($M891,Lists!$G$2:$G$5,Lists!$H$2:$H$5)</f>
        <v>₹500 - 999</v>
      </c>
      <c r="Y891" s="46" t="str">
        <f aca="false">LOOKUP($W891,Lists!$I$2:$I$7,Lists!$J$2:$J$7)</f>
        <v>2 - 4 days</v>
      </c>
    </row>
    <row r="892" customFormat="false" ht="15" hidden="false" customHeight="false" outlineLevel="0" collapsed="false">
      <c r="A892" s="7" t="n">
        <v>891</v>
      </c>
      <c r="B892" s="7" t="s">
        <v>192</v>
      </c>
      <c r="C892" s="7" t="n">
        <v>58</v>
      </c>
      <c r="D892" s="7" t="n">
        <v>2</v>
      </c>
      <c r="E892" s="77" t="n">
        <v>44965</v>
      </c>
      <c r="F892" s="78" t="n">
        <v>0.622719907407408</v>
      </c>
      <c r="G892" s="77" t="n">
        <v>44973</v>
      </c>
      <c r="H892" s="78" t="n">
        <v>0.996354166666667</v>
      </c>
      <c r="I892" s="7" t="s">
        <v>565</v>
      </c>
      <c r="J892" s="7" t="s">
        <v>179</v>
      </c>
      <c r="K892" s="79" t="str">
        <f aca="false">INDEX(Products!$B$2:$B$71,MATCH($C892,Products!$A$2:$A$71,0))</f>
        <v>Sed Pack</v>
      </c>
      <c r="L892" s="79" t="str">
        <f aca="false">INDEX(Products!$C$2:$C$71,MATCH($C892,Products!$A$2:$A$71,0))</f>
        <v>Cake</v>
      </c>
      <c r="M892" s="80" t="n">
        <f aca="false">INDEX(Products!$D$2:$D$71,MATCH($C892,Products!$A$2:$A$71,0))</f>
        <v>1492</v>
      </c>
      <c r="N892" s="80" t="n">
        <f aca="false">$D892*$M892</f>
        <v>2984</v>
      </c>
      <c r="O892" s="79" t="str">
        <f aca="false">INDEX(Customers!$C$2:$C$101,MATCH($B892,Customers!$A$2:$A$101,0))</f>
        <v>Serampore</v>
      </c>
      <c r="P892" s="79" t="str">
        <f aca="false">INDEX(Customers!$F$2:$F$101,MATCH($B892,Customers!$A$2:$A$101,0))</f>
        <v>Female</v>
      </c>
      <c r="Q892" s="79" t="str">
        <f aca="false">INDEX(Customers!$B$2:$B$101,MATCH($B892,Customers!$A$2:$A$101,0))</f>
        <v>Kashvi Sur</v>
      </c>
      <c r="R892" s="79" t="n">
        <f aca="false">MONTH($E892)</f>
        <v>2</v>
      </c>
      <c r="S892" s="79" t="str">
        <f aca="false">INDEX(Lists!$B$2:$B$13,$R892)</f>
        <v>February</v>
      </c>
      <c r="T892" s="79" t="n">
        <f aca="false">HOUR($F892)</f>
        <v>14</v>
      </c>
      <c r="U892" s="79" t="n">
        <f aca="false">WEEKDAY($E892,2)</f>
        <v>3</v>
      </c>
      <c r="V892" s="79" t="str">
        <f aca="false">INDEX(Lists!$F$2:$F$8,$U892)</f>
        <v>Wednesday</v>
      </c>
      <c r="W892" s="81" t="n">
        <f aca="false">($G892+$H892)-($E892+$F892)</f>
        <v>8.37363425925926</v>
      </c>
      <c r="X892" s="79" t="str">
        <f aca="false">LOOKUP($M892,Lists!$G$2:$G$5,Lists!$H$2:$H$5)</f>
        <v>₹1,000 - 1,499</v>
      </c>
      <c r="Y892" s="79" t="str">
        <f aca="false">LOOKUP($W892,Lists!$I$2:$I$7,Lists!$J$2:$J$7)</f>
        <v>8 - 10 days</v>
      </c>
    </row>
    <row r="893" customFormat="false" ht="15" hidden="false" customHeight="false" outlineLevel="0" collapsed="false">
      <c r="A893" s="2" t="n">
        <v>892</v>
      </c>
      <c r="B893" s="2" t="s">
        <v>188</v>
      </c>
      <c r="C893" s="2" t="n">
        <v>11</v>
      </c>
      <c r="D893" s="2" t="n">
        <v>4</v>
      </c>
      <c r="E893" s="82" t="n">
        <v>44963</v>
      </c>
      <c r="F893" s="83" t="n">
        <v>0.772962962962963</v>
      </c>
      <c r="G893" s="82" t="n">
        <v>44964</v>
      </c>
      <c r="H893" s="83" t="n">
        <v>0.0603472222222222</v>
      </c>
      <c r="I893" s="2" t="s">
        <v>589</v>
      </c>
      <c r="J893" s="2" t="s">
        <v>179</v>
      </c>
      <c r="K893" s="46" t="str">
        <f aca="false">INDEX(Products!$B$2:$B$71,MATCH($C893,Products!$A$2:$A$71,0))</f>
        <v>Maxime Set</v>
      </c>
      <c r="L893" s="46" t="str">
        <f aca="false">INDEX(Products!$C$2:$C$71,MATCH($C893,Products!$A$2:$A$71,0))</f>
        <v>Mugs</v>
      </c>
      <c r="M893" s="84" t="n">
        <f aca="false">INDEX(Products!$D$2:$D$71,MATCH($C893,Products!$A$2:$A$71,0))</f>
        <v>1096</v>
      </c>
      <c r="N893" s="84" t="n">
        <f aca="false">$D893*$M893</f>
        <v>4384</v>
      </c>
      <c r="O893" s="46" t="str">
        <f aca="false">INDEX(Customers!$C$2:$C$101,MATCH($B893,Customers!$A$2:$A$101,0))</f>
        <v>Singrauli</v>
      </c>
      <c r="P893" s="46" t="str">
        <f aca="false">INDEX(Customers!$F$2:$F$101,MATCH($B893,Customers!$A$2:$A$101,0))</f>
        <v>Female</v>
      </c>
      <c r="Q893" s="46" t="str">
        <f aca="false">INDEX(Customers!$B$2:$B$101,MATCH($B893,Customers!$A$2:$A$101,0))</f>
        <v>Ira Bava</v>
      </c>
      <c r="R893" s="46" t="n">
        <f aca="false">MONTH($E893)</f>
        <v>2</v>
      </c>
      <c r="S893" s="46" t="str">
        <f aca="false">INDEX(Lists!$B$2:$B$13,$R893)</f>
        <v>February</v>
      </c>
      <c r="T893" s="46" t="n">
        <f aca="false">HOUR($F893)</f>
        <v>18</v>
      </c>
      <c r="U893" s="46" t="n">
        <f aca="false">WEEKDAY($E893,2)</f>
        <v>1</v>
      </c>
      <c r="V893" s="46" t="str">
        <f aca="false">INDEX(Lists!$F$2:$F$8,$U893)</f>
        <v>Monday</v>
      </c>
      <c r="W893" s="85" t="n">
        <f aca="false">($G893+$H893)-($E893+$F893)</f>
        <v>0.287384259259259</v>
      </c>
      <c r="X893" s="46" t="str">
        <f aca="false">LOOKUP($M893,Lists!$G$2:$G$5,Lists!$H$2:$H$5)</f>
        <v>₹1,000 - 1,499</v>
      </c>
      <c r="Y893" s="46" t="str">
        <f aca="false">LOOKUP($W893,Lists!$I$2:$I$7,Lists!$J$2:$J$7)</f>
        <v>0 - 2 days</v>
      </c>
    </row>
    <row r="894" customFormat="false" ht="15" hidden="false" customHeight="false" outlineLevel="0" collapsed="false">
      <c r="A894" s="7" t="n">
        <v>893</v>
      </c>
      <c r="B894" s="7" t="s">
        <v>151</v>
      </c>
      <c r="C894" s="7" t="n">
        <v>63</v>
      </c>
      <c r="D894" s="7" t="n">
        <v>3</v>
      </c>
      <c r="E894" s="77" t="n">
        <v>45013</v>
      </c>
      <c r="F894" s="78" t="n">
        <v>0.653263888888889</v>
      </c>
      <c r="G894" s="77" t="n">
        <v>45023</v>
      </c>
      <c r="H894" s="78" t="n">
        <v>0.617627314814815</v>
      </c>
      <c r="I894" s="7" t="s">
        <v>556</v>
      </c>
      <c r="J894" s="7" t="s">
        <v>165</v>
      </c>
      <c r="K894" s="79" t="str">
        <f aca="false">INDEX(Products!$B$2:$B$71,MATCH($C894,Products!$A$2:$A$71,0))</f>
        <v>Adipisci Set</v>
      </c>
      <c r="L894" s="79" t="str">
        <f aca="false">INDEX(Products!$C$2:$C$71,MATCH($C894,Products!$A$2:$A$71,0))</f>
        <v>Sweets</v>
      </c>
      <c r="M894" s="80" t="n">
        <f aca="false">INDEX(Products!$D$2:$D$71,MATCH($C894,Products!$A$2:$A$71,0))</f>
        <v>1348</v>
      </c>
      <c r="N894" s="80" t="n">
        <f aca="false">$D894*$M894</f>
        <v>4044</v>
      </c>
      <c r="O894" s="79" t="str">
        <f aca="false">INDEX(Customers!$C$2:$C$101,MATCH($B894,Customers!$A$2:$A$101,0))</f>
        <v>Kanpur</v>
      </c>
      <c r="P894" s="79" t="str">
        <f aca="false">INDEX(Customers!$F$2:$F$101,MATCH($B894,Customers!$A$2:$A$101,0))</f>
        <v>Male</v>
      </c>
      <c r="Q894" s="79" t="str">
        <f aca="false">INDEX(Customers!$B$2:$B$101,MATCH($B894,Customers!$A$2:$A$101,0))</f>
        <v>Darshit Dave</v>
      </c>
      <c r="R894" s="79" t="n">
        <f aca="false">MONTH($E894)</f>
        <v>3</v>
      </c>
      <c r="S894" s="79" t="str">
        <f aca="false">INDEX(Lists!$B$2:$B$13,$R894)</f>
        <v>March</v>
      </c>
      <c r="T894" s="79" t="n">
        <f aca="false">HOUR($F894)</f>
        <v>15</v>
      </c>
      <c r="U894" s="79" t="n">
        <f aca="false">WEEKDAY($E894,2)</f>
        <v>2</v>
      </c>
      <c r="V894" s="79" t="str">
        <f aca="false">INDEX(Lists!$F$2:$F$8,$U894)</f>
        <v>Tuesday</v>
      </c>
      <c r="W894" s="81" t="n">
        <f aca="false">($G894+$H894)-($E894+$F894)</f>
        <v>9.96436342592593</v>
      </c>
      <c r="X894" s="79" t="str">
        <f aca="false">LOOKUP($M894,Lists!$G$2:$G$5,Lists!$H$2:$H$5)</f>
        <v>₹1,000 - 1,499</v>
      </c>
      <c r="Y894" s="79" t="str">
        <f aca="false">LOOKUP($W894,Lists!$I$2:$I$7,Lists!$J$2:$J$7)</f>
        <v>8 - 10 days</v>
      </c>
    </row>
    <row r="895" customFormat="false" ht="15" hidden="false" customHeight="false" outlineLevel="0" collapsed="false">
      <c r="A895" s="2" t="n">
        <v>894</v>
      </c>
      <c r="B895" s="2" t="s">
        <v>372</v>
      </c>
      <c r="C895" s="2" t="n">
        <v>54</v>
      </c>
      <c r="D895" s="2" t="n">
        <v>4</v>
      </c>
      <c r="E895" s="82" t="n">
        <v>45213</v>
      </c>
      <c r="F895" s="83" t="n">
        <v>0.587303240740741</v>
      </c>
      <c r="G895" s="82" t="n">
        <v>45220</v>
      </c>
      <c r="H895" s="83" t="n">
        <v>0.965520833333333</v>
      </c>
      <c r="I895" s="2" t="s">
        <v>530</v>
      </c>
      <c r="J895" s="2" t="s">
        <v>168</v>
      </c>
      <c r="K895" s="46" t="str">
        <f aca="false">INDEX(Products!$B$2:$B$71,MATCH($C895,Products!$A$2:$A$71,0))</f>
        <v>Occaecati Gift</v>
      </c>
      <c r="L895" s="46" t="str">
        <f aca="false">INDEX(Products!$C$2:$C$71,MATCH($C895,Products!$A$2:$A$71,0))</f>
        <v>Cake</v>
      </c>
      <c r="M895" s="84" t="n">
        <f aca="false">INDEX(Products!$D$2:$D$71,MATCH($C895,Products!$A$2:$A$71,0))</f>
        <v>1236</v>
      </c>
      <c r="N895" s="84" t="n">
        <f aca="false">$D895*$M895</f>
        <v>4944</v>
      </c>
      <c r="O895" s="46" t="str">
        <f aca="false">INDEX(Customers!$C$2:$C$101,MATCH($B895,Customers!$A$2:$A$101,0))</f>
        <v>Dibrugarh</v>
      </c>
      <c r="P895" s="46" t="str">
        <f aca="false">INDEX(Customers!$F$2:$F$101,MATCH($B895,Customers!$A$2:$A$101,0))</f>
        <v>Male</v>
      </c>
      <c r="Q895" s="46" t="str">
        <f aca="false">INDEX(Customers!$B$2:$B$101,MATCH($B895,Customers!$A$2:$A$101,0))</f>
        <v>Zoya Mani</v>
      </c>
      <c r="R895" s="46" t="n">
        <f aca="false">MONTH($E895)</f>
        <v>10</v>
      </c>
      <c r="S895" s="46" t="str">
        <f aca="false">INDEX(Lists!$B$2:$B$13,$R895)</f>
        <v>October</v>
      </c>
      <c r="T895" s="46" t="n">
        <f aca="false">HOUR($F895)</f>
        <v>14</v>
      </c>
      <c r="U895" s="46" t="n">
        <f aca="false">WEEKDAY($E895,2)</f>
        <v>6</v>
      </c>
      <c r="V895" s="46" t="str">
        <f aca="false">INDEX(Lists!$F$2:$F$8,$U895)</f>
        <v>Saturday</v>
      </c>
      <c r="W895" s="85" t="n">
        <f aca="false">($G895+$H895)-($E895+$F895)</f>
        <v>7.37821759259259</v>
      </c>
      <c r="X895" s="46" t="str">
        <f aca="false">LOOKUP($M895,Lists!$G$2:$G$5,Lists!$H$2:$H$5)</f>
        <v>₹1,000 - 1,499</v>
      </c>
      <c r="Y895" s="46" t="str">
        <f aca="false">LOOKUP($W895,Lists!$I$2:$I$7,Lists!$J$2:$J$7)</f>
        <v>6 - 8 days</v>
      </c>
    </row>
    <row r="896" customFormat="false" ht="15" hidden="false" customHeight="false" outlineLevel="0" collapsed="false">
      <c r="A896" s="7" t="n">
        <v>895</v>
      </c>
      <c r="B896" s="7" t="s">
        <v>300</v>
      </c>
      <c r="C896" s="7" t="n">
        <v>45</v>
      </c>
      <c r="D896" s="7" t="n">
        <v>1</v>
      </c>
      <c r="E896" s="77" t="n">
        <v>45013</v>
      </c>
      <c r="F896" s="78" t="n">
        <v>0.781898148148148</v>
      </c>
      <c r="G896" s="77" t="n">
        <v>45022</v>
      </c>
      <c r="H896" s="78" t="n">
        <v>0.120601851851852</v>
      </c>
      <c r="I896" s="7" t="s">
        <v>555</v>
      </c>
      <c r="J896" s="7" t="s">
        <v>31</v>
      </c>
      <c r="K896" s="79" t="str">
        <f aca="false">INDEX(Products!$B$2:$B$71,MATCH($C896,Products!$A$2:$A$71,0))</f>
        <v>Iusto Set</v>
      </c>
      <c r="L896" s="79" t="str">
        <f aca="false">INDEX(Products!$C$2:$C$71,MATCH($C896,Products!$A$2:$A$71,0))</f>
        <v>Raksha Bandhan</v>
      </c>
      <c r="M896" s="80" t="n">
        <f aca="false">INDEX(Products!$D$2:$D$71,MATCH($C896,Products!$A$2:$A$71,0))</f>
        <v>722</v>
      </c>
      <c r="N896" s="80" t="n">
        <f aca="false">$D896*$M896</f>
        <v>722</v>
      </c>
      <c r="O896" s="79" t="str">
        <f aca="false">INDEX(Customers!$C$2:$C$101,MATCH($B896,Customers!$A$2:$A$101,0))</f>
        <v>Malegaon</v>
      </c>
      <c r="P896" s="79" t="str">
        <f aca="false">INDEX(Customers!$F$2:$F$101,MATCH($B896,Customers!$A$2:$A$101,0))</f>
        <v>Female</v>
      </c>
      <c r="Q896" s="79" t="str">
        <f aca="false">INDEX(Customers!$B$2:$B$101,MATCH($B896,Customers!$A$2:$A$101,0))</f>
        <v>Eshani Buch</v>
      </c>
      <c r="R896" s="79" t="n">
        <f aca="false">MONTH($E896)</f>
        <v>3</v>
      </c>
      <c r="S896" s="79" t="str">
        <f aca="false">INDEX(Lists!$B$2:$B$13,$R896)</f>
        <v>March</v>
      </c>
      <c r="T896" s="79" t="n">
        <f aca="false">HOUR($F896)</f>
        <v>18</v>
      </c>
      <c r="U896" s="79" t="n">
        <f aca="false">WEEKDAY($E896,2)</f>
        <v>2</v>
      </c>
      <c r="V896" s="79" t="str">
        <f aca="false">INDEX(Lists!$F$2:$F$8,$U896)</f>
        <v>Tuesday</v>
      </c>
      <c r="W896" s="81" t="n">
        <f aca="false">($G896+$H896)-($E896+$F896)</f>
        <v>8.3387037037037</v>
      </c>
      <c r="X896" s="79" t="str">
        <f aca="false">LOOKUP($M896,Lists!$G$2:$G$5,Lists!$H$2:$H$5)</f>
        <v>₹500 - 999</v>
      </c>
      <c r="Y896" s="79" t="str">
        <f aca="false">LOOKUP($W896,Lists!$I$2:$I$7,Lists!$J$2:$J$7)</f>
        <v>8 - 10 days</v>
      </c>
    </row>
    <row r="897" customFormat="false" ht="15" hidden="false" customHeight="false" outlineLevel="0" collapsed="false">
      <c r="A897" s="2" t="n">
        <v>896</v>
      </c>
      <c r="B897" s="2" t="s">
        <v>263</v>
      </c>
      <c r="C897" s="2" t="n">
        <v>46</v>
      </c>
      <c r="D897" s="2" t="n">
        <v>1</v>
      </c>
      <c r="E897" s="82" t="n">
        <v>45021</v>
      </c>
      <c r="F897" s="83" t="n">
        <v>0.176331018518519</v>
      </c>
      <c r="G897" s="82" t="n">
        <v>45026</v>
      </c>
      <c r="H897" s="83" t="n">
        <v>0.534895833333333</v>
      </c>
      <c r="I897" s="2" t="s">
        <v>404</v>
      </c>
      <c r="J897" s="2" t="s">
        <v>168</v>
      </c>
      <c r="K897" s="46" t="str">
        <f aca="false">INDEX(Products!$B$2:$B$71,MATCH($C897,Products!$A$2:$A$71,0))</f>
        <v>Pariatur Set</v>
      </c>
      <c r="L897" s="46" t="str">
        <f aca="false">INDEX(Products!$C$2:$C$71,MATCH($C897,Products!$A$2:$A$71,0))</f>
        <v>Cake</v>
      </c>
      <c r="M897" s="84" t="n">
        <f aca="false">INDEX(Products!$D$2:$D$71,MATCH($C897,Products!$A$2:$A$71,0))</f>
        <v>758</v>
      </c>
      <c r="N897" s="84" t="n">
        <f aca="false">$D897*$M897</f>
        <v>758</v>
      </c>
      <c r="O897" s="46" t="str">
        <f aca="false">INDEX(Customers!$C$2:$C$101,MATCH($B897,Customers!$A$2:$A$101,0))</f>
        <v>Bharatpur</v>
      </c>
      <c r="P897" s="46" t="str">
        <f aca="false">INDEX(Customers!$F$2:$F$101,MATCH($B897,Customers!$A$2:$A$101,0))</f>
        <v>Female</v>
      </c>
      <c r="Q897" s="46" t="str">
        <f aca="false">INDEX(Customers!$B$2:$B$101,MATCH($B897,Customers!$A$2:$A$101,0))</f>
        <v>Kismat Kapadia</v>
      </c>
      <c r="R897" s="46" t="n">
        <f aca="false">MONTH($E897)</f>
        <v>4</v>
      </c>
      <c r="S897" s="46" t="str">
        <f aca="false">INDEX(Lists!$B$2:$B$13,$R897)</f>
        <v>April</v>
      </c>
      <c r="T897" s="46" t="n">
        <f aca="false">HOUR($F897)</f>
        <v>4</v>
      </c>
      <c r="U897" s="46" t="n">
        <f aca="false">WEEKDAY($E897,2)</f>
        <v>3</v>
      </c>
      <c r="V897" s="46" t="str">
        <f aca="false">INDEX(Lists!$F$2:$F$8,$U897)</f>
        <v>Wednesday</v>
      </c>
      <c r="W897" s="85" t="n">
        <f aca="false">($G897+$H897)-($E897+$F897)</f>
        <v>5.35856481481482</v>
      </c>
      <c r="X897" s="46" t="str">
        <f aca="false">LOOKUP($M897,Lists!$G$2:$G$5,Lists!$H$2:$H$5)</f>
        <v>₹500 - 999</v>
      </c>
      <c r="Y897" s="46" t="str">
        <f aca="false">LOOKUP($W897,Lists!$I$2:$I$7,Lists!$J$2:$J$7)</f>
        <v>4 - 6 days</v>
      </c>
    </row>
    <row r="898" customFormat="false" ht="15" hidden="false" customHeight="false" outlineLevel="0" collapsed="false">
      <c r="A898" s="7" t="n">
        <v>897</v>
      </c>
      <c r="B898" s="7" t="s">
        <v>200</v>
      </c>
      <c r="C898" s="7" t="n">
        <v>34</v>
      </c>
      <c r="D898" s="7" t="n">
        <v>5</v>
      </c>
      <c r="E898" s="77" t="n">
        <v>45163</v>
      </c>
      <c r="F898" s="78" t="n">
        <v>0.328715277777778</v>
      </c>
      <c r="G898" s="77" t="n">
        <v>45170</v>
      </c>
      <c r="H898" s="78" t="n">
        <v>0.585300925925926</v>
      </c>
      <c r="I898" s="7" t="s">
        <v>346</v>
      </c>
      <c r="J898" s="7" t="s">
        <v>40</v>
      </c>
      <c r="K898" s="79" t="str">
        <f aca="false">INDEX(Products!$B$2:$B$71,MATCH($C898,Products!$A$2:$A$71,0))</f>
        <v>Placeat Pack</v>
      </c>
      <c r="L898" s="79" t="str">
        <f aca="false">INDEX(Products!$C$2:$C$71,MATCH($C898,Products!$A$2:$A$71,0))</f>
        <v>Soft Toys</v>
      </c>
      <c r="M898" s="80" t="n">
        <f aca="false">INDEX(Products!$D$2:$D$71,MATCH($C898,Products!$A$2:$A$71,0))</f>
        <v>1335</v>
      </c>
      <c r="N898" s="80" t="n">
        <f aca="false">$D898*$M898</f>
        <v>6675</v>
      </c>
      <c r="O898" s="79" t="str">
        <f aca="false">INDEX(Customers!$C$2:$C$101,MATCH($B898,Customers!$A$2:$A$101,0))</f>
        <v>Sasaram</v>
      </c>
      <c r="P898" s="79" t="str">
        <f aca="false">INDEX(Customers!$F$2:$F$101,MATCH($B898,Customers!$A$2:$A$101,0))</f>
        <v>Female</v>
      </c>
      <c r="Q898" s="79" t="str">
        <f aca="false">INDEX(Customers!$B$2:$B$101,MATCH($B898,Customers!$A$2:$A$101,0))</f>
        <v>Madhup Wable</v>
      </c>
      <c r="R898" s="79" t="n">
        <f aca="false">MONTH($E898)</f>
        <v>8</v>
      </c>
      <c r="S898" s="79" t="str">
        <f aca="false">INDEX(Lists!$B$2:$B$13,$R898)</f>
        <v>August</v>
      </c>
      <c r="T898" s="79" t="n">
        <f aca="false">HOUR($F898)</f>
        <v>7</v>
      </c>
      <c r="U898" s="79" t="n">
        <f aca="false">WEEKDAY($E898,2)</f>
        <v>5</v>
      </c>
      <c r="V898" s="79" t="str">
        <f aca="false">INDEX(Lists!$F$2:$F$8,$U898)</f>
        <v>Friday</v>
      </c>
      <c r="W898" s="81" t="n">
        <f aca="false">($G898+$H898)-($E898+$F898)</f>
        <v>7.25658564814815</v>
      </c>
      <c r="X898" s="79" t="str">
        <f aca="false">LOOKUP($M898,Lists!$G$2:$G$5,Lists!$H$2:$H$5)</f>
        <v>₹1,000 - 1,499</v>
      </c>
      <c r="Y898" s="79" t="str">
        <f aca="false">LOOKUP($W898,Lists!$I$2:$I$7,Lists!$J$2:$J$7)</f>
        <v>6 - 8 days</v>
      </c>
    </row>
    <row r="899" customFormat="false" ht="15" hidden="false" customHeight="false" outlineLevel="0" collapsed="false">
      <c r="A899" s="2" t="n">
        <v>898</v>
      </c>
      <c r="B899" s="2" t="s">
        <v>172</v>
      </c>
      <c r="C899" s="2" t="n">
        <v>52</v>
      </c>
      <c r="D899" s="2" t="n">
        <v>1</v>
      </c>
      <c r="E899" s="82" t="n">
        <v>44966</v>
      </c>
      <c r="F899" s="83" t="n">
        <v>0.263101851851852</v>
      </c>
      <c r="G899" s="82" t="n">
        <v>44970</v>
      </c>
      <c r="H899" s="83" t="n">
        <v>0.967847222222222</v>
      </c>
      <c r="I899" s="2" t="s">
        <v>444</v>
      </c>
      <c r="J899" s="2" t="s">
        <v>179</v>
      </c>
      <c r="K899" s="46" t="str">
        <f aca="false">INDEX(Products!$B$2:$B$71,MATCH($C899,Products!$A$2:$A$71,0))</f>
        <v>Dolorum Box</v>
      </c>
      <c r="L899" s="46" t="str">
        <f aca="false">INDEX(Products!$C$2:$C$71,MATCH($C899,Products!$A$2:$A$71,0))</f>
        <v>Raksha Bandhan</v>
      </c>
      <c r="M899" s="84" t="n">
        <f aca="false">INDEX(Products!$D$2:$D$71,MATCH($C899,Products!$A$2:$A$71,0))</f>
        <v>236</v>
      </c>
      <c r="N899" s="84" t="n">
        <f aca="false">$D899*$M899</f>
        <v>236</v>
      </c>
      <c r="O899" s="46" t="str">
        <f aca="false">INDEX(Customers!$C$2:$C$101,MATCH($B899,Customers!$A$2:$A$101,0))</f>
        <v>Nizamabad</v>
      </c>
      <c r="P899" s="46" t="str">
        <f aca="false">INDEX(Customers!$F$2:$F$101,MATCH($B899,Customers!$A$2:$A$101,0))</f>
        <v>Male</v>
      </c>
      <c r="Q899" s="46" t="str">
        <f aca="false">INDEX(Customers!$B$2:$B$101,MATCH($B899,Customers!$A$2:$A$101,0))</f>
        <v>Eva Vaidya</v>
      </c>
      <c r="R899" s="46" t="n">
        <f aca="false">MONTH($E899)</f>
        <v>2</v>
      </c>
      <c r="S899" s="46" t="str">
        <f aca="false">INDEX(Lists!$B$2:$B$13,$R899)</f>
        <v>February</v>
      </c>
      <c r="T899" s="46" t="n">
        <f aca="false">HOUR($F899)</f>
        <v>6</v>
      </c>
      <c r="U899" s="46" t="n">
        <f aca="false">WEEKDAY($E899,2)</f>
        <v>4</v>
      </c>
      <c r="V899" s="46" t="str">
        <f aca="false">INDEX(Lists!$F$2:$F$8,$U899)</f>
        <v>Thursday</v>
      </c>
      <c r="W899" s="85" t="n">
        <f aca="false">($G899+$H899)-($E899+$F899)</f>
        <v>4.70474537037037</v>
      </c>
      <c r="X899" s="46" t="str">
        <f aca="false">LOOKUP($M899,Lists!$G$2:$G$5,Lists!$H$2:$H$5)</f>
        <v>₹0 - 499</v>
      </c>
      <c r="Y899" s="46" t="str">
        <f aca="false">LOOKUP($W899,Lists!$I$2:$I$7,Lists!$J$2:$J$7)</f>
        <v>4 - 6 days</v>
      </c>
    </row>
    <row r="900" customFormat="false" ht="15" hidden="false" customHeight="false" outlineLevel="0" collapsed="false">
      <c r="A900" s="7" t="n">
        <v>899</v>
      </c>
      <c r="B900" s="7" t="s">
        <v>154</v>
      </c>
      <c r="C900" s="7" t="n">
        <v>63</v>
      </c>
      <c r="D900" s="7" t="n">
        <v>1</v>
      </c>
      <c r="E900" s="77" t="n">
        <v>45277</v>
      </c>
      <c r="F900" s="78" t="n">
        <v>0.895775462962963</v>
      </c>
      <c r="G900" s="77" t="n">
        <v>45284</v>
      </c>
      <c r="H900" s="78" t="n">
        <v>0.0115856481481482</v>
      </c>
      <c r="I900" s="7" t="s">
        <v>277</v>
      </c>
      <c r="J900" s="7" t="s">
        <v>165</v>
      </c>
      <c r="K900" s="79" t="str">
        <f aca="false">INDEX(Products!$B$2:$B$71,MATCH($C900,Products!$A$2:$A$71,0))</f>
        <v>Adipisci Set</v>
      </c>
      <c r="L900" s="79" t="str">
        <f aca="false">INDEX(Products!$C$2:$C$71,MATCH($C900,Products!$A$2:$A$71,0))</f>
        <v>Sweets</v>
      </c>
      <c r="M900" s="80" t="n">
        <f aca="false">INDEX(Products!$D$2:$D$71,MATCH($C900,Products!$A$2:$A$71,0))</f>
        <v>1348</v>
      </c>
      <c r="N900" s="80" t="n">
        <f aca="false">$D900*$M900</f>
        <v>1348</v>
      </c>
      <c r="O900" s="79" t="str">
        <f aca="false">INDEX(Customers!$C$2:$C$101,MATCH($B900,Customers!$A$2:$A$101,0))</f>
        <v>Orai</v>
      </c>
      <c r="P900" s="79" t="str">
        <f aca="false">INDEX(Customers!$F$2:$F$101,MATCH($B900,Customers!$A$2:$A$101,0))</f>
        <v>Female</v>
      </c>
      <c r="Q900" s="79" t="str">
        <f aca="false">INDEX(Customers!$B$2:$B$101,MATCH($B900,Customers!$A$2:$A$101,0))</f>
        <v>Lagan Kapoor</v>
      </c>
      <c r="R900" s="79" t="n">
        <f aca="false">MONTH($E900)</f>
        <v>12</v>
      </c>
      <c r="S900" s="79" t="str">
        <f aca="false">INDEX(Lists!$B$2:$B$13,$R900)</f>
        <v>December</v>
      </c>
      <c r="T900" s="79" t="n">
        <f aca="false">HOUR($F900)</f>
        <v>21</v>
      </c>
      <c r="U900" s="79" t="n">
        <f aca="false">WEEKDAY($E900,2)</f>
        <v>7</v>
      </c>
      <c r="V900" s="79" t="str">
        <f aca="false">INDEX(Lists!$F$2:$F$8,$U900)</f>
        <v>Sunday</v>
      </c>
      <c r="W900" s="81" t="n">
        <f aca="false">($G900+$H900)-($E900+$F900)</f>
        <v>6.11581018518519</v>
      </c>
      <c r="X900" s="79" t="str">
        <f aca="false">LOOKUP($M900,Lists!$G$2:$G$5,Lists!$H$2:$H$5)</f>
        <v>₹1,000 - 1,499</v>
      </c>
      <c r="Y900" s="79" t="str">
        <f aca="false">LOOKUP($W900,Lists!$I$2:$I$7,Lists!$J$2:$J$7)</f>
        <v>6 - 8 days</v>
      </c>
    </row>
    <row r="901" customFormat="false" ht="15" hidden="false" customHeight="false" outlineLevel="0" collapsed="false">
      <c r="A901" s="2" t="n">
        <v>900</v>
      </c>
      <c r="B901" s="2" t="s">
        <v>192</v>
      </c>
      <c r="C901" s="2" t="n">
        <v>57</v>
      </c>
      <c r="D901" s="2" t="n">
        <v>3</v>
      </c>
      <c r="E901" s="82" t="n">
        <v>45023</v>
      </c>
      <c r="F901" s="83" t="n">
        <v>0.63125</v>
      </c>
      <c r="G901" s="82" t="n">
        <v>45031</v>
      </c>
      <c r="H901" s="83" t="n">
        <v>0.354780092592593</v>
      </c>
      <c r="I901" s="2" t="s">
        <v>550</v>
      </c>
      <c r="J901" s="2" t="s">
        <v>31</v>
      </c>
      <c r="K901" s="46" t="str">
        <f aca="false">INDEX(Products!$B$2:$B$71,MATCH($C901,Products!$A$2:$A$71,0))</f>
        <v>Voluptatem Box</v>
      </c>
      <c r="L901" s="46" t="str">
        <f aca="false">INDEX(Products!$C$2:$C$71,MATCH($C901,Products!$A$2:$A$71,0))</f>
        <v>Colors</v>
      </c>
      <c r="M901" s="84" t="n">
        <f aca="false">INDEX(Products!$D$2:$D$71,MATCH($C901,Products!$A$2:$A$71,0))</f>
        <v>1582</v>
      </c>
      <c r="N901" s="84" t="n">
        <f aca="false">$D901*$M901</f>
        <v>4746</v>
      </c>
      <c r="O901" s="46" t="str">
        <f aca="false">INDEX(Customers!$C$2:$C$101,MATCH($B901,Customers!$A$2:$A$101,0))</f>
        <v>Serampore</v>
      </c>
      <c r="P901" s="46" t="str">
        <f aca="false">INDEX(Customers!$F$2:$F$101,MATCH($B901,Customers!$A$2:$A$101,0))</f>
        <v>Female</v>
      </c>
      <c r="Q901" s="46" t="str">
        <f aca="false">INDEX(Customers!$B$2:$B$101,MATCH($B901,Customers!$A$2:$A$101,0))</f>
        <v>Kashvi Sur</v>
      </c>
      <c r="R901" s="46" t="n">
        <f aca="false">MONTH($E901)</f>
        <v>4</v>
      </c>
      <c r="S901" s="46" t="str">
        <f aca="false">INDEX(Lists!$B$2:$B$13,$R901)</f>
        <v>April</v>
      </c>
      <c r="T901" s="46" t="n">
        <f aca="false">HOUR($F901)</f>
        <v>15</v>
      </c>
      <c r="U901" s="46" t="n">
        <f aca="false">WEEKDAY($E901,2)</f>
        <v>5</v>
      </c>
      <c r="V901" s="46" t="str">
        <f aca="false">INDEX(Lists!$F$2:$F$8,$U901)</f>
        <v>Friday</v>
      </c>
      <c r="W901" s="85" t="n">
        <f aca="false">($G901+$H901)-($E901+$F901)</f>
        <v>7.72353009259259</v>
      </c>
      <c r="X901" s="46" t="str">
        <f aca="false">LOOKUP($M901,Lists!$G$2:$G$5,Lists!$H$2:$H$5)</f>
        <v>₹1,500 - 2,000</v>
      </c>
      <c r="Y901" s="46" t="str">
        <f aca="false">LOOKUP($W901,Lists!$I$2:$I$7,Lists!$J$2:$J$7)</f>
        <v>6 - 8 days</v>
      </c>
    </row>
    <row r="902" customFormat="false" ht="15" hidden="false" customHeight="false" outlineLevel="0" collapsed="false">
      <c r="A902" s="7" t="n">
        <v>901</v>
      </c>
      <c r="B902" s="7" t="s">
        <v>233</v>
      </c>
      <c r="C902" s="7" t="n">
        <v>27</v>
      </c>
      <c r="D902" s="7" t="n">
        <v>4</v>
      </c>
      <c r="E902" s="77" t="n">
        <v>45160</v>
      </c>
      <c r="F902" s="78" t="n">
        <v>0.330300925925926</v>
      </c>
      <c r="G902" s="77" t="n">
        <v>45165</v>
      </c>
      <c r="H902" s="78" t="n">
        <v>0.0642361111111111</v>
      </c>
      <c r="I902" s="7" t="s">
        <v>335</v>
      </c>
      <c r="J902" s="7" t="s">
        <v>40</v>
      </c>
      <c r="K902" s="79" t="str">
        <f aca="false">INDEX(Products!$B$2:$B$71,MATCH($C902,Products!$A$2:$A$71,0))</f>
        <v>Architecto Gift</v>
      </c>
      <c r="L902" s="79" t="str">
        <f aca="false">INDEX(Products!$C$2:$C$71,MATCH($C902,Products!$A$2:$A$71,0))</f>
        <v>Cake</v>
      </c>
      <c r="M902" s="80" t="n">
        <f aca="false">INDEX(Products!$D$2:$D$71,MATCH($C902,Products!$A$2:$A$71,0))</f>
        <v>548</v>
      </c>
      <c r="N902" s="80" t="n">
        <f aca="false">$D902*$M902</f>
        <v>2192</v>
      </c>
      <c r="O902" s="79" t="str">
        <f aca="false">INDEX(Customers!$C$2:$C$101,MATCH($B902,Customers!$A$2:$A$101,0))</f>
        <v>Vellore</v>
      </c>
      <c r="P902" s="79" t="str">
        <f aca="false">INDEX(Customers!$F$2:$F$101,MATCH($B902,Customers!$A$2:$A$101,0))</f>
        <v>Female</v>
      </c>
      <c r="Q902" s="79" t="str">
        <f aca="false">INDEX(Customers!$B$2:$B$101,MATCH($B902,Customers!$A$2:$A$101,0))</f>
        <v>Yasmin Sheth</v>
      </c>
      <c r="R902" s="79" t="n">
        <f aca="false">MONTH($E902)</f>
        <v>8</v>
      </c>
      <c r="S902" s="79" t="str">
        <f aca="false">INDEX(Lists!$B$2:$B$13,$R902)</f>
        <v>August</v>
      </c>
      <c r="T902" s="79" t="n">
        <f aca="false">HOUR($F902)</f>
        <v>7</v>
      </c>
      <c r="U902" s="79" t="n">
        <f aca="false">WEEKDAY($E902,2)</f>
        <v>2</v>
      </c>
      <c r="V902" s="79" t="str">
        <f aca="false">INDEX(Lists!$F$2:$F$8,$U902)</f>
        <v>Tuesday</v>
      </c>
      <c r="W902" s="81" t="n">
        <f aca="false">($G902+$H902)-($E902+$F902)</f>
        <v>4.73393518518519</v>
      </c>
      <c r="X902" s="79" t="str">
        <f aca="false">LOOKUP($M902,Lists!$G$2:$G$5,Lists!$H$2:$H$5)</f>
        <v>₹500 - 999</v>
      </c>
      <c r="Y902" s="79" t="str">
        <f aca="false">LOOKUP($W902,Lists!$I$2:$I$7,Lists!$J$2:$J$7)</f>
        <v>4 - 6 days</v>
      </c>
    </row>
    <row r="903" customFormat="false" ht="15" hidden="false" customHeight="false" outlineLevel="0" collapsed="false">
      <c r="A903" s="2" t="n">
        <v>902</v>
      </c>
      <c r="B903" s="2" t="s">
        <v>188</v>
      </c>
      <c r="C903" s="2" t="n">
        <v>32</v>
      </c>
      <c r="D903" s="2" t="n">
        <v>5</v>
      </c>
      <c r="E903" s="82" t="n">
        <v>45007</v>
      </c>
      <c r="F903" s="83" t="n">
        <v>0.56244212962963</v>
      </c>
      <c r="G903" s="82" t="n">
        <v>45009</v>
      </c>
      <c r="H903" s="83" t="n">
        <v>0.516678240740741</v>
      </c>
      <c r="I903" s="2" t="s">
        <v>268</v>
      </c>
      <c r="J903" s="2" t="s">
        <v>31</v>
      </c>
      <c r="K903" s="46" t="str">
        <f aca="false">INDEX(Products!$B$2:$B$71,MATCH($C903,Products!$A$2:$A$71,0))</f>
        <v>Fuga Set</v>
      </c>
      <c r="L903" s="46" t="str">
        <f aca="false">INDEX(Products!$C$2:$C$71,MATCH($C903,Products!$A$2:$A$71,0))</f>
        <v>Soft Toys</v>
      </c>
      <c r="M903" s="84" t="n">
        <f aca="false">INDEX(Products!$D$2:$D$71,MATCH($C903,Products!$A$2:$A$71,0))</f>
        <v>1792</v>
      </c>
      <c r="N903" s="84" t="n">
        <f aca="false">$D903*$M903</f>
        <v>8960</v>
      </c>
      <c r="O903" s="46" t="str">
        <f aca="false">INDEX(Customers!$C$2:$C$101,MATCH($B903,Customers!$A$2:$A$101,0))</f>
        <v>Singrauli</v>
      </c>
      <c r="P903" s="46" t="str">
        <f aca="false">INDEX(Customers!$F$2:$F$101,MATCH($B903,Customers!$A$2:$A$101,0))</f>
        <v>Female</v>
      </c>
      <c r="Q903" s="46" t="str">
        <f aca="false">INDEX(Customers!$B$2:$B$101,MATCH($B903,Customers!$A$2:$A$101,0))</f>
        <v>Ira Bava</v>
      </c>
      <c r="R903" s="46" t="n">
        <f aca="false">MONTH($E903)</f>
        <v>3</v>
      </c>
      <c r="S903" s="46" t="str">
        <f aca="false">INDEX(Lists!$B$2:$B$13,$R903)</f>
        <v>March</v>
      </c>
      <c r="T903" s="46" t="n">
        <f aca="false">HOUR($F903)</f>
        <v>13</v>
      </c>
      <c r="U903" s="46" t="n">
        <f aca="false">WEEKDAY($E903,2)</f>
        <v>3</v>
      </c>
      <c r="V903" s="46" t="str">
        <f aca="false">INDEX(Lists!$F$2:$F$8,$U903)</f>
        <v>Wednesday</v>
      </c>
      <c r="W903" s="85" t="n">
        <f aca="false">($G903+$H903)-($E903+$F903)</f>
        <v>1.95423611111111</v>
      </c>
      <c r="X903" s="46" t="str">
        <f aca="false">LOOKUP($M903,Lists!$G$2:$G$5,Lists!$H$2:$H$5)</f>
        <v>₹1,500 - 2,000</v>
      </c>
      <c r="Y903" s="46" t="str">
        <f aca="false">LOOKUP($W903,Lists!$I$2:$I$7,Lists!$J$2:$J$7)</f>
        <v>0 - 2 days</v>
      </c>
    </row>
    <row r="904" customFormat="false" ht="15" hidden="false" customHeight="false" outlineLevel="0" collapsed="false">
      <c r="A904" s="7" t="n">
        <v>903</v>
      </c>
      <c r="B904" s="7" t="s">
        <v>300</v>
      </c>
      <c r="C904" s="7" t="n">
        <v>63</v>
      </c>
      <c r="D904" s="7" t="n">
        <v>2</v>
      </c>
      <c r="E904" s="77" t="n">
        <v>45184</v>
      </c>
      <c r="F904" s="78" t="n">
        <v>0.737766203703704</v>
      </c>
      <c r="G904" s="77" t="n">
        <v>45191</v>
      </c>
      <c r="H904" s="78" t="n">
        <v>0.811550925925926</v>
      </c>
      <c r="I904" s="7" t="s">
        <v>265</v>
      </c>
      <c r="J904" s="7" t="s">
        <v>165</v>
      </c>
      <c r="K904" s="79" t="str">
        <f aca="false">INDEX(Products!$B$2:$B$71,MATCH($C904,Products!$A$2:$A$71,0))</f>
        <v>Adipisci Set</v>
      </c>
      <c r="L904" s="79" t="str">
        <f aca="false">INDEX(Products!$C$2:$C$71,MATCH($C904,Products!$A$2:$A$71,0))</f>
        <v>Sweets</v>
      </c>
      <c r="M904" s="80" t="n">
        <f aca="false">INDEX(Products!$D$2:$D$71,MATCH($C904,Products!$A$2:$A$71,0))</f>
        <v>1348</v>
      </c>
      <c r="N904" s="80" t="n">
        <f aca="false">$D904*$M904</f>
        <v>2696</v>
      </c>
      <c r="O904" s="79" t="str">
        <f aca="false">INDEX(Customers!$C$2:$C$101,MATCH($B904,Customers!$A$2:$A$101,0))</f>
        <v>Malegaon</v>
      </c>
      <c r="P904" s="79" t="str">
        <f aca="false">INDEX(Customers!$F$2:$F$101,MATCH($B904,Customers!$A$2:$A$101,0))</f>
        <v>Female</v>
      </c>
      <c r="Q904" s="79" t="str">
        <f aca="false">INDEX(Customers!$B$2:$B$101,MATCH($B904,Customers!$A$2:$A$101,0))</f>
        <v>Eshani Buch</v>
      </c>
      <c r="R904" s="79" t="n">
        <f aca="false">MONTH($E904)</f>
        <v>9</v>
      </c>
      <c r="S904" s="79" t="str">
        <f aca="false">INDEX(Lists!$B$2:$B$13,$R904)</f>
        <v>September</v>
      </c>
      <c r="T904" s="79" t="n">
        <f aca="false">HOUR($F904)</f>
        <v>17</v>
      </c>
      <c r="U904" s="79" t="n">
        <f aca="false">WEEKDAY($E904,2)</f>
        <v>5</v>
      </c>
      <c r="V904" s="79" t="str">
        <f aca="false">INDEX(Lists!$F$2:$F$8,$U904)</f>
        <v>Friday</v>
      </c>
      <c r="W904" s="81" t="n">
        <f aca="false">($G904+$H904)-($E904+$F904)</f>
        <v>7.07378472222222</v>
      </c>
      <c r="X904" s="79" t="str">
        <f aca="false">LOOKUP($M904,Lists!$G$2:$G$5,Lists!$H$2:$H$5)</f>
        <v>₹1,000 - 1,499</v>
      </c>
      <c r="Y904" s="79" t="str">
        <f aca="false">LOOKUP($W904,Lists!$I$2:$I$7,Lists!$J$2:$J$7)</f>
        <v>6 - 8 days</v>
      </c>
    </row>
    <row r="905" customFormat="false" ht="15" hidden="false" customHeight="false" outlineLevel="0" collapsed="false">
      <c r="A905" s="2" t="n">
        <v>904</v>
      </c>
      <c r="B905" s="2" t="s">
        <v>159</v>
      </c>
      <c r="C905" s="2" t="n">
        <v>2</v>
      </c>
      <c r="D905" s="2" t="n">
        <v>4</v>
      </c>
      <c r="E905" s="82" t="n">
        <v>44969</v>
      </c>
      <c r="F905" s="83" t="n">
        <v>0.920694444444445</v>
      </c>
      <c r="G905" s="82" t="n">
        <v>44974</v>
      </c>
      <c r="H905" s="83" t="n">
        <v>0.0455671296296296</v>
      </c>
      <c r="I905" s="2" t="s">
        <v>489</v>
      </c>
      <c r="J905" s="2" t="s">
        <v>179</v>
      </c>
      <c r="K905" s="46" t="str">
        <f aca="false">INDEX(Products!$B$2:$B$71,MATCH($C905,Products!$A$2:$A$71,0))</f>
        <v>Voluptas Box</v>
      </c>
      <c r="L905" s="46" t="str">
        <f aca="false">INDEX(Products!$C$2:$C$71,MATCH($C905,Products!$A$2:$A$71,0))</f>
        <v>Plants</v>
      </c>
      <c r="M905" s="84" t="n">
        <f aca="false">INDEX(Products!$D$2:$D$71,MATCH($C905,Products!$A$2:$A$71,0))</f>
        <v>441</v>
      </c>
      <c r="N905" s="84" t="n">
        <f aca="false">$D905*$M905</f>
        <v>1764</v>
      </c>
      <c r="O905" s="46" t="str">
        <f aca="false">INDEX(Customers!$C$2:$C$101,MATCH($B905,Customers!$A$2:$A$101,0))</f>
        <v>Mangalore</v>
      </c>
      <c r="P905" s="46" t="str">
        <f aca="false">INDEX(Customers!$F$2:$F$101,MATCH($B905,Customers!$A$2:$A$101,0))</f>
        <v>Female</v>
      </c>
      <c r="Q905" s="46" t="str">
        <f aca="false">INDEX(Customers!$B$2:$B$101,MATCH($B905,Customers!$A$2:$A$101,0))</f>
        <v>Manikya Goswami</v>
      </c>
      <c r="R905" s="46" t="n">
        <f aca="false">MONTH($E905)</f>
        <v>2</v>
      </c>
      <c r="S905" s="46" t="str">
        <f aca="false">INDEX(Lists!$B$2:$B$13,$R905)</f>
        <v>February</v>
      </c>
      <c r="T905" s="46" t="n">
        <f aca="false">HOUR($F905)</f>
        <v>22</v>
      </c>
      <c r="U905" s="46" t="n">
        <f aca="false">WEEKDAY($E905,2)</f>
        <v>7</v>
      </c>
      <c r="V905" s="46" t="str">
        <f aca="false">INDEX(Lists!$F$2:$F$8,$U905)</f>
        <v>Sunday</v>
      </c>
      <c r="W905" s="85" t="n">
        <f aca="false">($G905+$H905)-($E905+$F905)</f>
        <v>4.12487268518519</v>
      </c>
      <c r="X905" s="46" t="str">
        <f aca="false">LOOKUP($M905,Lists!$G$2:$G$5,Lists!$H$2:$H$5)</f>
        <v>₹0 - 499</v>
      </c>
      <c r="Y905" s="46" t="str">
        <f aca="false">LOOKUP($W905,Lists!$I$2:$I$7,Lists!$J$2:$J$7)</f>
        <v>4 - 6 days</v>
      </c>
    </row>
    <row r="906" customFormat="false" ht="15" hidden="false" customHeight="false" outlineLevel="0" collapsed="false">
      <c r="A906" s="7" t="n">
        <v>905</v>
      </c>
      <c r="B906" s="7" t="s">
        <v>338</v>
      </c>
      <c r="C906" s="7" t="n">
        <v>58</v>
      </c>
      <c r="D906" s="7" t="n">
        <v>1</v>
      </c>
      <c r="E906" s="77" t="n">
        <v>44967</v>
      </c>
      <c r="F906" s="78" t="n">
        <v>0.813599537037037</v>
      </c>
      <c r="G906" s="77" t="n">
        <v>44973</v>
      </c>
      <c r="H906" s="78" t="n">
        <v>0.355717592592593</v>
      </c>
      <c r="I906" s="7" t="s">
        <v>420</v>
      </c>
      <c r="J906" s="7" t="s">
        <v>179</v>
      </c>
      <c r="K906" s="79" t="str">
        <f aca="false">INDEX(Products!$B$2:$B$71,MATCH($C906,Products!$A$2:$A$71,0))</f>
        <v>Sed Pack</v>
      </c>
      <c r="L906" s="79" t="str">
        <f aca="false">INDEX(Products!$C$2:$C$71,MATCH($C906,Products!$A$2:$A$71,0))</f>
        <v>Cake</v>
      </c>
      <c r="M906" s="80" t="n">
        <f aca="false">INDEX(Products!$D$2:$D$71,MATCH($C906,Products!$A$2:$A$71,0))</f>
        <v>1492</v>
      </c>
      <c r="N906" s="80" t="n">
        <f aca="false">$D906*$M906</f>
        <v>1492</v>
      </c>
      <c r="O906" s="79" t="str">
        <f aca="false">INDEX(Customers!$C$2:$C$101,MATCH($B906,Customers!$A$2:$A$101,0))</f>
        <v>Bhopal</v>
      </c>
      <c r="P906" s="79" t="str">
        <f aca="false">INDEX(Customers!$F$2:$F$101,MATCH($B906,Customers!$A$2:$A$101,0))</f>
        <v>Male</v>
      </c>
      <c r="Q906" s="79" t="str">
        <f aca="false">INDEX(Customers!$B$2:$B$101,MATCH($B906,Customers!$A$2:$A$101,0))</f>
        <v>Mohanlal Garde</v>
      </c>
      <c r="R906" s="79" t="n">
        <f aca="false">MONTH($E906)</f>
        <v>2</v>
      </c>
      <c r="S906" s="79" t="str">
        <f aca="false">INDEX(Lists!$B$2:$B$13,$R906)</f>
        <v>February</v>
      </c>
      <c r="T906" s="79" t="n">
        <f aca="false">HOUR($F906)</f>
        <v>19</v>
      </c>
      <c r="U906" s="79" t="n">
        <f aca="false">WEEKDAY($E906,2)</f>
        <v>5</v>
      </c>
      <c r="V906" s="79" t="str">
        <f aca="false">INDEX(Lists!$F$2:$F$8,$U906)</f>
        <v>Friday</v>
      </c>
      <c r="W906" s="81" t="n">
        <f aca="false">($G906+$H906)-($E906+$F906)</f>
        <v>5.54211805555556</v>
      </c>
      <c r="X906" s="79" t="str">
        <f aca="false">LOOKUP($M906,Lists!$G$2:$G$5,Lists!$H$2:$H$5)</f>
        <v>₹1,000 - 1,499</v>
      </c>
      <c r="Y906" s="79" t="str">
        <f aca="false">LOOKUP($W906,Lists!$I$2:$I$7,Lists!$J$2:$J$7)</f>
        <v>4 - 6 days</v>
      </c>
    </row>
    <row r="907" customFormat="false" ht="15" hidden="false" customHeight="false" outlineLevel="0" collapsed="false">
      <c r="A907" s="2" t="n">
        <v>906</v>
      </c>
      <c r="B907" s="2" t="s">
        <v>392</v>
      </c>
      <c r="C907" s="2" t="n">
        <v>49</v>
      </c>
      <c r="D907" s="2" t="n">
        <v>3</v>
      </c>
      <c r="E907" s="82" t="n">
        <v>44963</v>
      </c>
      <c r="F907" s="83" t="n">
        <v>0.0530092592592593</v>
      </c>
      <c r="G907" s="82" t="n">
        <v>44973</v>
      </c>
      <c r="H907" s="83" t="n">
        <v>0.385277777777778</v>
      </c>
      <c r="I907" s="2" t="s">
        <v>430</v>
      </c>
      <c r="J907" s="2" t="s">
        <v>179</v>
      </c>
      <c r="K907" s="46" t="str">
        <f aca="false">INDEX(Products!$B$2:$B$71,MATCH($C907,Products!$A$2:$A$71,0))</f>
        <v>Voluptate Pack</v>
      </c>
      <c r="L907" s="46" t="str">
        <f aca="false">INDEX(Products!$C$2:$C$71,MATCH($C907,Products!$A$2:$A$71,0))</f>
        <v>Colors</v>
      </c>
      <c r="M907" s="84" t="n">
        <f aca="false">INDEX(Products!$D$2:$D$71,MATCH($C907,Products!$A$2:$A$71,0))</f>
        <v>903</v>
      </c>
      <c r="N907" s="84" t="n">
        <f aca="false">$D907*$M907</f>
        <v>2709</v>
      </c>
      <c r="O907" s="46" t="str">
        <f aca="false">INDEX(Customers!$C$2:$C$101,MATCH($B907,Customers!$A$2:$A$101,0))</f>
        <v>Phagwara</v>
      </c>
      <c r="P907" s="46" t="str">
        <f aca="false">INDEX(Customers!$F$2:$F$101,MATCH($B907,Customers!$A$2:$A$101,0))</f>
        <v>Female</v>
      </c>
      <c r="Q907" s="46" t="str">
        <f aca="false">INDEX(Customers!$B$2:$B$101,MATCH($B907,Customers!$A$2:$A$101,0))</f>
        <v>Pranay Chaudhary</v>
      </c>
      <c r="R907" s="46" t="n">
        <f aca="false">MONTH($E907)</f>
        <v>2</v>
      </c>
      <c r="S907" s="46" t="str">
        <f aca="false">INDEX(Lists!$B$2:$B$13,$R907)</f>
        <v>February</v>
      </c>
      <c r="T907" s="46" t="n">
        <f aca="false">HOUR($F907)</f>
        <v>1</v>
      </c>
      <c r="U907" s="46" t="n">
        <f aca="false">WEEKDAY($E907,2)</f>
        <v>1</v>
      </c>
      <c r="V907" s="46" t="str">
        <f aca="false">INDEX(Lists!$F$2:$F$8,$U907)</f>
        <v>Monday</v>
      </c>
      <c r="W907" s="85" t="n">
        <f aca="false">($G907+$H907)-($E907+$F907)</f>
        <v>10.3322685185185</v>
      </c>
      <c r="X907" s="46" t="str">
        <f aca="false">LOOKUP($M907,Lists!$G$2:$G$5,Lists!$H$2:$H$5)</f>
        <v>₹500 - 999</v>
      </c>
      <c r="Y907" s="46" t="str">
        <f aca="false">LOOKUP($W907,Lists!$I$2:$I$7,Lists!$J$2:$J$7)</f>
        <v>Over 10 days</v>
      </c>
    </row>
    <row r="908" customFormat="false" ht="15" hidden="false" customHeight="false" outlineLevel="0" collapsed="false">
      <c r="A908" s="7" t="n">
        <v>907</v>
      </c>
      <c r="B908" s="7" t="s">
        <v>242</v>
      </c>
      <c r="C908" s="7" t="n">
        <v>30</v>
      </c>
      <c r="D908" s="7" t="n">
        <v>2</v>
      </c>
      <c r="E908" s="77" t="n">
        <v>45035</v>
      </c>
      <c r="F908" s="78" t="n">
        <v>0.900474537037037</v>
      </c>
      <c r="G908" s="77" t="n">
        <v>45041</v>
      </c>
      <c r="H908" s="78" t="n">
        <v>0.466701388888889</v>
      </c>
      <c r="I908" s="7" t="s">
        <v>293</v>
      </c>
      <c r="J908" s="7" t="s">
        <v>168</v>
      </c>
      <c r="K908" s="79" t="str">
        <f aca="false">INDEX(Products!$B$2:$B$71,MATCH($C908,Products!$A$2:$A$71,0))</f>
        <v>Recusandae Pack</v>
      </c>
      <c r="L908" s="79" t="str">
        <f aca="false">INDEX(Products!$C$2:$C$71,MATCH($C908,Products!$A$2:$A$71,0))</f>
        <v>Colors</v>
      </c>
      <c r="M908" s="80" t="n">
        <f aca="false">INDEX(Products!$D$2:$D$71,MATCH($C908,Products!$A$2:$A$71,0))</f>
        <v>751</v>
      </c>
      <c r="N908" s="80" t="n">
        <f aca="false">$D908*$M908</f>
        <v>1502</v>
      </c>
      <c r="O908" s="79" t="str">
        <f aca="false">INDEX(Customers!$C$2:$C$101,MATCH($B908,Customers!$A$2:$A$101,0))</f>
        <v>Guna</v>
      </c>
      <c r="P908" s="79" t="str">
        <f aca="false">INDEX(Customers!$F$2:$F$101,MATCH($B908,Customers!$A$2:$A$101,0))</f>
        <v>Male</v>
      </c>
      <c r="Q908" s="79" t="str">
        <f aca="false">INDEX(Customers!$B$2:$B$101,MATCH($B908,Customers!$A$2:$A$101,0))</f>
        <v>Tara Kannan</v>
      </c>
      <c r="R908" s="79" t="n">
        <f aca="false">MONTH($E908)</f>
        <v>4</v>
      </c>
      <c r="S908" s="79" t="str">
        <f aca="false">INDEX(Lists!$B$2:$B$13,$R908)</f>
        <v>April</v>
      </c>
      <c r="T908" s="79" t="n">
        <f aca="false">HOUR($F908)</f>
        <v>21</v>
      </c>
      <c r="U908" s="79" t="n">
        <f aca="false">WEEKDAY($E908,2)</f>
        <v>3</v>
      </c>
      <c r="V908" s="79" t="str">
        <f aca="false">INDEX(Lists!$F$2:$F$8,$U908)</f>
        <v>Wednesday</v>
      </c>
      <c r="W908" s="81" t="n">
        <f aca="false">($G908+$H908)-($E908+$F908)</f>
        <v>5.56622685185185</v>
      </c>
      <c r="X908" s="79" t="str">
        <f aca="false">LOOKUP($M908,Lists!$G$2:$G$5,Lists!$H$2:$H$5)</f>
        <v>₹500 - 999</v>
      </c>
      <c r="Y908" s="79" t="str">
        <f aca="false">LOOKUP($W908,Lists!$I$2:$I$7,Lists!$J$2:$J$7)</f>
        <v>4 - 6 days</v>
      </c>
    </row>
    <row r="909" customFormat="false" ht="15" hidden="false" customHeight="false" outlineLevel="0" collapsed="false">
      <c r="A909" s="2" t="n">
        <v>908</v>
      </c>
      <c r="B909" s="2" t="s">
        <v>366</v>
      </c>
      <c r="C909" s="2" t="n">
        <v>28</v>
      </c>
      <c r="D909" s="2" t="n">
        <v>5</v>
      </c>
      <c r="E909" s="82" t="n">
        <v>45160</v>
      </c>
      <c r="F909" s="83" t="n">
        <v>0.660706018518519</v>
      </c>
      <c r="G909" s="82" t="n">
        <v>45162</v>
      </c>
      <c r="H909" s="83" t="n">
        <v>0.951481481481482</v>
      </c>
      <c r="I909" s="2" t="s">
        <v>516</v>
      </c>
      <c r="J909" s="2" t="s">
        <v>40</v>
      </c>
      <c r="K909" s="46" t="str">
        <f aca="false">INDEX(Products!$B$2:$B$71,MATCH($C909,Products!$A$2:$A$71,0))</f>
        <v>Velit Set</v>
      </c>
      <c r="L909" s="46" t="str">
        <f aca="false">INDEX(Products!$C$2:$C$71,MATCH($C909,Products!$A$2:$A$71,0))</f>
        <v>Sweets</v>
      </c>
      <c r="M909" s="84" t="n">
        <f aca="false">INDEX(Products!$D$2:$D$71,MATCH($C909,Products!$A$2:$A$71,0))</f>
        <v>1778</v>
      </c>
      <c r="N909" s="84" t="n">
        <f aca="false">$D909*$M909</f>
        <v>8890</v>
      </c>
      <c r="O909" s="46" t="str">
        <f aca="false">INDEX(Customers!$C$2:$C$101,MATCH($B909,Customers!$A$2:$A$101,0))</f>
        <v>Anantapuram</v>
      </c>
      <c r="P909" s="46" t="str">
        <f aca="false">INDEX(Customers!$F$2:$F$101,MATCH($B909,Customers!$A$2:$A$101,0))</f>
        <v>Female</v>
      </c>
      <c r="Q909" s="46" t="str">
        <f aca="false">INDEX(Customers!$B$2:$B$101,MATCH($B909,Customers!$A$2:$A$101,0))</f>
        <v>Drishya De</v>
      </c>
      <c r="R909" s="46" t="n">
        <f aca="false">MONTH($E909)</f>
        <v>8</v>
      </c>
      <c r="S909" s="46" t="str">
        <f aca="false">INDEX(Lists!$B$2:$B$13,$R909)</f>
        <v>August</v>
      </c>
      <c r="T909" s="46" t="n">
        <f aca="false">HOUR($F909)</f>
        <v>15</v>
      </c>
      <c r="U909" s="46" t="n">
        <f aca="false">WEEKDAY($E909,2)</f>
        <v>2</v>
      </c>
      <c r="V909" s="46" t="str">
        <f aca="false">INDEX(Lists!$F$2:$F$8,$U909)</f>
        <v>Tuesday</v>
      </c>
      <c r="W909" s="85" t="n">
        <f aca="false">($G909+$H909)-($E909+$F909)</f>
        <v>2.29077546296296</v>
      </c>
      <c r="X909" s="46" t="str">
        <f aca="false">LOOKUP($M909,Lists!$G$2:$G$5,Lists!$H$2:$H$5)</f>
        <v>₹1,500 - 2,000</v>
      </c>
      <c r="Y909" s="46" t="str">
        <f aca="false">LOOKUP($W909,Lists!$I$2:$I$7,Lists!$J$2:$J$7)</f>
        <v>2 - 4 days</v>
      </c>
    </row>
    <row r="910" customFormat="false" ht="15" hidden="false" customHeight="false" outlineLevel="0" collapsed="false">
      <c r="A910" s="7" t="n">
        <v>909</v>
      </c>
      <c r="B910" s="7" t="s">
        <v>350</v>
      </c>
      <c r="C910" s="7" t="n">
        <v>42</v>
      </c>
      <c r="D910" s="7" t="n">
        <v>1</v>
      </c>
      <c r="E910" s="77" t="n">
        <v>45234</v>
      </c>
      <c r="F910" s="78" t="n">
        <v>0.322118055555556</v>
      </c>
      <c r="G910" s="77" t="n">
        <v>45238</v>
      </c>
      <c r="H910" s="78" t="n">
        <v>0.93431712962963</v>
      </c>
      <c r="I910" s="7" t="s">
        <v>418</v>
      </c>
      <c r="J910" s="7" t="s">
        <v>165</v>
      </c>
      <c r="K910" s="79" t="str">
        <f aca="false">INDEX(Products!$B$2:$B$71,MATCH($C910,Products!$A$2:$A$71,0))</f>
        <v>Expedita Gift</v>
      </c>
      <c r="L910" s="79" t="str">
        <f aca="false">INDEX(Products!$C$2:$C$71,MATCH($C910,Products!$A$2:$A$71,0))</f>
        <v>Sweets</v>
      </c>
      <c r="M910" s="80" t="n">
        <f aca="false">INDEX(Products!$D$2:$D$71,MATCH($C910,Products!$A$2:$A$71,0))</f>
        <v>1744</v>
      </c>
      <c r="N910" s="80" t="n">
        <f aca="false">$D910*$M910</f>
        <v>1744</v>
      </c>
      <c r="O910" s="79" t="str">
        <f aca="false">INDEX(Customers!$C$2:$C$101,MATCH($B910,Customers!$A$2:$A$101,0))</f>
        <v>Tiruchirappalli</v>
      </c>
      <c r="P910" s="79" t="str">
        <f aca="false">INDEX(Customers!$F$2:$F$101,MATCH($B910,Customers!$A$2:$A$101,0))</f>
        <v>Male</v>
      </c>
      <c r="Q910" s="79" t="str">
        <f aca="false">INDEX(Customers!$B$2:$B$101,MATCH($B910,Customers!$A$2:$A$101,0))</f>
        <v>Anahita Shankar</v>
      </c>
      <c r="R910" s="79" t="n">
        <f aca="false">MONTH($E910)</f>
        <v>11</v>
      </c>
      <c r="S910" s="79" t="str">
        <f aca="false">INDEX(Lists!$B$2:$B$13,$R910)</f>
        <v>November</v>
      </c>
      <c r="T910" s="79" t="n">
        <f aca="false">HOUR($F910)</f>
        <v>7</v>
      </c>
      <c r="U910" s="79" t="n">
        <f aca="false">WEEKDAY($E910,2)</f>
        <v>6</v>
      </c>
      <c r="V910" s="79" t="str">
        <f aca="false">INDEX(Lists!$F$2:$F$8,$U910)</f>
        <v>Saturday</v>
      </c>
      <c r="W910" s="81" t="n">
        <f aca="false">($G910+$H910)-($E910+$F910)</f>
        <v>4.61219907407407</v>
      </c>
      <c r="X910" s="79" t="str">
        <f aca="false">LOOKUP($M910,Lists!$G$2:$G$5,Lists!$H$2:$H$5)</f>
        <v>₹1,500 - 2,000</v>
      </c>
      <c r="Y910" s="79" t="str">
        <f aca="false">LOOKUP($W910,Lists!$I$2:$I$7,Lists!$J$2:$J$7)</f>
        <v>4 - 6 days</v>
      </c>
    </row>
    <row r="911" customFormat="false" ht="15" hidden="false" customHeight="false" outlineLevel="0" collapsed="false">
      <c r="A911" s="2" t="n">
        <v>910</v>
      </c>
      <c r="B911" s="2" t="s">
        <v>300</v>
      </c>
      <c r="C911" s="2" t="n">
        <v>55</v>
      </c>
      <c r="D911" s="2" t="n">
        <v>4</v>
      </c>
      <c r="E911" s="82" t="n">
        <v>45164</v>
      </c>
      <c r="F911" s="83" t="n">
        <v>0.0856828703703704</v>
      </c>
      <c r="G911" s="82" t="n">
        <v>45173</v>
      </c>
      <c r="H911" s="83" t="n">
        <v>0.710532407407407</v>
      </c>
      <c r="I911" s="2" t="s">
        <v>447</v>
      </c>
      <c r="J911" s="2" t="s">
        <v>40</v>
      </c>
      <c r="K911" s="46" t="str">
        <f aca="false">INDEX(Products!$B$2:$B$71,MATCH($C911,Products!$A$2:$A$71,0))</f>
        <v>Dolores Gift</v>
      </c>
      <c r="L911" s="46" t="str">
        <f aca="false">INDEX(Products!$C$2:$C$71,MATCH($C911,Products!$A$2:$A$71,0))</f>
        <v>Soft Toys</v>
      </c>
      <c r="M911" s="84" t="n">
        <f aca="false">INDEX(Products!$D$2:$D$71,MATCH($C911,Products!$A$2:$A$71,0))</f>
        <v>1904</v>
      </c>
      <c r="N911" s="84" t="n">
        <f aca="false">$D911*$M911</f>
        <v>7616</v>
      </c>
      <c r="O911" s="46" t="str">
        <f aca="false">INDEX(Customers!$C$2:$C$101,MATCH($B911,Customers!$A$2:$A$101,0))</f>
        <v>Malegaon</v>
      </c>
      <c r="P911" s="46" t="str">
        <f aca="false">INDEX(Customers!$F$2:$F$101,MATCH($B911,Customers!$A$2:$A$101,0))</f>
        <v>Female</v>
      </c>
      <c r="Q911" s="46" t="str">
        <f aca="false">INDEX(Customers!$B$2:$B$101,MATCH($B911,Customers!$A$2:$A$101,0))</f>
        <v>Eshani Buch</v>
      </c>
      <c r="R911" s="46" t="n">
        <f aca="false">MONTH($E911)</f>
        <v>8</v>
      </c>
      <c r="S911" s="46" t="str">
        <f aca="false">INDEX(Lists!$B$2:$B$13,$R911)</f>
        <v>August</v>
      </c>
      <c r="T911" s="46" t="n">
        <f aca="false">HOUR($F911)</f>
        <v>2</v>
      </c>
      <c r="U911" s="46" t="n">
        <f aca="false">WEEKDAY($E911,2)</f>
        <v>6</v>
      </c>
      <c r="V911" s="46" t="str">
        <f aca="false">INDEX(Lists!$F$2:$F$8,$U911)</f>
        <v>Saturday</v>
      </c>
      <c r="W911" s="85" t="n">
        <f aca="false">($G911+$H911)-($E911+$F911)</f>
        <v>9.62484953703704</v>
      </c>
      <c r="X911" s="46" t="str">
        <f aca="false">LOOKUP($M911,Lists!$G$2:$G$5,Lists!$H$2:$H$5)</f>
        <v>₹1,500 - 2,000</v>
      </c>
      <c r="Y911" s="46" t="str">
        <f aca="false">LOOKUP($W911,Lists!$I$2:$I$7,Lists!$J$2:$J$7)</f>
        <v>8 - 10 days</v>
      </c>
    </row>
    <row r="912" customFormat="false" ht="15" hidden="false" customHeight="false" outlineLevel="0" collapsed="false">
      <c r="A912" s="7" t="n">
        <v>911</v>
      </c>
      <c r="B912" s="7" t="s">
        <v>313</v>
      </c>
      <c r="C912" s="7" t="n">
        <v>22</v>
      </c>
      <c r="D912" s="7" t="n">
        <v>4</v>
      </c>
      <c r="E912" s="77" t="n">
        <v>44949</v>
      </c>
      <c r="F912" s="78" t="n">
        <v>0.221435185185185</v>
      </c>
      <c r="G912" s="77" t="n">
        <v>44954</v>
      </c>
      <c r="H912" s="78" t="n">
        <v>0.0661921296296296</v>
      </c>
      <c r="I912" s="7" t="s">
        <v>505</v>
      </c>
      <c r="J912" s="7" t="s">
        <v>165</v>
      </c>
      <c r="K912" s="79" t="str">
        <f aca="false">INDEX(Products!$B$2:$B$71,MATCH($C912,Products!$A$2:$A$71,0))</f>
        <v>Exercitationem Pack</v>
      </c>
      <c r="L912" s="79" t="str">
        <f aca="false">INDEX(Products!$C$2:$C$71,MATCH($C912,Products!$A$2:$A$71,0))</f>
        <v>Soft Toys</v>
      </c>
      <c r="M912" s="80" t="n">
        <f aca="false">INDEX(Products!$D$2:$D$71,MATCH($C912,Products!$A$2:$A$71,0))</f>
        <v>1639</v>
      </c>
      <c r="N912" s="80" t="n">
        <f aca="false">$D912*$M912</f>
        <v>6556</v>
      </c>
      <c r="O912" s="79" t="str">
        <f aca="false">INDEX(Customers!$C$2:$C$101,MATCH($B912,Customers!$A$2:$A$101,0))</f>
        <v>Tiruppur</v>
      </c>
      <c r="P912" s="79" t="str">
        <f aca="false">INDEX(Customers!$F$2:$F$101,MATCH($B912,Customers!$A$2:$A$101,0))</f>
        <v>Male</v>
      </c>
      <c r="Q912" s="79" t="str">
        <f aca="false">INDEX(Customers!$B$2:$B$101,MATCH($B912,Customers!$A$2:$A$101,0))</f>
        <v>Purab Sheth</v>
      </c>
      <c r="R912" s="79" t="n">
        <f aca="false">MONTH($E912)</f>
        <v>1</v>
      </c>
      <c r="S912" s="79" t="str">
        <f aca="false">INDEX(Lists!$B$2:$B$13,$R912)</f>
        <v>January</v>
      </c>
      <c r="T912" s="79" t="n">
        <f aca="false">HOUR($F912)</f>
        <v>5</v>
      </c>
      <c r="U912" s="79" t="n">
        <f aca="false">WEEKDAY($E912,2)</f>
        <v>1</v>
      </c>
      <c r="V912" s="79" t="str">
        <f aca="false">INDEX(Lists!$F$2:$F$8,$U912)</f>
        <v>Monday</v>
      </c>
      <c r="W912" s="81" t="n">
        <f aca="false">($G912+$H912)-($E912+$F912)</f>
        <v>4.84475694444445</v>
      </c>
      <c r="X912" s="79" t="str">
        <f aca="false">LOOKUP($M912,Lists!$G$2:$G$5,Lists!$H$2:$H$5)</f>
        <v>₹1,500 - 2,000</v>
      </c>
      <c r="Y912" s="79" t="str">
        <f aca="false">LOOKUP($W912,Lists!$I$2:$I$7,Lists!$J$2:$J$7)</f>
        <v>4 - 6 days</v>
      </c>
    </row>
    <row r="913" customFormat="false" ht="15" hidden="false" customHeight="false" outlineLevel="0" collapsed="false">
      <c r="A913" s="2" t="n">
        <v>912</v>
      </c>
      <c r="B913" s="2" t="s">
        <v>288</v>
      </c>
      <c r="C913" s="2" t="n">
        <v>9</v>
      </c>
      <c r="D913" s="2" t="n">
        <v>4</v>
      </c>
      <c r="E913" s="82" t="n">
        <v>45167</v>
      </c>
      <c r="F913" s="83" t="n">
        <v>0.13193287037037</v>
      </c>
      <c r="G913" s="82" t="n">
        <v>45175</v>
      </c>
      <c r="H913" s="83" t="n">
        <v>0.48349537037037</v>
      </c>
      <c r="I913" s="2" t="s">
        <v>387</v>
      </c>
      <c r="J913" s="2" t="s">
        <v>40</v>
      </c>
      <c r="K913" s="46" t="str">
        <f aca="false">INDEX(Products!$B$2:$B$71,MATCH($C913,Products!$A$2:$A$71,0))</f>
        <v>Aperiam Box</v>
      </c>
      <c r="L913" s="46" t="str">
        <f aca="false">INDEX(Products!$C$2:$C$71,MATCH($C913,Products!$A$2:$A$71,0))</f>
        <v>Colors</v>
      </c>
      <c r="M913" s="84" t="n">
        <f aca="false">INDEX(Products!$D$2:$D$71,MATCH($C913,Products!$A$2:$A$71,0))</f>
        <v>1605</v>
      </c>
      <c r="N913" s="84" t="n">
        <f aca="false">$D913*$M913</f>
        <v>6420</v>
      </c>
      <c r="O913" s="46" t="str">
        <f aca="false">INDEX(Customers!$C$2:$C$101,MATCH($B913,Customers!$A$2:$A$101,0))</f>
        <v>Nagpur</v>
      </c>
      <c r="P913" s="46" t="str">
        <f aca="false">INDEX(Customers!$F$2:$F$101,MATCH($B913,Customers!$A$2:$A$101,0))</f>
        <v>Male</v>
      </c>
      <c r="Q913" s="46" t="str">
        <f aca="false">INDEX(Customers!$B$2:$B$101,MATCH($B913,Customers!$A$2:$A$101,0))</f>
        <v>Inaaya  Sarraf</v>
      </c>
      <c r="R913" s="46" t="n">
        <f aca="false">MONTH($E913)</f>
        <v>8</v>
      </c>
      <c r="S913" s="46" t="str">
        <f aca="false">INDEX(Lists!$B$2:$B$13,$R913)</f>
        <v>August</v>
      </c>
      <c r="T913" s="46" t="n">
        <f aca="false">HOUR($F913)</f>
        <v>3</v>
      </c>
      <c r="U913" s="46" t="n">
        <f aca="false">WEEKDAY($E913,2)</f>
        <v>2</v>
      </c>
      <c r="V913" s="46" t="str">
        <f aca="false">INDEX(Lists!$F$2:$F$8,$U913)</f>
        <v>Tuesday</v>
      </c>
      <c r="W913" s="85" t="n">
        <f aca="false">($G913+$H913)-($E913+$F913)</f>
        <v>8.3515625</v>
      </c>
      <c r="X913" s="46" t="str">
        <f aca="false">LOOKUP($M913,Lists!$G$2:$G$5,Lists!$H$2:$H$5)</f>
        <v>₹1,500 - 2,000</v>
      </c>
      <c r="Y913" s="46" t="str">
        <f aca="false">LOOKUP($W913,Lists!$I$2:$I$7,Lists!$J$2:$J$7)</f>
        <v>8 - 10 days</v>
      </c>
    </row>
    <row r="914" customFormat="false" ht="15" hidden="false" customHeight="false" outlineLevel="0" collapsed="false">
      <c r="A914" s="7" t="n">
        <v>913</v>
      </c>
      <c r="B914" s="7" t="s">
        <v>372</v>
      </c>
      <c r="C914" s="7" t="n">
        <v>56</v>
      </c>
      <c r="D914" s="7" t="n">
        <v>5</v>
      </c>
      <c r="E914" s="77" t="n">
        <v>45270</v>
      </c>
      <c r="F914" s="78" t="n">
        <v>0.777361111111111</v>
      </c>
      <c r="G914" s="77" t="n">
        <v>45272</v>
      </c>
      <c r="H914" s="78" t="n">
        <v>0.234108796296296</v>
      </c>
      <c r="I914" s="7" t="s">
        <v>232</v>
      </c>
      <c r="J914" s="7" t="s">
        <v>168</v>
      </c>
      <c r="K914" s="79" t="str">
        <f aca="false">INDEX(Products!$B$2:$B$71,MATCH($C914,Products!$A$2:$A$71,0))</f>
        <v>Quia Gift</v>
      </c>
      <c r="L914" s="79" t="str">
        <f aca="false">INDEX(Products!$C$2:$C$71,MATCH($C914,Products!$A$2:$A$71,0))</f>
        <v>Raksha Bandhan</v>
      </c>
      <c r="M914" s="80" t="n">
        <f aca="false">INDEX(Products!$D$2:$D$71,MATCH($C914,Products!$A$2:$A$71,0))</f>
        <v>1272</v>
      </c>
      <c r="N914" s="80" t="n">
        <f aca="false">$D914*$M914</f>
        <v>6360</v>
      </c>
      <c r="O914" s="79" t="str">
        <f aca="false">INDEX(Customers!$C$2:$C$101,MATCH($B914,Customers!$A$2:$A$101,0))</f>
        <v>Dibrugarh</v>
      </c>
      <c r="P914" s="79" t="str">
        <f aca="false">INDEX(Customers!$F$2:$F$101,MATCH($B914,Customers!$A$2:$A$101,0))</f>
        <v>Male</v>
      </c>
      <c r="Q914" s="79" t="str">
        <f aca="false">INDEX(Customers!$B$2:$B$101,MATCH($B914,Customers!$A$2:$A$101,0))</f>
        <v>Zoya Mani</v>
      </c>
      <c r="R914" s="79" t="n">
        <f aca="false">MONTH($E914)</f>
        <v>12</v>
      </c>
      <c r="S914" s="79" t="str">
        <f aca="false">INDEX(Lists!$B$2:$B$13,$R914)</f>
        <v>December</v>
      </c>
      <c r="T914" s="79" t="n">
        <f aca="false">HOUR($F914)</f>
        <v>18</v>
      </c>
      <c r="U914" s="79" t="n">
        <f aca="false">WEEKDAY($E914,2)</f>
        <v>7</v>
      </c>
      <c r="V914" s="79" t="str">
        <f aca="false">INDEX(Lists!$F$2:$F$8,$U914)</f>
        <v>Sunday</v>
      </c>
      <c r="W914" s="81" t="n">
        <f aca="false">($G914+$H914)-($E914+$F914)</f>
        <v>1.45674768518519</v>
      </c>
      <c r="X914" s="79" t="str">
        <f aca="false">LOOKUP($M914,Lists!$G$2:$G$5,Lists!$H$2:$H$5)</f>
        <v>₹1,000 - 1,499</v>
      </c>
      <c r="Y914" s="79" t="str">
        <f aca="false">LOOKUP($W914,Lists!$I$2:$I$7,Lists!$J$2:$J$7)</f>
        <v>0 - 2 days</v>
      </c>
    </row>
    <row r="915" customFormat="false" ht="15" hidden="false" customHeight="false" outlineLevel="0" collapsed="false">
      <c r="A915" s="2" t="n">
        <v>914</v>
      </c>
      <c r="B915" s="2" t="s">
        <v>248</v>
      </c>
      <c r="C915" s="2" t="n">
        <v>33</v>
      </c>
      <c r="D915" s="2" t="n">
        <v>4</v>
      </c>
      <c r="E915" s="82" t="n">
        <v>44966</v>
      </c>
      <c r="F915" s="83" t="n">
        <v>0.619652777777778</v>
      </c>
      <c r="G915" s="82" t="n">
        <v>44971</v>
      </c>
      <c r="H915" s="83" t="n">
        <v>0.40787037037037</v>
      </c>
      <c r="I915" s="2" t="s">
        <v>555</v>
      </c>
      <c r="J915" s="2" t="s">
        <v>179</v>
      </c>
      <c r="K915" s="46" t="str">
        <f aca="false">INDEX(Products!$B$2:$B$71,MATCH($C915,Products!$A$2:$A$71,0))</f>
        <v>Earum Set</v>
      </c>
      <c r="L915" s="46" t="str">
        <f aca="false">INDEX(Products!$C$2:$C$71,MATCH($C915,Products!$A$2:$A$71,0))</f>
        <v>Colors</v>
      </c>
      <c r="M915" s="84" t="n">
        <f aca="false">INDEX(Products!$D$2:$D$71,MATCH($C915,Products!$A$2:$A$71,0))</f>
        <v>314</v>
      </c>
      <c r="N915" s="84" t="n">
        <f aca="false">$D915*$M915</f>
        <v>1256</v>
      </c>
      <c r="O915" s="46" t="str">
        <f aca="false">INDEX(Customers!$C$2:$C$101,MATCH($B915,Customers!$A$2:$A$101,0))</f>
        <v>Guntakal</v>
      </c>
      <c r="P915" s="46" t="str">
        <f aca="false">INDEX(Customers!$F$2:$F$101,MATCH($B915,Customers!$A$2:$A$101,0))</f>
        <v>Male</v>
      </c>
      <c r="Q915" s="46" t="str">
        <f aca="false">INDEX(Customers!$B$2:$B$101,MATCH($B915,Customers!$A$2:$A$101,0))</f>
        <v>Aradhya Kale</v>
      </c>
      <c r="R915" s="46" t="n">
        <f aca="false">MONTH($E915)</f>
        <v>2</v>
      </c>
      <c r="S915" s="46" t="str">
        <f aca="false">INDEX(Lists!$B$2:$B$13,$R915)</f>
        <v>February</v>
      </c>
      <c r="T915" s="46" t="n">
        <f aca="false">HOUR($F915)</f>
        <v>14</v>
      </c>
      <c r="U915" s="46" t="n">
        <f aca="false">WEEKDAY($E915,2)</f>
        <v>4</v>
      </c>
      <c r="V915" s="46" t="str">
        <f aca="false">INDEX(Lists!$F$2:$F$8,$U915)</f>
        <v>Thursday</v>
      </c>
      <c r="W915" s="85" t="n">
        <f aca="false">($G915+$H915)-($E915+$F915)</f>
        <v>4.78821759259259</v>
      </c>
      <c r="X915" s="46" t="str">
        <f aca="false">LOOKUP($M915,Lists!$G$2:$G$5,Lists!$H$2:$H$5)</f>
        <v>₹0 - 499</v>
      </c>
      <c r="Y915" s="46" t="str">
        <f aca="false">LOOKUP($W915,Lists!$I$2:$I$7,Lists!$J$2:$J$7)</f>
        <v>4 - 6 days</v>
      </c>
    </row>
    <row r="916" customFormat="false" ht="15" hidden="false" customHeight="false" outlineLevel="0" collapsed="false">
      <c r="A916" s="7" t="n">
        <v>915</v>
      </c>
      <c r="B916" s="7" t="s">
        <v>161</v>
      </c>
      <c r="C916" s="7" t="n">
        <v>35</v>
      </c>
      <c r="D916" s="7" t="n">
        <v>1</v>
      </c>
      <c r="E916" s="77" t="n">
        <v>44991</v>
      </c>
      <c r="F916" s="78" t="n">
        <v>0.883796296296296</v>
      </c>
      <c r="G916" s="77" t="n">
        <v>44999</v>
      </c>
      <c r="H916" s="78" t="n">
        <v>0.230983796296296</v>
      </c>
      <c r="I916" s="7" t="s">
        <v>601</v>
      </c>
      <c r="J916" s="7" t="s">
        <v>33</v>
      </c>
      <c r="K916" s="79" t="str">
        <f aca="false">INDEX(Products!$B$2:$B$71,MATCH($C916,Products!$A$2:$A$71,0))</f>
        <v>Nam Gift</v>
      </c>
      <c r="L916" s="79" t="str">
        <f aca="false">INDEX(Products!$C$2:$C$71,MATCH($C916,Products!$A$2:$A$71,0))</f>
        <v>Colors</v>
      </c>
      <c r="M916" s="80" t="n">
        <f aca="false">INDEX(Products!$D$2:$D$71,MATCH($C916,Products!$A$2:$A$71,0))</f>
        <v>1865</v>
      </c>
      <c r="N916" s="80" t="n">
        <f aca="false">$D916*$M916</f>
        <v>1865</v>
      </c>
      <c r="O916" s="79" t="str">
        <f aca="false">INDEX(Customers!$C$2:$C$101,MATCH($B916,Customers!$A$2:$A$101,0))</f>
        <v>Panvel</v>
      </c>
      <c r="P916" s="79" t="str">
        <f aca="false">INDEX(Customers!$F$2:$F$101,MATCH($B916,Customers!$A$2:$A$101,0))</f>
        <v>Female</v>
      </c>
      <c r="Q916" s="79" t="str">
        <f aca="false">INDEX(Customers!$B$2:$B$101,MATCH($B916,Customers!$A$2:$A$101,0))</f>
        <v>Indrans Shukla</v>
      </c>
      <c r="R916" s="79" t="n">
        <f aca="false">MONTH($E916)</f>
        <v>3</v>
      </c>
      <c r="S916" s="79" t="str">
        <f aca="false">INDEX(Lists!$B$2:$B$13,$R916)</f>
        <v>March</v>
      </c>
      <c r="T916" s="79" t="n">
        <f aca="false">HOUR($F916)</f>
        <v>21</v>
      </c>
      <c r="U916" s="79" t="n">
        <f aca="false">WEEKDAY($E916,2)</f>
        <v>1</v>
      </c>
      <c r="V916" s="79" t="str">
        <f aca="false">INDEX(Lists!$F$2:$F$8,$U916)</f>
        <v>Monday</v>
      </c>
      <c r="W916" s="81" t="n">
        <f aca="false">($G916+$H916)-($E916+$F916)</f>
        <v>7.3471875</v>
      </c>
      <c r="X916" s="79" t="str">
        <f aca="false">LOOKUP($M916,Lists!$G$2:$G$5,Lists!$H$2:$H$5)</f>
        <v>₹1,500 - 2,000</v>
      </c>
      <c r="Y916" s="79" t="str">
        <f aca="false">LOOKUP($W916,Lists!$I$2:$I$7,Lists!$J$2:$J$7)</f>
        <v>6 - 8 days</v>
      </c>
    </row>
    <row r="917" customFormat="false" ht="15" hidden="false" customHeight="false" outlineLevel="0" collapsed="false">
      <c r="A917" s="2" t="n">
        <v>916</v>
      </c>
      <c r="B917" s="2" t="s">
        <v>291</v>
      </c>
      <c r="C917" s="2" t="n">
        <v>33</v>
      </c>
      <c r="D917" s="2" t="n">
        <v>2</v>
      </c>
      <c r="E917" s="82" t="n">
        <v>44963</v>
      </c>
      <c r="F917" s="83" t="n">
        <v>0.182743055555556</v>
      </c>
      <c r="G917" s="82" t="n">
        <v>44971</v>
      </c>
      <c r="H917" s="83" t="n">
        <v>0.888472222222222</v>
      </c>
      <c r="I917" s="2" t="s">
        <v>321</v>
      </c>
      <c r="J917" s="2" t="s">
        <v>179</v>
      </c>
      <c r="K917" s="46" t="str">
        <f aca="false">INDEX(Products!$B$2:$B$71,MATCH($C917,Products!$A$2:$A$71,0))</f>
        <v>Earum Set</v>
      </c>
      <c r="L917" s="46" t="str">
        <f aca="false">INDEX(Products!$C$2:$C$71,MATCH($C917,Products!$A$2:$A$71,0))</f>
        <v>Colors</v>
      </c>
      <c r="M917" s="84" t="n">
        <f aca="false">INDEX(Products!$D$2:$D$71,MATCH($C917,Products!$A$2:$A$71,0))</f>
        <v>314</v>
      </c>
      <c r="N917" s="84" t="n">
        <f aca="false">$D917*$M917</f>
        <v>628</v>
      </c>
      <c r="O917" s="46" t="str">
        <f aca="false">INDEX(Customers!$C$2:$C$101,MATCH($B917,Customers!$A$2:$A$101,0))</f>
        <v>Jamnagar</v>
      </c>
      <c r="P917" s="46" t="str">
        <f aca="false">INDEX(Customers!$F$2:$F$101,MATCH($B917,Customers!$A$2:$A$101,0))</f>
        <v>Male</v>
      </c>
      <c r="Q917" s="46" t="str">
        <f aca="false">INDEX(Customers!$B$2:$B$101,MATCH($B917,Customers!$A$2:$A$101,0))</f>
        <v>Arhaan Ahluwalia</v>
      </c>
      <c r="R917" s="46" t="n">
        <f aca="false">MONTH($E917)</f>
        <v>2</v>
      </c>
      <c r="S917" s="46" t="str">
        <f aca="false">INDEX(Lists!$B$2:$B$13,$R917)</f>
        <v>February</v>
      </c>
      <c r="T917" s="46" t="n">
        <f aca="false">HOUR($F917)</f>
        <v>4</v>
      </c>
      <c r="U917" s="46" t="n">
        <f aca="false">WEEKDAY($E917,2)</f>
        <v>1</v>
      </c>
      <c r="V917" s="46" t="str">
        <f aca="false">INDEX(Lists!$F$2:$F$8,$U917)</f>
        <v>Monday</v>
      </c>
      <c r="W917" s="85" t="n">
        <f aca="false">($G917+$H917)-($E917+$F917)</f>
        <v>8.70572916666667</v>
      </c>
      <c r="X917" s="46" t="str">
        <f aca="false">LOOKUP($M917,Lists!$G$2:$G$5,Lists!$H$2:$H$5)</f>
        <v>₹0 - 499</v>
      </c>
      <c r="Y917" s="46" t="str">
        <f aca="false">LOOKUP($W917,Lists!$I$2:$I$7,Lists!$J$2:$J$7)</f>
        <v>8 - 10 days</v>
      </c>
    </row>
    <row r="918" customFormat="false" ht="15" hidden="false" customHeight="false" outlineLevel="0" collapsed="false">
      <c r="A918" s="7" t="n">
        <v>917</v>
      </c>
      <c r="B918" s="7" t="s">
        <v>260</v>
      </c>
      <c r="C918" s="7" t="n">
        <v>12</v>
      </c>
      <c r="D918" s="7" t="n">
        <v>3</v>
      </c>
      <c r="E918" s="77" t="n">
        <v>44950</v>
      </c>
      <c r="F918" s="78" t="n">
        <v>0.247847222222222</v>
      </c>
      <c r="G918" s="77" t="n">
        <v>44955</v>
      </c>
      <c r="H918" s="78" t="n">
        <v>0.461377314814815</v>
      </c>
      <c r="I918" s="7" t="s">
        <v>203</v>
      </c>
      <c r="J918" s="7" t="s">
        <v>168</v>
      </c>
      <c r="K918" s="79" t="str">
        <f aca="false">INDEX(Products!$B$2:$B$71,MATCH($C918,Products!$A$2:$A$71,0))</f>
        <v>Non Set</v>
      </c>
      <c r="L918" s="79" t="str">
        <f aca="false">INDEX(Products!$C$2:$C$71,MATCH($C918,Products!$A$2:$A$71,0))</f>
        <v>Plants</v>
      </c>
      <c r="M918" s="80" t="n">
        <f aca="false">INDEX(Products!$D$2:$D$71,MATCH($C918,Products!$A$2:$A$71,0))</f>
        <v>672</v>
      </c>
      <c r="N918" s="80" t="n">
        <f aca="false">$D918*$M918</f>
        <v>2016</v>
      </c>
      <c r="O918" s="79" t="str">
        <f aca="false">INDEX(Customers!$C$2:$C$101,MATCH($B918,Customers!$A$2:$A$101,0))</f>
        <v>Dhanbad</v>
      </c>
      <c r="P918" s="79" t="str">
        <f aca="false">INDEX(Customers!$F$2:$F$101,MATCH($B918,Customers!$A$2:$A$101,0))</f>
        <v>Male</v>
      </c>
      <c r="Q918" s="79" t="str">
        <f aca="false">INDEX(Customers!$B$2:$B$101,MATCH($B918,Customers!$A$2:$A$101,0))</f>
        <v>Vardaniya Apte</v>
      </c>
      <c r="R918" s="79" t="n">
        <f aca="false">MONTH($E918)</f>
        <v>1</v>
      </c>
      <c r="S918" s="79" t="str">
        <f aca="false">INDEX(Lists!$B$2:$B$13,$R918)</f>
        <v>January</v>
      </c>
      <c r="T918" s="79" t="n">
        <f aca="false">HOUR($F918)</f>
        <v>5</v>
      </c>
      <c r="U918" s="79" t="n">
        <f aca="false">WEEKDAY($E918,2)</f>
        <v>2</v>
      </c>
      <c r="V918" s="79" t="str">
        <f aca="false">INDEX(Lists!$F$2:$F$8,$U918)</f>
        <v>Tuesday</v>
      </c>
      <c r="W918" s="81" t="n">
        <f aca="false">($G918+$H918)-($E918+$F918)</f>
        <v>5.21353009259259</v>
      </c>
      <c r="X918" s="79" t="str">
        <f aca="false">LOOKUP($M918,Lists!$G$2:$G$5,Lists!$H$2:$H$5)</f>
        <v>₹500 - 999</v>
      </c>
      <c r="Y918" s="79" t="str">
        <f aca="false">LOOKUP($W918,Lists!$I$2:$I$7,Lists!$J$2:$J$7)</f>
        <v>4 - 6 days</v>
      </c>
    </row>
    <row r="919" customFormat="false" ht="15" hidden="false" customHeight="false" outlineLevel="0" collapsed="false">
      <c r="A919" s="2" t="n">
        <v>918</v>
      </c>
      <c r="B919" s="2" t="s">
        <v>347</v>
      </c>
      <c r="C919" s="2" t="n">
        <v>19</v>
      </c>
      <c r="D919" s="2" t="n">
        <v>2</v>
      </c>
      <c r="E919" s="82" t="n">
        <v>44969</v>
      </c>
      <c r="F919" s="83" t="n">
        <v>0.759097222222222</v>
      </c>
      <c r="G919" s="82" t="n">
        <v>44978</v>
      </c>
      <c r="H919" s="83" t="n">
        <v>0.918125</v>
      </c>
      <c r="I919" s="2" t="s">
        <v>517</v>
      </c>
      <c r="J919" s="2" t="s">
        <v>179</v>
      </c>
      <c r="K919" s="46" t="str">
        <f aca="false">INDEX(Products!$B$2:$B$71,MATCH($C919,Products!$A$2:$A$71,0))</f>
        <v>Iure Gift</v>
      </c>
      <c r="L919" s="46" t="str">
        <f aca="false">INDEX(Products!$C$2:$C$71,MATCH($C919,Products!$A$2:$A$71,0))</f>
        <v>Mugs</v>
      </c>
      <c r="M919" s="84" t="n">
        <f aca="false">INDEX(Products!$D$2:$D$71,MATCH($C919,Products!$A$2:$A$71,0))</f>
        <v>1234</v>
      </c>
      <c r="N919" s="84" t="n">
        <f aca="false">$D919*$M919</f>
        <v>2468</v>
      </c>
      <c r="O919" s="46" t="str">
        <f aca="false">INDEX(Customers!$C$2:$C$101,MATCH($B919,Customers!$A$2:$A$101,0))</f>
        <v>Raurkela Industrial Township</v>
      </c>
      <c r="P919" s="46" t="str">
        <f aca="false">INDEX(Customers!$F$2:$F$101,MATCH($B919,Customers!$A$2:$A$101,0))</f>
        <v>Male</v>
      </c>
      <c r="Q919" s="46" t="str">
        <f aca="false">INDEX(Customers!$B$2:$B$101,MATCH($B919,Customers!$A$2:$A$101,0))</f>
        <v>Aaryahi Sodhi</v>
      </c>
      <c r="R919" s="46" t="n">
        <f aca="false">MONTH($E919)</f>
        <v>2</v>
      </c>
      <c r="S919" s="46" t="str">
        <f aca="false">INDEX(Lists!$B$2:$B$13,$R919)</f>
        <v>February</v>
      </c>
      <c r="T919" s="46" t="n">
        <f aca="false">HOUR($F919)</f>
        <v>18</v>
      </c>
      <c r="U919" s="46" t="n">
        <f aca="false">WEEKDAY($E919,2)</f>
        <v>7</v>
      </c>
      <c r="V919" s="46" t="str">
        <f aca="false">INDEX(Lists!$F$2:$F$8,$U919)</f>
        <v>Sunday</v>
      </c>
      <c r="W919" s="85" t="n">
        <f aca="false">($G919+$H919)-($E919+$F919)</f>
        <v>9.15902777777778</v>
      </c>
      <c r="X919" s="46" t="str">
        <f aca="false">LOOKUP($M919,Lists!$G$2:$G$5,Lists!$H$2:$H$5)</f>
        <v>₹1,000 - 1,499</v>
      </c>
      <c r="Y919" s="46" t="str">
        <f aca="false">LOOKUP($W919,Lists!$I$2:$I$7,Lists!$J$2:$J$7)</f>
        <v>8 - 10 days</v>
      </c>
    </row>
    <row r="920" customFormat="false" ht="15" hidden="false" customHeight="false" outlineLevel="0" collapsed="false">
      <c r="A920" s="7" t="n">
        <v>919</v>
      </c>
      <c r="B920" s="7" t="s">
        <v>218</v>
      </c>
      <c r="C920" s="7" t="n">
        <v>35</v>
      </c>
      <c r="D920" s="7" t="n">
        <v>5</v>
      </c>
      <c r="E920" s="77" t="n">
        <v>44985</v>
      </c>
      <c r="F920" s="78" t="n">
        <v>0.352696759259259</v>
      </c>
      <c r="G920" s="77" t="n">
        <v>44989</v>
      </c>
      <c r="H920" s="78" t="n">
        <v>0.00380787037037037</v>
      </c>
      <c r="I920" s="7" t="s">
        <v>333</v>
      </c>
      <c r="J920" s="7" t="s">
        <v>33</v>
      </c>
      <c r="K920" s="79" t="str">
        <f aca="false">INDEX(Products!$B$2:$B$71,MATCH($C920,Products!$A$2:$A$71,0))</f>
        <v>Nam Gift</v>
      </c>
      <c r="L920" s="79" t="str">
        <f aca="false">INDEX(Products!$C$2:$C$71,MATCH($C920,Products!$A$2:$A$71,0))</f>
        <v>Colors</v>
      </c>
      <c r="M920" s="80" t="n">
        <f aca="false">INDEX(Products!$D$2:$D$71,MATCH($C920,Products!$A$2:$A$71,0))</f>
        <v>1865</v>
      </c>
      <c r="N920" s="80" t="n">
        <f aca="false">$D920*$M920</f>
        <v>9325</v>
      </c>
      <c r="O920" s="79" t="str">
        <f aca="false">INDEX(Customers!$C$2:$C$101,MATCH($B920,Customers!$A$2:$A$101,0))</f>
        <v>Aizawl</v>
      </c>
      <c r="P920" s="79" t="str">
        <f aca="false">INDEX(Customers!$F$2:$F$101,MATCH($B920,Customers!$A$2:$A$101,0))</f>
        <v>Female</v>
      </c>
      <c r="Q920" s="79" t="str">
        <f aca="false">INDEX(Customers!$B$2:$B$101,MATCH($B920,Customers!$A$2:$A$101,0))</f>
        <v>Yakshit Shah</v>
      </c>
      <c r="R920" s="79" t="n">
        <f aca="false">MONTH($E920)</f>
        <v>2</v>
      </c>
      <c r="S920" s="79" t="str">
        <f aca="false">INDEX(Lists!$B$2:$B$13,$R920)</f>
        <v>February</v>
      </c>
      <c r="T920" s="79" t="n">
        <f aca="false">HOUR($F920)</f>
        <v>8</v>
      </c>
      <c r="U920" s="79" t="n">
        <f aca="false">WEEKDAY($E920,2)</f>
        <v>2</v>
      </c>
      <c r="V920" s="79" t="str">
        <f aca="false">INDEX(Lists!$F$2:$F$8,$U920)</f>
        <v>Tuesday</v>
      </c>
      <c r="W920" s="81" t="n">
        <f aca="false">($G920+$H920)-($E920+$F920)</f>
        <v>3.65111111111111</v>
      </c>
      <c r="X920" s="79" t="str">
        <f aca="false">LOOKUP($M920,Lists!$G$2:$G$5,Lists!$H$2:$H$5)</f>
        <v>₹1,500 - 2,000</v>
      </c>
      <c r="Y920" s="79" t="str">
        <f aca="false">LOOKUP($W920,Lists!$I$2:$I$7,Lists!$J$2:$J$7)</f>
        <v>2 - 4 days</v>
      </c>
    </row>
    <row r="921" customFormat="false" ht="15" hidden="false" customHeight="false" outlineLevel="0" collapsed="false">
      <c r="A921" s="2" t="n">
        <v>920</v>
      </c>
      <c r="B921" s="2" t="s">
        <v>190</v>
      </c>
      <c r="C921" s="2" t="n">
        <v>45</v>
      </c>
      <c r="D921" s="2" t="n">
        <v>1</v>
      </c>
      <c r="E921" s="82" t="n">
        <v>45106</v>
      </c>
      <c r="F921" s="83" t="n">
        <v>0.849363425925926</v>
      </c>
      <c r="G921" s="82" t="n">
        <v>45115</v>
      </c>
      <c r="H921" s="83" t="n">
        <v>0.987233796296296</v>
      </c>
      <c r="I921" s="2" t="s">
        <v>394</v>
      </c>
      <c r="J921" s="2" t="s">
        <v>31</v>
      </c>
      <c r="K921" s="46" t="str">
        <f aca="false">INDEX(Products!$B$2:$B$71,MATCH($C921,Products!$A$2:$A$71,0))</f>
        <v>Iusto Set</v>
      </c>
      <c r="L921" s="46" t="str">
        <f aca="false">INDEX(Products!$C$2:$C$71,MATCH($C921,Products!$A$2:$A$71,0))</f>
        <v>Raksha Bandhan</v>
      </c>
      <c r="M921" s="84" t="n">
        <f aca="false">INDEX(Products!$D$2:$D$71,MATCH($C921,Products!$A$2:$A$71,0))</f>
        <v>722</v>
      </c>
      <c r="N921" s="84" t="n">
        <f aca="false">$D921*$M921</f>
        <v>722</v>
      </c>
      <c r="O921" s="46" t="str">
        <f aca="false">INDEX(Customers!$C$2:$C$101,MATCH($B921,Customers!$A$2:$A$101,0))</f>
        <v>Farrukhabad</v>
      </c>
      <c r="P921" s="46" t="str">
        <f aca="false">INDEX(Customers!$F$2:$F$101,MATCH($B921,Customers!$A$2:$A$101,0))</f>
        <v>Female</v>
      </c>
      <c r="Q921" s="46" t="str">
        <f aca="false">INDEX(Customers!$B$2:$B$101,MATCH($B921,Customers!$A$2:$A$101,0))</f>
        <v>Ira Chahal</v>
      </c>
      <c r="R921" s="46" t="n">
        <f aca="false">MONTH($E921)</f>
        <v>6</v>
      </c>
      <c r="S921" s="46" t="str">
        <f aca="false">INDEX(Lists!$B$2:$B$13,$R921)</f>
        <v>June</v>
      </c>
      <c r="T921" s="46" t="n">
        <f aca="false">HOUR($F921)</f>
        <v>20</v>
      </c>
      <c r="U921" s="46" t="n">
        <f aca="false">WEEKDAY($E921,2)</f>
        <v>4</v>
      </c>
      <c r="V921" s="46" t="str">
        <f aca="false">INDEX(Lists!$F$2:$F$8,$U921)</f>
        <v>Thursday</v>
      </c>
      <c r="W921" s="85" t="n">
        <f aca="false">($G921+$H921)-($E921+$F921)</f>
        <v>9.13787037037037</v>
      </c>
      <c r="X921" s="46" t="str">
        <f aca="false">LOOKUP($M921,Lists!$G$2:$G$5,Lists!$H$2:$H$5)</f>
        <v>₹500 - 999</v>
      </c>
      <c r="Y921" s="46" t="str">
        <f aca="false">LOOKUP($W921,Lists!$I$2:$I$7,Lists!$J$2:$J$7)</f>
        <v>8 - 10 days</v>
      </c>
    </row>
    <row r="922" customFormat="false" ht="15" hidden="false" customHeight="false" outlineLevel="0" collapsed="false">
      <c r="A922" s="7" t="n">
        <v>921</v>
      </c>
      <c r="B922" s="7" t="s">
        <v>334</v>
      </c>
      <c r="C922" s="7" t="n">
        <v>23</v>
      </c>
      <c r="D922" s="7" t="n">
        <v>4</v>
      </c>
      <c r="E922" s="77" t="n">
        <v>45187</v>
      </c>
      <c r="F922" s="78" t="n">
        <v>0.578240740740741</v>
      </c>
      <c r="G922" s="77" t="n">
        <v>45192</v>
      </c>
      <c r="H922" s="78" t="n">
        <v>0.30724537037037</v>
      </c>
      <c r="I922" s="7" t="s">
        <v>387</v>
      </c>
      <c r="J922" s="7" t="s">
        <v>168</v>
      </c>
      <c r="K922" s="79" t="str">
        <f aca="false">INDEX(Products!$B$2:$B$71,MATCH($C922,Products!$A$2:$A$71,0))</f>
        <v>Dignissimos Pack</v>
      </c>
      <c r="L922" s="79" t="str">
        <f aca="false">INDEX(Products!$C$2:$C$71,MATCH($C922,Products!$A$2:$A$71,0))</f>
        <v>Sweets</v>
      </c>
      <c r="M922" s="80" t="n">
        <f aca="false">INDEX(Products!$D$2:$D$71,MATCH($C922,Products!$A$2:$A$71,0))</f>
        <v>1098</v>
      </c>
      <c r="N922" s="80" t="n">
        <f aca="false">$D922*$M922</f>
        <v>4392</v>
      </c>
      <c r="O922" s="79" t="str">
        <f aca="false">INDEX(Customers!$C$2:$C$101,MATCH($B922,Customers!$A$2:$A$101,0))</f>
        <v>Bhubaneswar</v>
      </c>
      <c r="P922" s="79" t="str">
        <f aca="false">INDEX(Customers!$F$2:$F$101,MATCH($B922,Customers!$A$2:$A$101,0))</f>
        <v>Female</v>
      </c>
      <c r="Q922" s="79" t="str">
        <f aca="false">INDEX(Customers!$B$2:$B$101,MATCH($B922,Customers!$A$2:$A$101,0))</f>
        <v>Jivika Rajan</v>
      </c>
      <c r="R922" s="79" t="n">
        <f aca="false">MONTH($E922)</f>
        <v>9</v>
      </c>
      <c r="S922" s="79" t="str">
        <f aca="false">INDEX(Lists!$B$2:$B$13,$R922)</f>
        <v>September</v>
      </c>
      <c r="T922" s="79" t="n">
        <f aca="false">HOUR($F922)</f>
        <v>13</v>
      </c>
      <c r="U922" s="79" t="n">
        <f aca="false">WEEKDAY($E922,2)</f>
        <v>1</v>
      </c>
      <c r="V922" s="79" t="str">
        <f aca="false">INDEX(Lists!$F$2:$F$8,$U922)</f>
        <v>Monday</v>
      </c>
      <c r="W922" s="81" t="n">
        <f aca="false">($G922+$H922)-($E922+$F922)</f>
        <v>4.72900462962963</v>
      </c>
      <c r="X922" s="79" t="str">
        <f aca="false">LOOKUP($M922,Lists!$G$2:$G$5,Lists!$H$2:$H$5)</f>
        <v>₹1,000 - 1,499</v>
      </c>
      <c r="Y922" s="79" t="str">
        <f aca="false">LOOKUP($W922,Lists!$I$2:$I$7,Lists!$J$2:$J$7)</f>
        <v>4 - 6 days</v>
      </c>
    </row>
    <row r="923" customFormat="false" ht="15" hidden="false" customHeight="false" outlineLevel="0" collapsed="false">
      <c r="A923" s="2" t="n">
        <v>922</v>
      </c>
      <c r="B923" s="2" t="s">
        <v>148</v>
      </c>
      <c r="C923" s="2" t="n">
        <v>23</v>
      </c>
      <c r="D923" s="2" t="n">
        <v>1</v>
      </c>
      <c r="E923" s="82" t="n">
        <v>45274</v>
      </c>
      <c r="F923" s="83" t="n">
        <v>0.386388888888889</v>
      </c>
      <c r="G923" s="82" t="n">
        <v>45278</v>
      </c>
      <c r="H923" s="83" t="n">
        <v>0.335844907407407</v>
      </c>
      <c r="I923" s="2" t="s">
        <v>478</v>
      </c>
      <c r="J923" s="2" t="s">
        <v>168</v>
      </c>
      <c r="K923" s="46" t="str">
        <f aca="false">INDEX(Products!$B$2:$B$71,MATCH($C923,Products!$A$2:$A$71,0))</f>
        <v>Dignissimos Pack</v>
      </c>
      <c r="L923" s="46" t="str">
        <f aca="false">INDEX(Products!$C$2:$C$71,MATCH($C923,Products!$A$2:$A$71,0))</f>
        <v>Sweets</v>
      </c>
      <c r="M923" s="84" t="n">
        <f aca="false">INDEX(Products!$D$2:$D$71,MATCH($C923,Products!$A$2:$A$71,0))</f>
        <v>1098</v>
      </c>
      <c r="N923" s="84" t="n">
        <f aca="false">$D923*$M923</f>
        <v>1098</v>
      </c>
      <c r="O923" s="46" t="str">
        <f aca="false">INDEX(Customers!$C$2:$C$101,MATCH($B923,Customers!$A$2:$A$101,0))</f>
        <v>Madurai</v>
      </c>
      <c r="P923" s="46" t="str">
        <f aca="false">INDEX(Customers!$F$2:$F$101,MATCH($B923,Customers!$A$2:$A$101,0))</f>
        <v>Female</v>
      </c>
      <c r="Q923" s="46" t="str">
        <f aca="false">INDEX(Customers!$B$2:$B$101,MATCH($B923,Customers!$A$2:$A$101,0))</f>
        <v>Ritvik Borah</v>
      </c>
      <c r="R923" s="46" t="n">
        <f aca="false">MONTH($E923)</f>
        <v>12</v>
      </c>
      <c r="S923" s="46" t="str">
        <f aca="false">INDEX(Lists!$B$2:$B$13,$R923)</f>
        <v>December</v>
      </c>
      <c r="T923" s="46" t="n">
        <f aca="false">HOUR($F923)</f>
        <v>9</v>
      </c>
      <c r="U923" s="46" t="n">
        <f aca="false">WEEKDAY($E923,2)</f>
        <v>4</v>
      </c>
      <c r="V923" s="46" t="str">
        <f aca="false">INDEX(Lists!$F$2:$F$8,$U923)</f>
        <v>Thursday</v>
      </c>
      <c r="W923" s="85" t="n">
        <f aca="false">($G923+$H923)-($E923+$F923)</f>
        <v>3.94945601851852</v>
      </c>
      <c r="X923" s="46" t="str">
        <f aca="false">LOOKUP($M923,Lists!$G$2:$G$5,Lists!$H$2:$H$5)</f>
        <v>₹1,000 - 1,499</v>
      </c>
      <c r="Y923" s="46" t="str">
        <f aca="false">LOOKUP($W923,Lists!$I$2:$I$7,Lists!$J$2:$J$7)</f>
        <v>2 - 4 days</v>
      </c>
    </row>
    <row r="924" customFormat="false" ht="15" hidden="false" customHeight="false" outlineLevel="0" collapsed="false">
      <c r="A924" s="7" t="n">
        <v>923</v>
      </c>
      <c r="B924" s="7" t="s">
        <v>206</v>
      </c>
      <c r="C924" s="7" t="n">
        <v>7</v>
      </c>
      <c r="D924" s="7" t="n">
        <v>4</v>
      </c>
      <c r="E924" s="77" t="n">
        <v>44984</v>
      </c>
      <c r="F924" s="78" t="n">
        <v>0.609398148148148</v>
      </c>
      <c r="G924" s="77" t="n">
        <v>44985</v>
      </c>
      <c r="H924" s="78" t="n">
        <v>0.917789351851852</v>
      </c>
      <c r="I924" s="7" t="s">
        <v>132</v>
      </c>
      <c r="J924" s="7" t="s">
        <v>33</v>
      </c>
      <c r="K924" s="79" t="str">
        <f aca="false">INDEX(Products!$B$2:$B$71,MATCH($C924,Products!$A$2:$A$71,0))</f>
        <v>Quos Set</v>
      </c>
      <c r="L924" s="79" t="str">
        <f aca="false">INDEX(Products!$C$2:$C$71,MATCH($C924,Products!$A$2:$A$71,0))</f>
        <v>Soft Toys</v>
      </c>
      <c r="M924" s="80" t="n">
        <f aca="false">INDEX(Products!$D$2:$D$71,MATCH($C924,Products!$A$2:$A$71,0))</f>
        <v>409</v>
      </c>
      <c r="N924" s="80" t="n">
        <f aca="false">$D924*$M924</f>
        <v>1636</v>
      </c>
      <c r="O924" s="79" t="str">
        <f aca="false">INDEX(Customers!$C$2:$C$101,MATCH($B924,Customers!$A$2:$A$101,0))</f>
        <v>Bhatpara</v>
      </c>
      <c r="P924" s="79" t="str">
        <f aca="false">INDEX(Customers!$F$2:$F$101,MATCH($B924,Customers!$A$2:$A$101,0))</f>
        <v>Male</v>
      </c>
      <c r="Q924" s="79" t="str">
        <f aca="false">INDEX(Customers!$B$2:$B$101,MATCH($B924,Customers!$A$2:$A$101,0))</f>
        <v>Hridaan Sood</v>
      </c>
      <c r="R924" s="79" t="n">
        <f aca="false">MONTH($E924)</f>
        <v>2</v>
      </c>
      <c r="S924" s="79" t="str">
        <f aca="false">INDEX(Lists!$B$2:$B$13,$R924)</f>
        <v>February</v>
      </c>
      <c r="T924" s="79" t="n">
        <f aca="false">HOUR($F924)</f>
        <v>14</v>
      </c>
      <c r="U924" s="79" t="n">
        <f aca="false">WEEKDAY($E924,2)</f>
        <v>1</v>
      </c>
      <c r="V924" s="79" t="str">
        <f aca="false">INDEX(Lists!$F$2:$F$8,$U924)</f>
        <v>Monday</v>
      </c>
      <c r="W924" s="81" t="n">
        <f aca="false">($G924+$H924)-($E924+$F924)</f>
        <v>1.3083912037037</v>
      </c>
      <c r="X924" s="79" t="str">
        <f aca="false">LOOKUP($M924,Lists!$G$2:$G$5,Lists!$H$2:$H$5)</f>
        <v>₹0 - 499</v>
      </c>
      <c r="Y924" s="79" t="str">
        <f aca="false">LOOKUP($W924,Lists!$I$2:$I$7,Lists!$J$2:$J$7)</f>
        <v>0 - 2 days</v>
      </c>
    </row>
    <row r="925" customFormat="false" ht="15" hidden="false" customHeight="false" outlineLevel="0" collapsed="false">
      <c r="A925" s="2" t="n">
        <v>924</v>
      </c>
      <c r="B925" s="2" t="s">
        <v>159</v>
      </c>
      <c r="C925" s="2" t="n">
        <v>17</v>
      </c>
      <c r="D925" s="2" t="n">
        <v>1</v>
      </c>
      <c r="E925" s="82" t="n">
        <v>45010</v>
      </c>
      <c r="F925" s="83" t="n">
        <v>0.407743055555556</v>
      </c>
      <c r="G925" s="82" t="n">
        <v>45020</v>
      </c>
      <c r="H925" s="83" t="n">
        <v>0.955613425925926</v>
      </c>
      <c r="I925" s="2" t="s">
        <v>550</v>
      </c>
      <c r="J925" s="2" t="s">
        <v>168</v>
      </c>
      <c r="K925" s="46" t="str">
        <f aca="false">INDEX(Products!$B$2:$B$71,MATCH($C925,Products!$A$2:$A$71,0))</f>
        <v>Delectus Gift</v>
      </c>
      <c r="L925" s="46" t="str">
        <f aca="false">INDEX(Products!$C$2:$C$71,MATCH($C925,Products!$A$2:$A$71,0))</f>
        <v>Soft Toys</v>
      </c>
      <c r="M925" s="84" t="n">
        <f aca="false">INDEX(Products!$D$2:$D$71,MATCH($C925,Products!$A$2:$A$71,0))</f>
        <v>1899</v>
      </c>
      <c r="N925" s="84" t="n">
        <f aca="false">$D925*$M925</f>
        <v>1899</v>
      </c>
      <c r="O925" s="46" t="str">
        <f aca="false">INDEX(Customers!$C$2:$C$101,MATCH($B925,Customers!$A$2:$A$101,0))</f>
        <v>Mangalore</v>
      </c>
      <c r="P925" s="46" t="str">
        <f aca="false">INDEX(Customers!$F$2:$F$101,MATCH($B925,Customers!$A$2:$A$101,0))</f>
        <v>Female</v>
      </c>
      <c r="Q925" s="46" t="str">
        <f aca="false">INDEX(Customers!$B$2:$B$101,MATCH($B925,Customers!$A$2:$A$101,0))</f>
        <v>Manikya Goswami</v>
      </c>
      <c r="R925" s="46" t="n">
        <f aca="false">MONTH($E925)</f>
        <v>3</v>
      </c>
      <c r="S925" s="46" t="str">
        <f aca="false">INDEX(Lists!$B$2:$B$13,$R925)</f>
        <v>March</v>
      </c>
      <c r="T925" s="46" t="n">
        <f aca="false">HOUR($F925)</f>
        <v>9</v>
      </c>
      <c r="U925" s="46" t="n">
        <f aca="false">WEEKDAY($E925,2)</f>
        <v>6</v>
      </c>
      <c r="V925" s="46" t="str">
        <f aca="false">INDEX(Lists!$F$2:$F$8,$U925)</f>
        <v>Saturday</v>
      </c>
      <c r="W925" s="85" t="n">
        <f aca="false">($G925+$H925)-($E925+$F925)</f>
        <v>10.5478703703704</v>
      </c>
      <c r="X925" s="46" t="str">
        <f aca="false">LOOKUP($M925,Lists!$G$2:$G$5,Lists!$H$2:$H$5)</f>
        <v>₹1,500 - 2,000</v>
      </c>
      <c r="Y925" s="46" t="str">
        <f aca="false">LOOKUP($W925,Lists!$I$2:$I$7,Lists!$J$2:$J$7)</f>
        <v>Over 10 days</v>
      </c>
    </row>
    <row r="926" customFormat="false" ht="15" hidden="false" customHeight="false" outlineLevel="0" collapsed="false">
      <c r="A926" s="7" t="n">
        <v>925</v>
      </c>
      <c r="B926" s="7" t="s">
        <v>157</v>
      </c>
      <c r="C926" s="7" t="n">
        <v>31</v>
      </c>
      <c r="D926" s="7" t="n">
        <v>1</v>
      </c>
      <c r="E926" s="77" t="n">
        <v>44934</v>
      </c>
      <c r="F926" s="78" t="n">
        <v>0.0387847222222222</v>
      </c>
      <c r="G926" s="77" t="n">
        <v>44938</v>
      </c>
      <c r="H926" s="78" t="n">
        <v>0.277164351851852</v>
      </c>
      <c r="I926" s="7" t="s">
        <v>518</v>
      </c>
      <c r="J926" s="7" t="s">
        <v>165</v>
      </c>
      <c r="K926" s="79" t="str">
        <f aca="false">INDEX(Products!$B$2:$B$71,MATCH($C926,Products!$A$2:$A$71,0))</f>
        <v>Nihil Box</v>
      </c>
      <c r="L926" s="79" t="str">
        <f aca="false">INDEX(Products!$C$2:$C$71,MATCH($C926,Products!$A$2:$A$71,0))</f>
        <v>Colors</v>
      </c>
      <c r="M926" s="80" t="n">
        <f aca="false">INDEX(Products!$D$2:$D$71,MATCH($C926,Products!$A$2:$A$71,0))</f>
        <v>1804</v>
      </c>
      <c r="N926" s="80" t="n">
        <f aca="false">$D926*$M926</f>
        <v>1804</v>
      </c>
      <c r="O926" s="79" t="str">
        <f aca="false">INDEX(Customers!$C$2:$C$101,MATCH($B926,Customers!$A$2:$A$101,0))</f>
        <v>Bilaspur</v>
      </c>
      <c r="P926" s="79" t="str">
        <f aca="false">INDEX(Customers!$F$2:$F$101,MATCH($B926,Customers!$A$2:$A$101,0))</f>
        <v>Male</v>
      </c>
      <c r="Q926" s="79" t="str">
        <f aca="false">INDEX(Customers!$B$2:$B$101,MATCH($B926,Customers!$A$2:$A$101,0))</f>
        <v>Onkar Mangat</v>
      </c>
      <c r="R926" s="79" t="n">
        <f aca="false">MONTH($E926)</f>
        <v>1</v>
      </c>
      <c r="S926" s="79" t="str">
        <f aca="false">INDEX(Lists!$B$2:$B$13,$R926)</f>
        <v>January</v>
      </c>
      <c r="T926" s="79" t="n">
        <f aca="false">HOUR($F926)</f>
        <v>0</v>
      </c>
      <c r="U926" s="79" t="n">
        <f aca="false">WEEKDAY($E926,2)</f>
        <v>7</v>
      </c>
      <c r="V926" s="79" t="str">
        <f aca="false">INDEX(Lists!$F$2:$F$8,$U926)</f>
        <v>Sunday</v>
      </c>
      <c r="W926" s="81" t="n">
        <f aca="false">($G926+$H926)-($E926+$F926)</f>
        <v>4.23837962962963</v>
      </c>
      <c r="X926" s="79" t="str">
        <f aca="false">LOOKUP($M926,Lists!$G$2:$G$5,Lists!$H$2:$H$5)</f>
        <v>₹1,500 - 2,000</v>
      </c>
      <c r="Y926" s="79" t="str">
        <f aca="false">LOOKUP($W926,Lists!$I$2:$I$7,Lists!$J$2:$J$7)</f>
        <v>4 - 6 days</v>
      </c>
    </row>
    <row r="927" customFormat="false" ht="15" hidden="false" customHeight="false" outlineLevel="0" collapsed="false">
      <c r="A927" s="2" t="n">
        <v>926</v>
      </c>
      <c r="B927" s="2" t="s">
        <v>251</v>
      </c>
      <c r="C927" s="2" t="n">
        <v>40</v>
      </c>
      <c r="D927" s="2" t="n">
        <v>4</v>
      </c>
      <c r="E927" s="82" t="n">
        <v>45013</v>
      </c>
      <c r="F927" s="83" t="n">
        <v>0.959699074074074</v>
      </c>
      <c r="G927" s="82" t="n">
        <v>45016</v>
      </c>
      <c r="H927" s="83" t="n">
        <v>0.994039351851852</v>
      </c>
      <c r="I927" s="2" t="s">
        <v>468</v>
      </c>
      <c r="J927" s="2" t="s">
        <v>168</v>
      </c>
      <c r="K927" s="46" t="str">
        <f aca="false">INDEX(Products!$B$2:$B$71,MATCH($C927,Products!$A$2:$A$71,0))</f>
        <v>Provident Pack</v>
      </c>
      <c r="L927" s="46" t="str">
        <f aca="false">INDEX(Products!$C$2:$C$71,MATCH($C927,Products!$A$2:$A$71,0))</f>
        <v>Sweets</v>
      </c>
      <c r="M927" s="84" t="n">
        <f aca="false">INDEX(Products!$D$2:$D$71,MATCH($C927,Products!$A$2:$A$71,0))</f>
        <v>1923</v>
      </c>
      <c r="N927" s="84" t="n">
        <f aca="false">$D927*$M927</f>
        <v>7692</v>
      </c>
      <c r="O927" s="46" t="str">
        <f aca="false">INDEX(Customers!$C$2:$C$101,MATCH($B927,Customers!$A$2:$A$101,0))</f>
        <v>Imphal</v>
      </c>
      <c r="P927" s="46" t="str">
        <f aca="false">INDEX(Customers!$F$2:$F$101,MATCH($B927,Customers!$A$2:$A$101,0))</f>
        <v>Female</v>
      </c>
      <c r="Q927" s="46" t="str">
        <f aca="false">INDEX(Customers!$B$2:$B$101,MATCH($B927,Customers!$A$2:$A$101,0))</f>
        <v>Aarush Balasubramanian</v>
      </c>
      <c r="R927" s="46" t="n">
        <f aca="false">MONTH($E927)</f>
        <v>3</v>
      </c>
      <c r="S927" s="46" t="str">
        <f aca="false">INDEX(Lists!$B$2:$B$13,$R927)</f>
        <v>March</v>
      </c>
      <c r="T927" s="46" t="n">
        <f aca="false">HOUR($F927)</f>
        <v>23</v>
      </c>
      <c r="U927" s="46" t="n">
        <f aca="false">WEEKDAY($E927,2)</f>
        <v>2</v>
      </c>
      <c r="V927" s="46" t="str">
        <f aca="false">INDEX(Lists!$F$2:$F$8,$U927)</f>
        <v>Tuesday</v>
      </c>
      <c r="W927" s="85" t="n">
        <f aca="false">($G927+$H927)-($E927+$F927)</f>
        <v>3.03434027777778</v>
      </c>
      <c r="X927" s="46" t="str">
        <f aca="false">LOOKUP($M927,Lists!$G$2:$G$5,Lists!$H$2:$H$5)</f>
        <v>₹1,500 - 2,000</v>
      </c>
      <c r="Y927" s="46" t="str">
        <f aca="false">LOOKUP($W927,Lists!$I$2:$I$7,Lists!$J$2:$J$7)</f>
        <v>2 - 4 days</v>
      </c>
    </row>
    <row r="928" customFormat="false" ht="15" hidden="false" customHeight="false" outlineLevel="0" collapsed="false">
      <c r="A928" s="7" t="n">
        <v>927</v>
      </c>
      <c r="B928" s="7" t="s">
        <v>392</v>
      </c>
      <c r="C928" s="7" t="n">
        <v>43</v>
      </c>
      <c r="D928" s="7" t="n">
        <v>4</v>
      </c>
      <c r="E928" s="77" t="n">
        <v>45233</v>
      </c>
      <c r="F928" s="78" t="n">
        <v>0.2765625</v>
      </c>
      <c r="G928" s="77" t="n">
        <v>45241</v>
      </c>
      <c r="H928" s="78" t="n">
        <v>0.208530092592593</v>
      </c>
      <c r="I928" s="7" t="s">
        <v>391</v>
      </c>
      <c r="J928" s="7" t="s">
        <v>32</v>
      </c>
      <c r="K928" s="79" t="str">
        <f aca="false">INDEX(Products!$B$2:$B$71,MATCH($C928,Products!$A$2:$A$71,0))</f>
        <v>Quisquam Pack</v>
      </c>
      <c r="L928" s="79" t="str">
        <f aca="false">INDEX(Products!$C$2:$C$71,MATCH($C928,Products!$A$2:$A$71,0))</f>
        <v>Raksha Bandhan</v>
      </c>
      <c r="M928" s="80" t="n">
        <f aca="false">INDEX(Products!$D$2:$D$71,MATCH($C928,Products!$A$2:$A$71,0))</f>
        <v>750</v>
      </c>
      <c r="N928" s="80" t="n">
        <f aca="false">$D928*$M928</f>
        <v>3000</v>
      </c>
      <c r="O928" s="79" t="str">
        <f aca="false">INDEX(Customers!$C$2:$C$101,MATCH($B928,Customers!$A$2:$A$101,0))</f>
        <v>Phagwara</v>
      </c>
      <c r="P928" s="79" t="str">
        <f aca="false">INDEX(Customers!$F$2:$F$101,MATCH($B928,Customers!$A$2:$A$101,0))</f>
        <v>Female</v>
      </c>
      <c r="Q928" s="79" t="str">
        <f aca="false">INDEX(Customers!$B$2:$B$101,MATCH($B928,Customers!$A$2:$A$101,0))</f>
        <v>Pranay Chaudhary</v>
      </c>
      <c r="R928" s="79" t="n">
        <f aca="false">MONTH($E928)</f>
        <v>11</v>
      </c>
      <c r="S928" s="79" t="str">
        <f aca="false">INDEX(Lists!$B$2:$B$13,$R928)</f>
        <v>November</v>
      </c>
      <c r="T928" s="79" t="n">
        <f aca="false">HOUR($F928)</f>
        <v>6</v>
      </c>
      <c r="U928" s="79" t="n">
        <f aca="false">WEEKDAY($E928,2)</f>
        <v>5</v>
      </c>
      <c r="V928" s="79" t="str">
        <f aca="false">INDEX(Lists!$F$2:$F$8,$U928)</f>
        <v>Friday</v>
      </c>
      <c r="W928" s="81" t="n">
        <f aca="false">($G928+$H928)-($E928+$F928)</f>
        <v>7.93196759259259</v>
      </c>
      <c r="X928" s="79" t="str">
        <f aca="false">LOOKUP($M928,Lists!$G$2:$G$5,Lists!$H$2:$H$5)</f>
        <v>₹500 - 999</v>
      </c>
      <c r="Y928" s="79" t="str">
        <f aca="false">LOOKUP($W928,Lists!$I$2:$I$7,Lists!$J$2:$J$7)</f>
        <v>6 - 8 days</v>
      </c>
    </row>
    <row r="929" customFormat="false" ht="15" hidden="false" customHeight="false" outlineLevel="0" collapsed="false">
      <c r="A929" s="2" t="n">
        <v>928</v>
      </c>
      <c r="B929" s="2" t="s">
        <v>157</v>
      </c>
      <c r="C929" s="2" t="n">
        <v>23</v>
      </c>
      <c r="D929" s="2" t="n">
        <v>3</v>
      </c>
      <c r="E929" s="82" t="n">
        <v>45249</v>
      </c>
      <c r="F929" s="83" t="n">
        <v>0.462777777777778</v>
      </c>
      <c r="G929" s="82" t="n">
        <v>45257</v>
      </c>
      <c r="H929" s="83" t="n">
        <v>0.427916666666667</v>
      </c>
      <c r="I929" s="2" t="s">
        <v>274</v>
      </c>
      <c r="J929" s="2" t="s">
        <v>168</v>
      </c>
      <c r="K929" s="46" t="str">
        <f aca="false">INDEX(Products!$B$2:$B$71,MATCH($C929,Products!$A$2:$A$71,0))</f>
        <v>Dignissimos Pack</v>
      </c>
      <c r="L929" s="46" t="str">
        <f aca="false">INDEX(Products!$C$2:$C$71,MATCH($C929,Products!$A$2:$A$71,0))</f>
        <v>Sweets</v>
      </c>
      <c r="M929" s="84" t="n">
        <f aca="false">INDEX(Products!$D$2:$D$71,MATCH($C929,Products!$A$2:$A$71,0))</f>
        <v>1098</v>
      </c>
      <c r="N929" s="84" t="n">
        <f aca="false">$D929*$M929</f>
        <v>3294</v>
      </c>
      <c r="O929" s="46" t="str">
        <f aca="false">INDEX(Customers!$C$2:$C$101,MATCH($B929,Customers!$A$2:$A$101,0))</f>
        <v>Bilaspur</v>
      </c>
      <c r="P929" s="46" t="str">
        <f aca="false">INDEX(Customers!$F$2:$F$101,MATCH($B929,Customers!$A$2:$A$101,0))</f>
        <v>Male</v>
      </c>
      <c r="Q929" s="46" t="str">
        <f aca="false">INDEX(Customers!$B$2:$B$101,MATCH($B929,Customers!$A$2:$A$101,0))</f>
        <v>Onkar Mangat</v>
      </c>
      <c r="R929" s="46" t="n">
        <f aca="false">MONTH($E929)</f>
        <v>11</v>
      </c>
      <c r="S929" s="46" t="str">
        <f aca="false">INDEX(Lists!$B$2:$B$13,$R929)</f>
        <v>November</v>
      </c>
      <c r="T929" s="46" t="n">
        <f aca="false">HOUR($F929)</f>
        <v>11</v>
      </c>
      <c r="U929" s="46" t="n">
        <f aca="false">WEEKDAY($E929,2)</f>
        <v>7</v>
      </c>
      <c r="V929" s="46" t="str">
        <f aca="false">INDEX(Lists!$F$2:$F$8,$U929)</f>
        <v>Sunday</v>
      </c>
      <c r="W929" s="85" t="n">
        <f aca="false">($G929+$H929)-($E929+$F929)</f>
        <v>7.96513888888889</v>
      </c>
      <c r="X929" s="46" t="str">
        <f aca="false">LOOKUP($M929,Lists!$G$2:$G$5,Lists!$H$2:$H$5)</f>
        <v>₹1,000 - 1,499</v>
      </c>
      <c r="Y929" s="46" t="str">
        <f aca="false">LOOKUP($W929,Lists!$I$2:$I$7,Lists!$J$2:$J$7)</f>
        <v>6 - 8 days</v>
      </c>
    </row>
    <row r="930" customFormat="false" ht="15" hidden="false" customHeight="false" outlineLevel="0" collapsed="false">
      <c r="A930" s="7" t="n">
        <v>929</v>
      </c>
      <c r="B930" s="7" t="s">
        <v>353</v>
      </c>
      <c r="C930" s="7" t="n">
        <v>23</v>
      </c>
      <c r="D930" s="7" t="n">
        <v>1</v>
      </c>
      <c r="E930" s="77" t="n">
        <v>45004</v>
      </c>
      <c r="F930" s="78" t="n">
        <v>0.292268518518519</v>
      </c>
      <c r="G930" s="77" t="n">
        <v>45011</v>
      </c>
      <c r="H930" s="78" t="n">
        <v>0.543425925925926</v>
      </c>
      <c r="I930" s="7" t="s">
        <v>453</v>
      </c>
      <c r="J930" s="7" t="s">
        <v>168</v>
      </c>
      <c r="K930" s="79" t="str">
        <f aca="false">INDEX(Products!$B$2:$B$71,MATCH($C930,Products!$A$2:$A$71,0))</f>
        <v>Dignissimos Pack</v>
      </c>
      <c r="L930" s="79" t="str">
        <f aca="false">INDEX(Products!$C$2:$C$71,MATCH($C930,Products!$A$2:$A$71,0))</f>
        <v>Sweets</v>
      </c>
      <c r="M930" s="80" t="n">
        <f aca="false">INDEX(Products!$D$2:$D$71,MATCH($C930,Products!$A$2:$A$71,0))</f>
        <v>1098</v>
      </c>
      <c r="N930" s="80" t="n">
        <f aca="false">$D930*$M930</f>
        <v>1098</v>
      </c>
      <c r="O930" s="79" t="str">
        <f aca="false">INDEX(Customers!$C$2:$C$101,MATCH($B930,Customers!$A$2:$A$101,0))</f>
        <v>Raipur</v>
      </c>
      <c r="P930" s="79" t="str">
        <f aca="false">INDEX(Customers!$F$2:$F$101,MATCH($B930,Customers!$A$2:$A$101,0))</f>
        <v>Male</v>
      </c>
      <c r="Q930" s="79" t="str">
        <f aca="false">INDEX(Customers!$B$2:$B$101,MATCH($B930,Customers!$A$2:$A$101,0))</f>
        <v>Bhamini Johal</v>
      </c>
      <c r="R930" s="79" t="n">
        <f aca="false">MONTH($E930)</f>
        <v>3</v>
      </c>
      <c r="S930" s="79" t="str">
        <f aca="false">INDEX(Lists!$B$2:$B$13,$R930)</f>
        <v>March</v>
      </c>
      <c r="T930" s="79" t="n">
        <f aca="false">HOUR($F930)</f>
        <v>7</v>
      </c>
      <c r="U930" s="79" t="n">
        <f aca="false">WEEKDAY($E930,2)</f>
        <v>7</v>
      </c>
      <c r="V930" s="79" t="str">
        <f aca="false">INDEX(Lists!$F$2:$F$8,$U930)</f>
        <v>Sunday</v>
      </c>
      <c r="W930" s="81" t="n">
        <f aca="false">($G930+$H930)-($E930+$F930)</f>
        <v>7.25115740740741</v>
      </c>
      <c r="X930" s="79" t="str">
        <f aca="false">LOOKUP($M930,Lists!$G$2:$G$5,Lists!$H$2:$H$5)</f>
        <v>₹1,000 - 1,499</v>
      </c>
      <c r="Y930" s="79" t="str">
        <f aca="false">LOOKUP($W930,Lists!$I$2:$I$7,Lists!$J$2:$J$7)</f>
        <v>6 - 8 days</v>
      </c>
    </row>
    <row r="931" customFormat="false" ht="15" hidden="false" customHeight="false" outlineLevel="0" collapsed="false">
      <c r="A931" s="2" t="n">
        <v>930</v>
      </c>
      <c r="B931" s="2" t="s">
        <v>347</v>
      </c>
      <c r="C931" s="2" t="n">
        <v>61</v>
      </c>
      <c r="D931" s="2" t="n">
        <v>3</v>
      </c>
      <c r="E931" s="82" t="n">
        <v>45080</v>
      </c>
      <c r="F931" s="83" t="n">
        <v>0.661469907407407</v>
      </c>
      <c r="G931" s="82" t="n">
        <v>45084</v>
      </c>
      <c r="H931" s="83" t="n">
        <v>0.8203125</v>
      </c>
      <c r="I931" s="2" t="s">
        <v>381</v>
      </c>
      <c r="J931" s="2" t="s">
        <v>168</v>
      </c>
      <c r="K931" s="46" t="str">
        <f aca="false">INDEX(Products!$B$2:$B$71,MATCH($C931,Products!$A$2:$A$71,0))</f>
        <v>Iusto Box</v>
      </c>
      <c r="L931" s="46" t="str">
        <f aca="false">INDEX(Products!$C$2:$C$71,MATCH($C931,Products!$A$2:$A$71,0))</f>
        <v>Plants</v>
      </c>
      <c r="M931" s="84" t="n">
        <f aca="false">INDEX(Products!$D$2:$D$71,MATCH($C931,Products!$A$2:$A$71,0))</f>
        <v>810</v>
      </c>
      <c r="N931" s="84" t="n">
        <f aca="false">$D931*$M931</f>
        <v>2430</v>
      </c>
      <c r="O931" s="46" t="str">
        <f aca="false">INDEX(Customers!$C$2:$C$101,MATCH($B931,Customers!$A$2:$A$101,0))</f>
        <v>Raurkela Industrial Township</v>
      </c>
      <c r="P931" s="46" t="str">
        <f aca="false">INDEX(Customers!$F$2:$F$101,MATCH($B931,Customers!$A$2:$A$101,0))</f>
        <v>Male</v>
      </c>
      <c r="Q931" s="46" t="str">
        <f aca="false">INDEX(Customers!$B$2:$B$101,MATCH($B931,Customers!$A$2:$A$101,0))</f>
        <v>Aaryahi Sodhi</v>
      </c>
      <c r="R931" s="46" t="n">
        <f aca="false">MONTH($E931)</f>
        <v>6</v>
      </c>
      <c r="S931" s="46" t="str">
        <f aca="false">INDEX(Lists!$B$2:$B$13,$R931)</f>
        <v>June</v>
      </c>
      <c r="T931" s="46" t="n">
        <f aca="false">HOUR($F931)</f>
        <v>15</v>
      </c>
      <c r="U931" s="46" t="n">
        <f aca="false">WEEKDAY($E931,2)</f>
        <v>6</v>
      </c>
      <c r="V931" s="46" t="str">
        <f aca="false">INDEX(Lists!$F$2:$F$8,$U931)</f>
        <v>Saturday</v>
      </c>
      <c r="W931" s="85" t="n">
        <f aca="false">($G931+$H931)-($E931+$F931)</f>
        <v>4.15884259259259</v>
      </c>
      <c r="X931" s="46" t="str">
        <f aca="false">LOOKUP($M931,Lists!$G$2:$G$5,Lists!$H$2:$H$5)</f>
        <v>₹500 - 999</v>
      </c>
      <c r="Y931" s="46" t="str">
        <f aca="false">LOOKUP($W931,Lists!$I$2:$I$7,Lists!$J$2:$J$7)</f>
        <v>4 - 6 days</v>
      </c>
    </row>
    <row r="932" customFormat="false" ht="15" hidden="false" customHeight="false" outlineLevel="0" collapsed="false">
      <c r="A932" s="7" t="n">
        <v>931</v>
      </c>
      <c r="B932" s="7" t="s">
        <v>263</v>
      </c>
      <c r="C932" s="7" t="n">
        <v>14</v>
      </c>
      <c r="D932" s="7" t="n">
        <v>1</v>
      </c>
      <c r="E932" s="77" t="n">
        <v>45033</v>
      </c>
      <c r="F932" s="78" t="n">
        <v>0.825138888888889</v>
      </c>
      <c r="G932" s="77" t="n">
        <v>45035</v>
      </c>
      <c r="H932" s="78" t="n">
        <v>0.43443287037037</v>
      </c>
      <c r="I932" s="7" t="s">
        <v>478</v>
      </c>
      <c r="J932" s="7" t="s">
        <v>31</v>
      </c>
      <c r="K932" s="79" t="str">
        <f aca="false">INDEX(Products!$B$2:$B$71,MATCH($C932,Products!$A$2:$A$71,0))</f>
        <v>Deserunt Box</v>
      </c>
      <c r="L932" s="79" t="str">
        <f aca="false">INDEX(Products!$C$2:$C$71,MATCH($C932,Products!$A$2:$A$71,0))</f>
        <v>Colors</v>
      </c>
      <c r="M932" s="80" t="n">
        <f aca="false">INDEX(Products!$D$2:$D$71,MATCH($C932,Products!$A$2:$A$71,0))</f>
        <v>1915</v>
      </c>
      <c r="N932" s="80" t="n">
        <f aca="false">$D932*$M932</f>
        <v>1915</v>
      </c>
      <c r="O932" s="79" t="str">
        <f aca="false">INDEX(Customers!$C$2:$C$101,MATCH($B932,Customers!$A$2:$A$101,0))</f>
        <v>Bharatpur</v>
      </c>
      <c r="P932" s="79" t="str">
        <f aca="false">INDEX(Customers!$F$2:$F$101,MATCH($B932,Customers!$A$2:$A$101,0))</f>
        <v>Female</v>
      </c>
      <c r="Q932" s="79" t="str">
        <f aca="false">INDEX(Customers!$B$2:$B$101,MATCH($B932,Customers!$A$2:$A$101,0))</f>
        <v>Kismat Kapadia</v>
      </c>
      <c r="R932" s="79" t="n">
        <f aca="false">MONTH($E932)</f>
        <v>4</v>
      </c>
      <c r="S932" s="79" t="str">
        <f aca="false">INDEX(Lists!$B$2:$B$13,$R932)</f>
        <v>April</v>
      </c>
      <c r="T932" s="79" t="n">
        <f aca="false">HOUR($F932)</f>
        <v>19</v>
      </c>
      <c r="U932" s="79" t="n">
        <f aca="false">WEEKDAY($E932,2)</f>
        <v>1</v>
      </c>
      <c r="V932" s="79" t="str">
        <f aca="false">INDEX(Lists!$F$2:$F$8,$U932)</f>
        <v>Monday</v>
      </c>
      <c r="W932" s="81" t="n">
        <f aca="false">($G932+$H932)-($E932+$F932)</f>
        <v>1.60929398148148</v>
      </c>
      <c r="X932" s="79" t="str">
        <f aca="false">LOOKUP($M932,Lists!$G$2:$G$5,Lists!$H$2:$H$5)</f>
        <v>₹1,500 - 2,000</v>
      </c>
      <c r="Y932" s="79" t="str">
        <f aca="false">LOOKUP($W932,Lists!$I$2:$I$7,Lists!$J$2:$J$7)</f>
        <v>0 - 2 days</v>
      </c>
    </row>
    <row r="933" customFormat="false" ht="15" hidden="false" customHeight="false" outlineLevel="0" collapsed="false">
      <c r="A933" s="2" t="n">
        <v>932</v>
      </c>
      <c r="B933" s="2" t="s">
        <v>218</v>
      </c>
      <c r="C933" s="2" t="n">
        <v>63</v>
      </c>
      <c r="D933" s="2" t="n">
        <v>2</v>
      </c>
      <c r="E933" s="82" t="n">
        <v>45228</v>
      </c>
      <c r="F933" s="83" t="n">
        <v>0.689236111111111</v>
      </c>
      <c r="G933" s="82" t="n">
        <v>45232</v>
      </c>
      <c r="H933" s="83" t="n">
        <v>0.928599537037037</v>
      </c>
      <c r="I933" s="2" t="s">
        <v>356</v>
      </c>
      <c r="J933" s="2" t="s">
        <v>165</v>
      </c>
      <c r="K933" s="46" t="str">
        <f aca="false">INDEX(Products!$B$2:$B$71,MATCH($C933,Products!$A$2:$A$71,0))</f>
        <v>Adipisci Set</v>
      </c>
      <c r="L933" s="46" t="str">
        <f aca="false">INDEX(Products!$C$2:$C$71,MATCH($C933,Products!$A$2:$A$71,0))</f>
        <v>Sweets</v>
      </c>
      <c r="M933" s="84" t="n">
        <f aca="false">INDEX(Products!$D$2:$D$71,MATCH($C933,Products!$A$2:$A$71,0))</f>
        <v>1348</v>
      </c>
      <c r="N933" s="84" t="n">
        <f aca="false">$D933*$M933</f>
        <v>2696</v>
      </c>
      <c r="O933" s="46" t="str">
        <f aca="false">INDEX(Customers!$C$2:$C$101,MATCH($B933,Customers!$A$2:$A$101,0))</f>
        <v>Aizawl</v>
      </c>
      <c r="P933" s="46" t="str">
        <f aca="false">INDEX(Customers!$F$2:$F$101,MATCH($B933,Customers!$A$2:$A$101,0))</f>
        <v>Female</v>
      </c>
      <c r="Q933" s="46" t="str">
        <f aca="false">INDEX(Customers!$B$2:$B$101,MATCH($B933,Customers!$A$2:$A$101,0))</f>
        <v>Yakshit Shah</v>
      </c>
      <c r="R933" s="46" t="n">
        <f aca="false">MONTH($E933)</f>
        <v>10</v>
      </c>
      <c r="S933" s="46" t="str">
        <f aca="false">INDEX(Lists!$B$2:$B$13,$R933)</f>
        <v>October</v>
      </c>
      <c r="T933" s="46" t="n">
        <f aca="false">HOUR($F933)</f>
        <v>16</v>
      </c>
      <c r="U933" s="46" t="n">
        <f aca="false">WEEKDAY($E933,2)</f>
        <v>7</v>
      </c>
      <c r="V933" s="46" t="str">
        <f aca="false">INDEX(Lists!$F$2:$F$8,$U933)</f>
        <v>Sunday</v>
      </c>
      <c r="W933" s="85" t="n">
        <f aca="false">($G933+$H933)-($E933+$F933)</f>
        <v>4.23936342592593</v>
      </c>
      <c r="X933" s="46" t="str">
        <f aca="false">LOOKUP($M933,Lists!$G$2:$G$5,Lists!$H$2:$H$5)</f>
        <v>₹1,000 - 1,499</v>
      </c>
      <c r="Y933" s="46" t="str">
        <f aca="false">LOOKUP($W933,Lists!$I$2:$I$7,Lists!$J$2:$J$7)</f>
        <v>4 - 6 days</v>
      </c>
    </row>
    <row r="934" customFormat="false" ht="15" hidden="false" customHeight="false" outlineLevel="0" collapsed="false">
      <c r="A934" s="7" t="n">
        <v>933</v>
      </c>
      <c r="B934" s="7" t="s">
        <v>218</v>
      </c>
      <c r="C934" s="7" t="n">
        <v>51</v>
      </c>
      <c r="D934" s="7" t="n">
        <v>3</v>
      </c>
      <c r="E934" s="77" t="n">
        <v>45244</v>
      </c>
      <c r="F934" s="78" t="n">
        <v>0.51181712962963</v>
      </c>
      <c r="G934" s="77" t="n">
        <v>45253</v>
      </c>
      <c r="H934" s="78" t="n">
        <v>0.118078703703704</v>
      </c>
      <c r="I934" s="7" t="s">
        <v>497</v>
      </c>
      <c r="J934" s="7" t="s">
        <v>165</v>
      </c>
      <c r="K934" s="79" t="str">
        <f aca="false">INDEX(Products!$B$2:$B$71,MATCH($C934,Products!$A$2:$A$71,0))</f>
        <v>Fugit Set</v>
      </c>
      <c r="L934" s="79" t="str">
        <f aca="false">INDEX(Products!$C$2:$C$71,MATCH($C934,Products!$A$2:$A$71,0))</f>
        <v>Soft Toys</v>
      </c>
      <c r="M934" s="80" t="n">
        <f aca="false">INDEX(Products!$D$2:$D$71,MATCH($C934,Products!$A$2:$A$71,0))</f>
        <v>1084</v>
      </c>
      <c r="N934" s="80" t="n">
        <f aca="false">$D934*$M934</f>
        <v>3252</v>
      </c>
      <c r="O934" s="79" t="str">
        <f aca="false">INDEX(Customers!$C$2:$C$101,MATCH($B934,Customers!$A$2:$A$101,0))</f>
        <v>Aizawl</v>
      </c>
      <c r="P934" s="79" t="str">
        <f aca="false">INDEX(Customers!$F$2:$F$101,MATCH($B934,Customers!$A$2:$A$101,0))</f>
        <v>Female</v>
      </c>
      <c r="Q934" s="79" t="str">
        <f aca="false">INDEX(Customers!$B$2:$B$101,MATCH($B934,Customers!$A$2:$A$101,0))</f>
        <v>Yakshit Shah</v>
      </c>
      <c r="R934" s="79" t="n">
        <f aca="false">MONTH($E934)</f>
        <v>11</v>
      </c>
      <c r="S934" s="79" t="str">
        <f aca="false">INDEX(Lists!$B$2:$B$13,$R934)</f>
        <v>November</v>
      </c>
      <c r="T934" s="79" t="n">
        <f aca="false">HOUR($F934)</f>
        <v>12</v>
      </c>
      <c r="U934" s="79" t="n">
        <f aca="false">WEEKDAY($E934,2)</f>
        <v>2</v>
      </c>
      <c r="V934" s="79" t="str">
        <f aca="false">INDEX(Lists!$F$2:$F$8,$U934)</f>
        <v>Tuesday</v>
      </c>
      <c r="W934" s="81" t="n">
        <f aca="false">($G934+$H934)-($E934+$F934)</f>
        <v>8.60626157407407</v>
      </c>
      <c r="X934" s="79" t="str">
        <f aca="false">LOOKUP($M934,Lists!$G$2:$G$5,Lists!$H$2:$H$5)</f>
        <v>₹1,000 - 1,499</v>
      </c>
      <c r="Y934" s="79" t="str">
        <f aca="false">LOOKUP($W934,Lists!$I$2:$I$7,Lists!$J$2:$J$7)</f>
        <v>8 - 10 days</v>
      </c>
    </row>
    <row r="935" customFormat="false" ht="15" hidden="false" customHeight="false" outlineLevel="0" collapsed="false">
      <c r="A935" s="2" t="n">
        <v>934</v>
      </c>
      <c r="B935" s="2" t="s">
        <v>181</v>
      </c>
      <c r="C935" s="2" t="n">
        <v>27</v>
      </c>
      <c r="D935" s="2" t="n">
        <v>5</v>
      </c>
      <c r="E935" s="82" t="n">
        <v>45160</v>
      </c>
      <c r="F935" s="83" t="n">
        <v>0.0285185185185185</v>
      </c>
      <c r="G935" s="82" t="n">
        <v>45161</v>
      </c>
      <c r="H935" s="83" t="n">
        <v>0.360324074074074</v>
      </c>
      <c r="I935" s="2" t="s">
        <v>126</v>
      </c>
      <c r="J935" s="2" t="s">
        <v>40</v>
      </c>
      <c r="K935" s="46" t="str">
        <f aca="false">INDEX(Products!$B$2:$B$71,MATCH($C935,Products!$A$2:$A$71,0))</f>
        <v>Architecto Gift</v>
      </c>
      <c r="L935" s="46" t="str">
        <f aca="false">INDEX(Products!$C$2:$C$71,MATCH($C935,Products!$A$2:$A$71,0))</f>
        <v>Cake</v>
      </c>
      <c r="M935" s="84" t="n">
        <f aca="false">INDEX(Products!$D$2:$D$71,MATCH($C935,Products!$A$2:$A$71,0))</f>
        <v>548</v>
      </c>
      <c r="N935" s="84" t="n">
        <f aca="false">$D935*$M935</f>
        <v>2740</v>
      </c>
      <c r="O935" s="46" t="str">
        <f aca="false">INDEX(Customers!$C$2:$C$101,MATCH($B935,Customers!$A$2:$A$101,0))</f>
        <v>Khandwa</v>
      </c>
      <c r="P935" s="46" t="str">
        <f aca="false">INDEX(Customers!$F$2:$F$101,MATCH($B935,Customers!$A$2:$A$101,0))</f>
        <v>Male</v>
      </c>
      <c r="Q935" s="46" t="str">
        <f aca="false">INDEX(Customers!$B$2:$B$101,MATCH($B935,Customers!$A$2:$A$101,0))</f>
        <v>Ivana Rout</v>
      </c>
      <c r="R935" s="46" t="n">
        <f aca="false">MONTH($E935)</f>
        <v>8</v>
      </c>
      <c r="S935" s="46" t="str">
        <f aca="false">INDEX(Lists!$B$2:$B$13,$R935)</f>
        <v>August</v>
      </c>
      <c r="T935" s="46" t="n">
        <f aca="false">HOUR($F935)</f>
        <v>0</v>
      </c>
      <c r="U935" s="46" t="n">
        <f aca="false">WEEKDAY($E935,2)</f>
        <v>2</v>
      </c>
      <c r="V935" s="46" t="str">
        <f aca="false">INDEX(Lists!$F$2:$F$8,$U935)</f>
        <v>Tuesday</v>
      </c>
      <c r="W935" s="85" t="n">
        <f aca="false">($G935+$H935)-($E935+$F935)</f>
        <v>1.33180555555556</v>
      </c>
      <c r="X935" s="46" t="str">
        <f aca="false">LOOKUP($M935,Lists!$G$2:$G$5,Lists!$H$2:$H$5)</f>
        <v>₹500 - 999</v>
      </c>
      <c r="Y935" s="46" t="str">
        <f aca="false">LOOKUP($W935,Lists!$I$2:$I$7,Lists!$J$2:$J$7)</f>
        <v>0 - 2 days</v>
      </c>
    </row>
    <row r="936" customFormat="false" ht="15" hidden="false" customHeight="false" outlineLevel="0" collapsed="false">
      <c r="A936" s="7" t="n">
        <v>935</v>
      </c>
      <c r="B936" s="7" t="s">
        <v>242</v>
      </c>
      <c r="C936" s="7" t="n">
        <v>27</v>
      </c>
      <c r="D936" s="7" t="n">
        <v>5</v>
      </c>
      <c r="E936" s="77" t="n">
        <v>45158</v>
      </c>
      <c r="F936" s="78" t="n">
        <v>0.4015625</v>
      </c>
      <c r="G936" s="77" t="n">
        <v>45167</v>
      </c>
      <c r="H936" s="78" t="n">
        <v>0.721261574074074</v>
      </c>
      <c r="I936" s="7" t="s">
        <v>470</v>
      </c>
      <c r="J936" s="7" t="s">
        <v>40</v>
      </c>
      <c r="K936" s="79" t="str">
        <f aca="false">INDEX(Products!$B$2:$B$71,MATCH($C936,Products!$A$2:$A$71,0))</f>
        <v>Architecto Gift</v>
      </c>
      <c r="L936" s="79" t="str">
        <f aca="false">INDEX(Products!$C$2:$C$71,MATCH($C936,Products!$A$2:$A$71,0))</f>
        <v>Cake</v>
      </c>
      <c r="M936" s="80" t="n">
        <f aca="false">INDEX(Products!$D$2:$D$71,MATCH($C936,Products!$A$2:$A$71,0))</f>
        <v>548</v>
      </c>
      <c r="N936" s="80" t="n">
        <f aca="false">$D936*$M936</f>
        <v>2740</v>
      </c>
      <c r="O936" s="79" t="str">
        <f aca="false">INDEX(Customers!$C$2:$C$101,MATCH($B936,Customers!$A$2:$A$101,0))</f>
        <v>Guna</v>
      </c>
      <c r="P936" s="79" t="str">
        <f aca="false">INDEX(Customers!$F$2:$F$101,MATCH($B936,Customers!$A$2:$A$101,0))</f>
        <v>Male</v>
      </c>
      <c r="Q936" s="79" t="str">
        <f aca="false">INDEX(Customers!$B$2:$B$101,MATCH($B936,Customers!$A$2:$A$101,0))</f>
        <v>Tara Kannan</v>
      </c>
      <c r="R936" s="79" t="n">
        <f aca="false">MONTH($E936)</f>
        <v>8</v>
      </c>
      <c r="S936" s="79" t="str">
        <f aca="false">INDEX(Lists!$B$2:$B$13,$R936)</f>
        <v>August</v>
      </c>
      <c r="T936" s="79" t="n">
        <f aca="false">HOUR($F936)</f>
        <v>9</v>
      </c>
      <c r="U936" s="79" t="n">
        <f aca="false">WEEKDAY($E936,2)</f>
        <v>7</v>
      </c>
      <c r="V936" s="79" t="str">
        <f aca="false">INDEX(Lists!$F$2:$F$8,$U936)</f>
        <v>Sunday</v>
      </c>
      <c r="W936" s="81" t="n">
        <f aca="false">($G936+$H936)-($E936+$F936)</f>
        <v>9.31969907407408</v>
      </c>
      <c r="X936" s="79" t="str">
        <f aca="false">LOOKUP($M936,Lists!$G$2:$G$5,Lists!$H$2:$H$5)</f>
        <v>₹500 - 999</v>
      </c>
      <c r="Y936" s="79" t="str">
        <f aca="false">LOOKUP($W936,Lists!$I$2:$I$7,Lists!$J$2:$J$7)</f>
        <v>8 - 10 days</v>
      </c>
    </row>
    <row r="937" customFormat="false" ht="15" hidden="false" customHeight="false" outlineLevel="0" collapsed="false">
      <c r="A937" s="2" t="n">
        <v>936</v>
      </c>
      <c r="B937" s="2" t="s">
        <v>239</v>
      </c>
      <c r="C937" s="2" t="n">
        <v>43</v>
      </c>
      <c r="D937" s="2" t="n">
        <v>4</v>
      </c>
      <c r="E937" s="82" t="n">
        <v>45232</v>
      </c>
      <c r="F937" s="83" t="n">
        <v>0.893414351851852</v>
      </c>
      <c r="G937" s="82" t="n">
        <v>45238</v>
      </c>
      <c r="H937" s="83" t="n">
        <v>0.41912037037037</v>
      </c>
      <c r="I937" s="2" t="s">
        <v>201</v>
      </c>
      <c r="J937" s="2" t="s">
        <v>32</v>
      </c>
      <c r="K937" s="46" t="str">
        <f aca="false">INDEX(Products!$B$2:$B$71,MATCH($C937,Products!$A$2:$A$71,0))</f>
        <v>Quisquam Pack</v>
      </c>
      <c r="L937" s="46" t="str">
        <f aca="false">INDEX(Products!$C$2:$C$71,MATCH($C937,Products!$A$2:$A$71,0))</f>
        <v>Raksha Bandhan</v>
      </c>
      <c r="M937" s="84" t="n">
        <f aca="false">INDEX(Products!$D$2:$D$71,MATCH($C937,Products!$A$2:$A$71,0))</f>
        <v>750</v>
      </c>
      <c r="N937" s="84" t="n">
        <f aca="false">$D937*$M937</f>
        <v>3000</v>
      </c>
      <c r="O937" s="46" t="str">
        <f aca="false">INDEX(Customers!$C$2:$C$101,MATCH($B937,Customers!$A$2:$A$101,0))</f>
        <v>Maheshtala</v>
      </c>
      <c r="P937" s="46" t="str">
        <f aca="false">INDEX(Customers!$F$2:$F$101,MATCH($B937,Customers!$A$2:$A$101,0))</f>
        <v>Female</v>
      </c>
      <c r="Q937" s="46" t="str">
        <f aca="false">INDEX(Customers!$B$2:$B$101,MATCH($B937,Customers!$A$2:$A$101,0))</f>
        <v>Divit Mahajan</v>
      </c>
      <c r="R937" s="46" t="n">
        <f aca="false">MONTH($E937)</f>
        <v>11</v>
      </c>
      <c r="S937" s="46" t="str">
        <f aca="false">INDEX(Lists!$B$2:$B$13,$R937)</f>
        <v>November</v>
      </c>
      <c r="T937" s="46" t="n">
        <f aca="false">HOUR($F937)</f>
        <v>21</v>
      </c>
      <c r="U937" s="46" t="n">
        <f aca="false">WEEKDAY($E937,2)</f>
        <v>4</v>
      </c>
      <c r="V937" s="46" t="str">
        <f aca="false">INDEX(Lists!$F$2:$F$8,$U937)</f>
        <v>Thursday</v>
      </c>
      <c r="W937" s="85" t="n">
        <f aca="false">($G937+$H937)-($E937+$F937)</f>
        <v>5.52570601851852</v>
      </c>
      <c r="X937" s="46" t="str">
        <f aca="false">LOOKUP($M937,Lists!$G$2:$G$5,Lists!$H$2:$H$5)</f>
        <v>₹500 - 999</v>
      </c>
      <c r="Y937" s="46" t="str">
        <f aca="false">LOOKUP($W937,Lists!$I$2:$I$7,Lists!$J$2:$J$7)</f>
        <v>4 - 6 days</v>
      </c>
    </row>
    <row r="938" customFormat="false" ht="15" hidden="false" customHeight="false" outlineLevel="0" collapsed="false">
      <c r="A938" s="7" t="n">
        <v>937</v>
      </c>
      <c r="B938" s="7" t="s">
        <v>385</v>
      </c>
      <c r="C938" s="7" t="n">
        <v>51</v>
      </c>
      <c r="D938" s="7" t="n">
        <v>2</v>
      </c>
      <c r="E938" s="77" t="n">
        <v>44996</v>
      </c>
      <c r="F938" s="78" t="n">
        <v>0.165081018518519</v>
      </c>
      <c r="G938" s="77" t="n">
        <v>45000</v>
      </c>
      <c r="H938" s="78" t="n">
        <v>0.81056712962963</v>
      </c>
      <c r="I938" s="7" t="s">
        <v>548</v>
      </c>
      <c r="J938" s="7" t="s">
        <v>165</v>
      </c>
      <c r="K938" s="79" t="str">
        <f aca="false">INDEX(Products!$B$2:$B$71,MATCH($C938,Products!$A$2:$A$71,0))</f>
        <v>Fugit Set</v>
      </c>
      <c r="L938" s="79" t="str">
        <f aca="false">INDEX(Products!$C$2:$C$71,MATCH($C938,Products!$A$2:$A$71,0))</f>
        <v>Soft Toys</v>
      </c>
      <c r="M938" s="80" t="n">
        <f aca="false">INDEX(Products!$D$2:$D$71,MATCH($C938,Products!$A$2:$A$71,0))</f>
        <v>1084</v>
      </c>
      <c r="N938" s="80" t="n">
        <f aca="false">$D938*$M938</f>
        <v>2168</v>
      </c>
      <c r="O938" s="79" t="str">
        <f aca="false">INDEX(Customers!$C$2:$C$101,MATCH($B938,Customers!$A$2:$A$101,0))</f>
        <v>Sri Ganganagar</v>
      </c>
      <c r="P938" s="79" t="str">
        <f aca="false">INDEX(Customers!$F$2:$F$101,MATCH($B938,Customers!$A$2:$A$101,0))</f>
        <v>Female</v>
      </c>
      <c r="Q938" s="79" t="str">
        <f aca="false">INDEX(Customers!$B$2:$B$101,MATCH($B938,Customers!$A$2:$A$101,0))</f>
        <v>Nakul Randhawa</v>
      </c>
      <c r="R938" s="79" t="n">
        <f aca="false">MONTH($E938)</f>
        <v>3</v>
      </c>
      <c r="S938" s="79" t="str">
        <f aca="false">INDEX(Lists!$B$2:$B$13,$R938)</f>
        <v>March</v>
      </c>
      <c r="T938" s="79" t="n">
        <f aca="false">HOUR($F938)</f>
        <v>3</v>
      </c>
      <c r="U938" s="79" t="n">
        <f aca="false">WEEKDAY($E938,2)</f>
        <v>6</v>
      </c>
      <c r="V938" s="79" t="str">
        <f aca="false">INDEX(Lists!$F$2:$F$8,$U938)</f>
        <v>Saturday</v>
      </c>
      <c r="W938" s="81" t="n">
        <f aca="false">($G938+$H938)-($E938+$F938)</f>
        <v>4.64548611111111</v>
      </c>
      <c r="X938" s="79" t="str">
        <f aca="false">LOOKUP($M938,Lists!$G$2:$G$5,Lists!$H$2:$H$5)</f>
        <v>₹1,000 - 1,499</v>
      </c>
      <c r="Y938" s="79" t="str">
        <f aca="false">LOOKUP($W938,Lists!$I$2:$I$7,Lists!$J$2:$J$7)</f>
        <v>4 - 6 days</v>
      </c>
    </row>
    <row r="939" customFormat="false" ht="15" hidden="false" customHeight="false" outlineLevel="0" collapsed="false">
      <c r="A939" s="2" t="n">
        <v>938</v>
      </c>
      <c r="B939" s="2" t="s">
        <v>136</v>
      </c>
      <c r="C939" s="2" t="n">
        <v>59</v>
      </c>
      <c r="D939" s="2" t="n">
        <v>3</v>
      </c>
      <c r="E939" s="82" t="n">
        <v>45167</v>
      </c>
      <c r="F939" s="83" t="n">
        <v>0.758900462962963</v>
      </c>
      <c r="G939" s="82" t="n">
        <v>45177</v>
      </c>
      <c r="H939" s="83" t="n">
        <v>0.0538541666666667</v>
      </c>
      <c r="I939" s="2" t="s">
        <v>545</v>
      </c>
      <c r="J939" s="2" t="s">
        <v>40</v>
      </c>
      <c r="K939" s="46" t="str">
        <f aca="false">INDEX(Products!$B$2:$B$71,MATCH($C939,Products!$A$2:$A$71,0))</f>
        <v>Pariatur Box</v>
      </c>
      <c r="L939" s="46" t="str">
        <f aca="false">INDEX(Products!$C$2:$C$71,MATCH($C939,Products!$A$2:$A$71,0))</f>
        <v>Cake</v>
      </c>
      <c r="M939" s="84" t="n">
        <f aca="false">INDEX(Products!$D$2:$D$71,MATCH($C939,Products!$A$2:$A$71,0))</f>
        <v>811</v>
      </c>
      <c r="N939" s="84" t="n">
        <f aca="false">$D939*$M939</f>
        <v>2433</v>
      </c>
      <c r="O939" s="46" t="str">
        <f aca="false">INDEX(Customers!$C$2:$C$101,MATCH($B939,Customers!$A$2:$A$101,0))</f>
        <v>Kottayam</v>
      </c>
      <c r="P939" s="46" t="str">
        <f aca="false">INDEX(Customers!$F$2:$F$101,MATCH($B939,Customers!$A$2:$A$101,0))</f>
        <v>Male</v>
      </c>
      <c r="Q939" s="46" t="str">
        <f aca="false">INDEX(Customers!$B$2:$B$101,MATCH($B939,Customers!$A$2:$A$101,0))</f>
        <v>Hiran Kaul</v>
      </c>
      <c r="R939" s="46" t="n">
        <f aca="false">MONTH($E939)</f>
        <v>8</v>
      </c>
      <c r="S939" s="46" t="str">
        <f aca="false">INDEX(Lists!$B$2:$B$13,$R939)</f>
        <v>August</v>
      </c>
      <c r="T939" s="46" t="n">
        <f aca="false">HOUR($F939)</f>
        <v>18</v>
      </c>
      <c r="U939" s="46" t="n">
        <f aca="false">WEEKDAY($E939,2)</f>
        <v>2</v>
      </c>
      <c r="V939" s="46" t="str">
        <f aca="false">INDEX(Lists!$F$2:$F$8,$U939)</f>
        <v>Tuesday</v>
      </c>
      <c r="W939" s="85" t="n">
        <f aca="false">($G939+$H939)-($E939+$F939)</f>
        <v>9.2949537037037</v>
      </c>
      <c r="X939" s="46" t="str">
        <f aca="false">LOOKUP($M939,Lists!$G$2:$G$5,Lists!$H$2:$H$5)</f>
        <v>₹500 - 999</v>
      </c>
      <c r="Y939" s="46" t="str">
        <f aca="false">LOOKUP($W939,Lists!$I$2:$I$7,Lists!$J$2:$J$7)</f>
        <v>8 - 10 days</v>
      </c>
    </row>
    <row r="940" customFormat="false" ht="15" hidden="false" customHeight="false" outlineLevel="0" collapsed="false">
      <c r="A940" s="7" t="n">
        <v>939</v>
      </c>
      <c r="B940" s="7" t="s">
        <v>350</v>
      </c>
      <c r="C940" s="7" t="n">
        <v>9</v>
      </c>
      <c r="D940" s="7" t="n">
        <v>4</v>
      </c>
      <c r="E940" s="77" t="n">
        <v>45158</v>
      </c>
      <c r="F940" s="78" t="n">
        <v>0.871585648148148</v>
      </c>
      <c r="G940" s="77" t="n">
        <v>45159</v>
      </c>
      <c r="H940" s="78" t="n">
        <v>0.191828703703704</v>
      </c>
      <c r="I940" s="7" t="s">
        <v>241</v>
      </c>
      <c r="J940" s="7" t="s">
        <v>40</v>
      </c>
      <c r="K940" s="79" t="str">
        <f aca="false">INDEX(Products!$B$2:$B$71,MATCH($C940,Products!$A$2:$A$71,0))</f>
        <v>Aperiam Box</v>
      </c>
      <c r="L940" s="79" t="str">
        <f aca="false">INDEX(Products!$C$2:$C$71,MATCH($C940,Products!$A$2:$A$71,0))</f>
        <v>Colors</v>
      </c>
      <c r="M940" s="80" t="n">
        <f aca="false">INDEX(Products!$D$2:$D$71,MATCH($C940,Products!$A$2:$A$71,0))</f>
        <v>1605</v>
      </c>
      <c r="N940" s="80" t="n">
        <f aca="false">$D940*$M940</f>
        <v>6420</v>
      </c>
      <c r="O940" s="79" t="str">
        <f aca="false">INDEX(Customers!$C$2:$C$101,MATCH($B940,Customers!$A$2:$A$101,0))</f>
        <v>Tiruchirappalli</v>
      </c>
      <c r="P940" s="79" t="str">
        <f aca="false">INDEX(Customers!$F$2:$F$101,MATCH($B940,Customers!$A$2:$A$101,0))</f>
        <v>Male</v>
      </c>
      <c r="Q940" s="79" t="str">
        <f aca="false">INDEX(Customers!$B$2:$B$101,MATCH($B940,Customers!$A$2:$A$101,0))</f>
        <v>Anahita Shankar</v>
      </c>
      <c r="R940" s="79" t="n">
        <f aca="false">MONTH($E940)</f>
        <v>8</v>
      </c>
      <c r="S940" s="79" t="str">
        <f aca="false">INDEX(Lists!$B$2:$B$13,$R940)</f>
        <v>August</v>
      </c>
      <c r="T940" s="79" t="n">
        <f aca="false">HOUR($F940)</f>
        <v>20</v>
      </c>
      <c r="U940" s="79" t="n">
        <f aca="false">WEEKDAY($E940,2)</f>
        <v>7</v>
      </c>
      <c r="V940" s="79" t="str">
        <f aca="false">INDEX(Lists!$F$2:$F$8,$U940)</f>
        <v>Sunday</v>
      </c>
      <c r="W940" s="81" t="n">
        <f aca="false">($G940+$H940)-($E940+$F940)</f>
        <v>0.320243055555556</v>
      </c>
      <c r="X940" s="79" t="str">
        <f aca="false">LOOKUP($M940,Lists!$G$2:$G$5,Lists!$H$2:$H$5)</f>
        <v>₹1,500 - 2,000</v>
      </c>
      <c r="Y940" s="79" t="str">
        <f aca="false">LOOKUP($W940,Lists!$I$2:$I$7,Lists!$J$2:$J$7)</f>
        <v>0 - 2 days</v>
      </c>
    </row>
    <row r="941" customFormat="false" ht="15" hidden="false" customHeight="false" outlineLevel="0" collapsed="false">
      <c r="A941" s="2" t="n">
        <v>940</v>
      </c>
      <c r="B941" s="2" t="s">
        <v>344</v>
      </c>
      <c r="C941" s="2" t="n">
        <v>57</v>
      </c>
      <c r="D941" s="2" t="n">
        <v>4</v>
      </c>
      <c r="E941" s="82" t="n">
        <v>44937</v>
      </c>
      <c r="F941" s="83" t="n">
        <v>0.985011574074074</v>
      </c>
      <c r="G941" s="82" t="n">
        <v>44938</v>
      </c>
      <c r="H941" s="83" t="n">
        <v>0.17005787037037</v>
      </c>
      <c r="I941" s="2" t="s">
        <v>515</v>
      </c>
      <c r="J941" s="2" t="s">
        <v>31</v>
      </c>
      <c r="K941" s="46" t="str">
        <f aca="false">INDEX(Products!$B$2:$B$71,MATCH($C941,Products!$A$2:$A$71,0))</f>
        <v>Voluptatem Box</v>
      </c>
      <c r="L941" s="46" t="str">
        <f aca="false">INDEX(Products!$C$2:$C$71,MATCH($C941,Products!$A$2:$A$71,0))</f>
        <v>Colors</v>
      </c>
      <c r="M941" s="84" t="n">
        <f aca="false">INDEX(Products!$D$2:$D$71,MATCH($C941,Products!$A$2:$A$71,0))</f>
        <v>1582</v>
      </c>
      <c r="N941" s="84" t="n">
        <f aca="false">$D941*$M941</f>
        <v>6328</v>
      </c>
      <c r="O941" s="46" t="str">
        <f aca="false">INDEX(Customers!$C$2:$C$101,MATCH($B941,Customers!$A$2:$A$101,0))</f>
        <v>Ahmednagar</v>
      </c>
      <c r="P941" s="46" t="str">
        <f aca="false">INDEX(Customers!$F$2:$F$101,MATCH($B941,Customers!$A$2:$A$101,0))</f>
        <v>Female</v>
      </c>
      <c r="Q941" s="46" t="str">
        <f aca="false">INDEX(Customers!$B$2:$B$101,MATCH($B941,Customers!$A$2:$A$101,0))</f>
        <v>Anya Chaudhari</v>
      </c>
      <c r="R941" s="46" t="n">
        <f aca="false">MONTH($E941)</f>
        <v>1</v>
      </c>
      <c r="S941" s="46" t="str">
        <f aca="false">INDEX(Lists!$B$2:$B$13,$R941)</f>
        <v>January</v>
      </c>
      <c r="T941" s="46" t="n">
        <f aca="false">HOUR($F941)</f>
        <v>23</v>
      </c>
      <c r="U941" s="46" t="n">
        <f aca="false">WEEKDAY($E941,2)</f>
        <v>3</v>
      </c>
      <c r="V941" s="46" t="str">
        <f aca="false">INDEX(Lists!$F$2:$F$8,$U941)</f>
        <v>Wednesday</v>
      </c>
      <c r="W941" s="85" t="n">
        <f aca="false">($G941+$H941)-($E941+$F941)</f>
        <v>0.185046296296296</v>
      </c>
      <c r="X941" s="46" t="str">
        <f aca="false">LOOKUP($M941,Lists!$G$2:$G$5,Lists!$H$2:$H$5)</f>
        <v>₹1,500 - 2,000</v>
      </c>
      <c r="Y941" s="46" t="str">
        <f aca="false">LOOKUP($W941,Lists!$I$2:$I$7,Lists!$J$2:$J$7)</f>
        <v>0 - 2 days</v>
      </c>
    </row>
    <row r="942" customFormat="false" ht="15" hidden="false" customHeight="false" outlineLevel="0" collapsed="false">
      <c r="A942" s="7" t="n">
        <v>941</v>
      </c>
      <c r="B942" s="7" t="s">
        <v>278</v>
      </c>
      <c r="C942" s="7" t="n">
        <v>18</v>
      </c>
      <c r="D942" s="7" t="n">
        <v>4</v>
      </c>
      <c r="E942" s="77" t="n">
        <v>45065</v>
      </c>
      <c r="F942" s="78" t="n">
        <v>0.38619212962963</v>
      </c>
      <c r="G942" s="77" t="n">
        <v>45068</v>
      </c>
      <c r="H942" s="78" t="n">
        <v>0.436122685185185</v>
      </c>
      <c r="I942" s="7" t="s">
        <v>268</v>
      </c>
      <c r="J942" s="7" t="s">
        <v>31</v>
      </c>
      <c r="K942" s="79" t="str">
        <f aca="false">INDEX(Products!$B$2:$B$71,MATCH($C942,Products!$A$2:$A$71,0))</f>
        <v>Nemo Set</v>
      </c>
      <c r="L942" s="79" t="str">
        <f aca="false">INDEX(Products!$C$2:$C$71,MATCH($C942,Products!$A$2:$A$71,0))</f>
        <v>Plants</v>
      </c>
      <c r="M942" s="80" t="n">
        <f aca="false">INDEX(Products!$D$2:$D$71,MATCH($C942,Products!$A$2:$A$71,0))</f>
        <v>781</v>
      </c>
      <c r="N942" s="80" t="n">
        <f aca="false">$D942*$M942</f>
        <v>3124</v>
      </c>
      <c r="O942" s="79" t="str">
        <f aca="false">INDEX(Customers!$C$2:$C$101,MATCH($B942,Customers!$A$2:$A$101,0))</f>
        <v>Guntakal</v>
      </c>
      <c r="P942" s="79" t="str">
        <f aca="false">INDEX(Customers!$F$2:$F$101,MATCH($B942,Customers!$A$2:$A$101,0))</f>
        <v>Male</v>
      </c>
      <c r="Q942" s="79" t="str">
        <f aca="false">INDEX(Customers!$B$2:$B$101,MATCH($B942,Customers!$A$2:$A$101,0))</f>
        <v>Charvi Kanda</v>
      </c>
      <c r="R942" s="79" t="n">
        <f aca="false">MONTH($E942)</f>
        <v>5</v>
      </c>
      <c r="S942" s="79" t="str">
        <f aca="false">INDEX(Lists!$B$2:$B$13,$R942)</f>
        <v>May</v>
      </c>
      <c r="T942" s="79" t="n">
        <f aca="false">HOUR($F942)</f>
        <v>9</v>
      </c>
      <c r="U942" s="79" t="n">
        <f aca="false">WEEKDAY($E942,2)</f>
        <v>5</v>
      </c>
      <c r="V942" s="79" t="str">
        <f aca="false">INDEX(Lists!$F$2:$F$8,$U942)</f>
        <v>Friday</v>
      </c>
      <c r="W942" s="81" t="n">
        <f aca="false">($G942+$H942)-($E942+$F942)</f>
        <v>3.04993055555556</v>
      </c>
      <c r="X942" s="79" t="str">
        <f aca="false">LOOKUP($M942,Lists!$G$2:$G$5,Lists!$H$2:$H$5)</f>
        <v>₹500 - 999</v>
      </c>
      <c r="Y942" s="79" t="str">
        <f aca="false">LOOKUP($W942,Lists!$I$2:$I$7,Lists!$J$2:$J$7)</f>
        <v>2 - 4 days</v>
      </c>
    </row>
    <row r="943" customFormat="false" ht="15" hidden="false" customHeight="false" outlineLevel="0" collapsed="false">
      <c r="A943" s="2" t="n">
        <v>942</v>
      </c>
      <c r="B943" s="2" t="s">
        <v>185</v>
      </c>
      <c r="C943" s="2" t="n">
        <v>51</v>
      </c>
      <c r="D943" s="2" t="n">
        <v>1</v>
      </c>
      <c r="E943" s="82" t="n">
        <v>45283</v>
      </c>
      <c r="F943" s="83" t="n">
        <v>0.208136574074074</v>
      </c>
      <c r="G943" s="82" t="n">
        <v>45286</v>
      </c>
      <c r="H943" s="83" t="n">
        <v>0.664143518518519</v>
      </c>
      <c r="I943" s="2" t="s">
        <v>579</v>
      </c>
      <c r="J943" s="2" t="s">
        <v>165</v>
      </c>
      <c r="K943" s="46" t="str">
        <f aca="false">INDEX(Products!$B$2:$B$71,MATCH($C943,Products!$A$2:$A$71,0))</f>
        <v>Fugit Set</v>
      </c>
      <c r="L943" s="46" t="str">
        <f aca="false">INDEX(Products!$C$2:$C$71,MATCH($C943,Products!$A$2:$A$71,0))</f>
        <v>Soft Toys</v>
      </c>
      <c r="M943" s="84" t="n">
        <f aca="false">INDEX(Products!$D$2:$D$71,MATCH($C943,Products!$A$2:$A$71,0))</f>
        <v>1084</v>
      </c>
      <c r="N943" s="84" t="n">
        <f aca="false">$D943*$M943</f>
        <v>1084</v>
      </c>
      <c r="O943" s="46" t="str">
        <f aca="false">INDEX(Customers!$C$2:$C$101,MATCH($B943,Customers!$A$2:$A$101,0))</f>
        <v>Kavali</v>
      </c>
      <c r="P943" s="46" t="str">
        <f aca="false">INDEX(Customers!$F$2:$F$101,MATCH($B943,Customers!$A$2:$A$101,0))</f>
        <v>Female</v>
      </c>
      <c r="Q943" s="46" t="str">
        <f aca="false">INDEX(Customers!$B$2:$B$101,MATCH($B943,Customers!$A$2:$A$101,0))</f>
        <v>Jhanvi Chowdhury</v>
      </c>
      <c r="R943" s="46" t="n">
        <f aca="false">MONTH($E943)</f>
        <v>12</v>
      </c>
      <c r="S943" s="46" t="str">
        <f aca="false">INDEX(Lists!$B$2:$B$13,$R943)</f>
        <v>December</v>
      </c>
      <c r="T943" s="46" t="n">
        <f aca="false">HOUR($F943)</f>
        <v>4</v>
      </c>
      <c r="U943" s="46" t="n">
        <f aca="false">WEEKDAY($E943,2)</f>
        <v>6</v>
      </c>
      <c r="V943" s="46" t="str">
        <f aca="false">INDEX(Lists!$F$2:$F$8,$U943)</f>
        <v>Saturday</v>
      </c>
      <c r="W943" s="85" t="n">
        <f aca="false">($G943+$H943)-($E943+$F943)</f>
        <v>3.45600694444444</v>
      </c>
      <c r="X943" s="46" t="str">
        <f aca="false">LOOKUP($M943,Lists!$G$2:$G$5,Lists!$H$2:$H$5)</f>
        <v>₹1,000 - 1,499</v>
      </c>
      <c r="Y943" s="46" t="str">
        <f aca="false">LOOKUP($W943,Lists!$I$2:$I$7,Lists!$J$2:$J$7)</f>
        <v>2 - 4 days</v>
      </c>
    </row>
    <row r="944" customFormat="false" ht="15" hidden="false" customHeight="false" outlineLevel="0" collapsed="false">
      <c r="A944" s="7" t="n">
        <v>943</v>
      </c>
      <c r="B944" s="7" t="s">
        <v>190</v>
      </c>
      <c r="C944" s="7" t="n">
        <v>22</v>
      </c>
      <c r="D944" s="7" t="n">
        <v>4</v>
      </c>
      <c r="E944" s="77" t="n">
        <v>44976</v>
      </c>
      <c r="F944" s="78" t="n">
        <v>0.6021875</v>
      </c>
      <c r="G944" s="77" t="n">
        <v>44979</v>
      </c>
      <c r="H944" s="78" t="n">
        <v>0.795821759259259</v>
      </c>
      <c r="I944" s="7" t="s">
        <v>506</v>
      </c>
      <c r="J944" s="7" t="s">
        <v>165</v>
      </c>
      <c r="K944" s="79" t="str">
        <f aca="false">INDEX(Products!$B$2:$B$71,MATCH($C944,Products!$A$2:$A$71,0))</f>
        <v>Exercitationem Pack</v>
      </c>
      <c r="L944" s="79" t="str">
        <f aca="false">INDEX(Products!$C$2:$C$71,MATCH($C944,Products!$A$2:$A$71,0))</f>
        <v>Soft Toys</v>
      </c>
      <c r="M944" s="80" t="n">
        <f aca="false">INDEX(Products!$D$2:$D$71,MATCH($C944,Products!$A$2:$A$71,0))</f>
        <v>1639</v>
      </c>
      <c r="N944" s="80" t="n">
        <f aca="false">$D944*$M944</f>
        <v>6556</v>
      </c>
      <c r="O944" s="79" t="str">
        <f aca="false">INDEX(Customers!$C$2:$C$101,MATCH($B944,Customers!$A$2:$A$101,0))</f>
        <v>Farrukhabad</v>
      </c>
      <c r="P944" s="79" t="str">
        <f aca="false">INDEX(Customers!$F$2:$F$101,MATCH($B944,Customers!$A$2:$A$101,0))</f>
        <v>Female</v>
      </c>
      <c r="Q944" s="79" t="str">
        <f aca="false">INDEX(Customers!$B$2:$B$101,MATCH($B944,Customers!$A$2:$A$101,0))</f>
        <v>Ira Chahal</v>
      </c>
      <c r="R944" s="79" t="n">
        <f aca="false">MONTH($E944)</f>
        <v>2</v>
      </c>
      <c r="S944" s="79" t="str">
        <f aca="false">INDEX(Lists!$B$2:$B$13,$R944)</f>
        <v>February</v>
      </c>
      <c r="T944" s="79" t="n">
        <f aca="false">HOUR($F944)</f>
        <v>14</v>
      </c>
      <c r="U944" s="79" t="n">
        <f aca="false">WEEKDAY($E944,2)</f>
        <v>7</v>
      </c>
      <c r="V944" s="79" t="str">
        <f aca="false">INDEX(Lists!$F$2:$F$8,$U944)</f>
        <v>Sunday</v>
      </c>
      <c r="W944" s="81" t="n">
        <f aca="false">($G944+$H944)-($E944+$F944)</f>
        <v>3.19363425925926</v>
      </c>
      <c r="X944" s="79" t="str">
        <f aca="false">LOOKUP($M944,Lists!$G$2:$G$5,Lists!$H$2:$H$5)</f>
        <v>₹1,500 - 2,000</v>
      </c>
      <c r="Y944" s="79" t="str">
        <f aca="false">LOOKUP($W944,Lists!$I$2:$I$7,Lists!$J$2:$J$7)</f>
        <v>2 - 4 days</v>
      </c>
    </row>
    <row r="945" customFormat="false" ht="15" hidden="false" customHeight="false" outlineLevel="0" collapsed="false">
      <c r="A945" s="2" t="n">
        <v>944</v>
      </c>
      <c r="B945" s="2" t="s">
        <v>185</v>
      </c>
      <c r="C945" s="2" t="n">
        <v>67</v>
      </c>
      <c r="D945" s="2" t="n">
        <v>4</v>
      </c>
      <c r="E945" s="82" t="n">
        <v>45247</v>
      </c>
      <c r="F945" s="83" t="n">
        <v>0.857326388888889</v>
      </c>
      <c r="G945" s="82" t="n">
        <v>45251</v>
      </c>
      <c r="H945" s="83" t="n">
        <v>0.694907407407407</v>
      </c>
      <c r="I945" s="2" t="s">
        <v>169</v>
      </c>
      <c r="J945" s="2" t="s">
        <v>168</v>
      </c>
      <c r="K945" s="46" t="str">
        <f aca="false">INDEX(Products!$B$2:$B$71,MATCH($C945,Products!$A$2:$A$71,0))</f>
        <v>Maiores Box</v>
      </c>
      <c r="L945" s="46" t="str">
        <f aca="false">INDEX(Products!$C$2:$C$71,MATCH($C945,Products!$A$2:$A$71,0))</f>
        <v>Raksha Bandhan</v>
      </c>
      <c r="M945" s="84" t="n">
        <f aca="false">INDEX(Products!$D$2:$D$71,MATCH($C945,Products!$A$2:$A$71,0))</f>
        <v>1374</v>
      </c>
      <c r="N945" s="84" t="n">
        <f aca="false">$D945*$M945</f>
        <v>5496</v>
      </c>
      <c r="O945" s="46" t="str">
        <f aca="false">INDEX(Customers!$C$2:$C$101,MATCH($B945,Customers!$A$2:$A$101,0))</f>
        <v>Kavali</v>
      </c>
      <c r="P945" s="46" t="str">
        <f aca="false">INDEX(Customers!$F$2:$F$101,MATCH($B945,Customers!$A$2:$A$101,0))</f>
        <v>Female</v>
      </c>
      <c r="Q945" s="46" t="str">
        <f aca="false">INDEX(Customers!$B$2:$B$101,MATCH($B945,Customers!$A$2:$A$101,0))</f>
        <v>Jhanvi Chowdhury</v>
      </c>
      <c r="R945" s="46" t="n">
        <f aca="false">MONTH($E945)</f>
        <v>11</v>
      </c>
      <c r="S945" s="46" t="str">
        <f aca="false">INDEX(Lists!$B$2:$B$13,$R945)</f>
        <v>November</v>
      </c>
      <c r="T945" s="46" t="n">
        <f aca="false">HOUR($F945)</f>
        <v>20</v>
      </c>
      <c r="U945" s="46" t="n">
        <f aca="false">WEEKDAY($E945,2)</f>
        <v>5</v>
      </c>
      <c r="V945" s="46" t="str">
        <f aca="false">INDEX(Lists!$F$2:$F$8,$U945)</f>
        <v>Friday</v>
      </c>
      <c r="W945" s="85" t="n">
        <f aca="false">($G945+$H945)-($E945+$F945)</f>
        <v>3.83758101851852</v>
      </c>
      <c r="X945" s="46" t="str">
        <f aca="false">LOOKUP($M945,Lists!$G$2:$G$5,Lists!$H$2:$H$5)</f>
        <v>₹1,000 - 1,499</v>
      </c>
      <c r="Y945" s="46" t="str">
        <f aca="false">LOOKUP($W945,Lists!$I$2:$I$7,Lists!$J$2:$J$7)</f>
        <v>2 - 4 days</v>
      </c>
    </row>
    <row r="946" customFormat="false" ht="15" hidden="false" customHeight="false" outlineLevel="0" collapsed="false">
      <c r="A946" s="7" t="n">
        <v>945</v>
      </c>
      <c r="B946" s="7" t="s">
        <v>218</v>
      </c>
      <c r="C946" s="7" t="n">
        <v>18</v>
      </c>
      <c r="D946" s="7" t="n">
        <v>2</v>
      </c>
      <c r="E946" s="77" t="n">
        <v>45137</v>
      </c>
      <c r="F946" s="78" t="n">
        <v>0.500023148148148</v>
      </c>
      <c r="G946" s="77" t="n">
        <v>45144</v>
      </c>
      <c r="H946" s="78" t="n">
        <v>0.531122685185185</v>
      </c>
      <c r="I946" s="7" t="s">
        <v>534</v>
      </c>
      <c r="J946" s="7" t="s">
        <v>31</v>
      </c>
      <c r="K946" s="79" t="str">
        <f aca="false">INDEX(Products!$B$2:$B$71,MATCH($C946,Products!$A$2:$A$71,0))</f>
        <v>Nemo Set</v>
      </c>
      <c r="L946" s="79" t="str">
        <f aca="false">INDEX(Products!$C$2:$C$71,MATCH($C946,Products!$A$2:$A$71,0))</f>
        <v>Plants</v>
      </c>
      <c r="M946" s="80" t="n">
        <f aca="false">INDEX(Products!$D$2:$D$71,MATCH($C946,Products!$A$2:$A$71,0))</f>
        <v>781</v>
      </c>
      <c r="N946" s="80" t="n">
        <f aca="false">$D946*$M946</f>
        <v>1562</v>
      </c>
      <c r="O946" s="79" t="str">
        <f aca="false">INDEX(Customers!$C$2:$C$101,MATCH($B946,Customers!$A$2:$A$101,0))</f>
        <v>Aizawl</v>
      </c>
      <c r="P946" s="79" t="str">
        <f aca="false">INDEX(Customers!$F$2:$F$101,MATCH($B946,Customers!$A$2:$A$101,0))</f>
        <v>Female</v>
      </c>
      <c r="Q946" s="79" t="str">
        <f aca="false">INDEX(Customers!$B$2:$B$101,MATCH($B946,Customers!$A$2:$A$101,0))</f>
        <v>Yakshit Shah</v>
      </c>
      <c r="R946" s="79" t="n">
        <f aca="false">MONTH($E946)</f>
        <v>7</v>
      </c>
      <c r="S946" s="79" t="str">
        <f aca="false">INDEX(Lists!$B$2:$B$13,$R946)</f>
        <v>July</v>
      </c>
      <c r="T946" s="79" t="n">
        <f aca="false">HOUR($F946)</f>
        <v>12</v>
      </c>
      <c r="U946" s="79" t="n">
        <f aca="false">WEEKDAY($E946,2)</f>
        <v>7</v>
      </c>
      <c r="V946" s="79" t="str">
        <f aca="false">INDEX(Lists!$F$2:$F$8,$U946)</f>
        <v>Sunday</v>
      </c>
      <c r="W946" s="81" t="n">
        <f aca="false">($G946+$H946)-($E946+$F946)</f>
        <v>7.03109953703704</v>
      </c>
      <c r="X946" s="79" t="str">
        <f aca="false">LOOKUP($M946,Lists!$G$2:$G$5,Lists!$H$2:$H$5)</f>
        <v>₹500 - 999</v>
      </c>
      <c r="Y946" s="79" t="str">
        <f aca="false">LOOKUP($W946,Lists!$I$2:$I$7,Lists!$J$2:$J$7)</f>
        <v>6 - 8 days</v>
      </c>
    </row>
    <row r="947" customFormat="false" ht="15" hidden="false" customHeight="false" outlineLevel="0" collapsed="false">
      <c r="A947" s="2" t="n">
        <v>946</v>
      </c>
      <c r="B947" s="2" t="s">
        <v>254</v>
      </c>
      <c r="C947" s="2" t="n">
        <v>17</v>
      </c>
      <c r="D947" s="2" t="n">
        <v>4</v>
      </c>
      <c r="E947" s="82" t="n">
        <v>45262</v>
      </c>
      <c r="F947" s="83" t="n">
        <v>0.463530092592593</v>
      </c>
      <c r="G947" s="82" t="n">
        <v>45269</v>
      </c>
      <c r="H947" s="83" t="n">
        <v>0.738391203703704</v>
      </c>
      <c r="I947" s="2" t="s">
        <v>545</v>
      </c>
      <c r="J947" s="2" t="s">
        <v>168</v>
      </c>
      <c r="K947" s="46" t="str">
        <f aca="false">INDEX(Products!$B$2:$B$71,MATCH($C947,Products!$A$2:$A$71,0))</f>
        <v>Delectus Gift</v>
      </c>
      <c r="L947" s="46" t="str">
        <f aca="false">INDEX(Products!$C$2:$C$71,MATCH($C947,Products!$A$2:$A$71,0))</f>
        <v>Soft Toys</v>
      </c>
      <c r="M947" s="84" t="n">
        <f aca="false">INDEX(Products!$D$2:$D$71,MATCH($C947,Products!$A$2:$A$71,0))</f>
        <v>1899</v>
      </c>
      <c r="N947" s="84" t="n">
        <f aca="false">$D947*$M947</f>
        <v>7596</v>
      </c>
      <c r="O947" s="46" t="str">
        <f aca="false">INDEX(Customers!$C$2:$C$101,MATCH($B947,Customers!$A$2:$A$101,0))</f>
        <v>Imphal</v>
      </c>
      <c r="P947" s="46" t="str">
        <f aca="false">INDEX(Customers!$F$2:$F$101,MATCH($B947,Customers!$A$2:$A$101,0))</f>
        <v>Female</v>
      </c>
      <c r="Q947" s="46" t="str">
        <f aca="false">INDEX(Customers!$B$2:$B$101,MATCH($B947,Customers!$A$2:$A$101,0))</f>
        <v>Chirag Srinivas</v>
      </c>
      <c r="R947" s="46" t="n">
        <f aca="false">MONTH($E947)</f>
        <v>12</v>
      </c>
      <c r="S947" s="46" t="str">
        <f aca="false">INDEX(Lists!$B$2:$B$13,$R947)</f>
        <v>December</v>
      </c>
      <c r="T947" s="46" t="n">
        <f aca="false">HOUR($F947)</f>
        <v>11</v>
      </c>
      <c r="U947" s="46" t="n">
        <f aca="false">WEEKDAY($E947,2)</f>
        <v>6</v>
      </c>
      <c r="V947" s="46" t="str">
        <f aca="false">INDEX(Lists!$F$2:$F$8,$U947)</f>
        <v>Saturday</v>
      </c>
      <c r="W947" s="85" t="n">
        <f aca="false">($G947+$H947)-($E947+$F947)</f>
        <v>7.27486111111111</v>
      </c>
      <c r="X947" s="46" t="str">
        <f aca="false">LOOKUP($M947,Lists!$G$2:$G$5,Lists!$H$2:$H$5)</f>
        <v>₹1,500 - 2,000</v>
      </c>
      <c r="Y947" s="46" t="str">
        <f aca="false">LOOKUP($W947,Lists!$I$2:$I$7,Lists!$J$2:$J$7)</f>
        <v>6 - 8 days</v>
      </c>
    </row>
    <row r="948" customFormat="false" ht="15" hidden="false" customHeight="false" outlineLevel="0" collapsed="false">
      <c r="A948" s="7" t="n">
        <v>947</v>
      </c>
      <c r="B948" s="7" t="s">
        <v>392</v>
      </c>
      <c r="C948" s="7" t="n">
        <v>38</v>
      </c>
      <c r="D948" s="7" t="n">
        <v>3</v>
      </c>
      <c r="E948" s="77" t="n">
        <v>45205</v>
      </c>
      <c r="F948" s="78" t="n">
        <v>0.802997685185185</v>
      </c>
      <c r="G948" s="77" t="n">
        <v>45207</v>
      </c>
      <c r="H948" s="78" t="n">
        <v>0.975543981481482</v>
      </c>
      <c r="I948" s="7" t="s">
        <v>500</v>
      </c>
      <c r="J948" s="7" t="s">
        <v>31</v>
      </c>
      <c r="K948" s="79" t="str">
        <f aca="false">INDEX(Products!$B$2:$B$71,MATCH($C948,Products!$A$2:$A$71,0))</f>
        <v>Mollitia Set</v>
      </c>
      <c r="L948" s="79" t="str">
        <f aca="false">INDEX(Products!$C$2:$C$71,MATCH($C948,Products!$A$2:$A$71,0))</f>
        <v>Cake</v>
      </c>
      <c r="M948" s="80" t="n">
        <f aca="false">INDEX(Products!$D$2:$D$71,MATCH($C948,Products!$A$2:$A$71,0))</f>
        <v>562</v>
      </c>
      <c r="N948" s="80" t="n">
        <f aca="false">$D948*$M948</f>
        <v>1686</v>
      </c>
      <c r="O948" s="79" t="str">
        <f aca="false">INDEX(Customers!$C$2:$C$101,MATCH($B948,Customers!$A$2:$A$101,0))</f>
        <v>Phagwara</v>
      </c>
      <c r="P948" s="79" t="str">
        <f aca="false">INDEX(Customers!$F$2:$F$101,MATCH($B948,Customers!$A$2:$A$101,0))</f>
        <v>Female</v>
      </c>
      <c r="Q948" s="79" t="str">
        <f aca="false">INDEX(Customers!$B$2:$B$101,MATCH($B948,Customers!$A$2:$A$101,0))</f>
        <v>Pranay Chaudhary</v>
      </c>
      <c r="R948" s="79" t="n">
        <f aca="false">MONTH($E948)</f>
        <v>10</v>
      </c>
      <c r="S948" s="79" t="str">
        <f aca="false">INDEX(Lists!$B$2:$B$13,$R948)</f>
        <v>October</v>
      </c>
      <c r="T948" s="79" t="n">
        <f aca="false">HOUR($F948)</f>
        <v>19</v>
      </c>
      <c r="U948" s="79" t="n">
        <f aca="false">WEEKDAY($E948,2)</f>
        <v>5</v>
      </c>
      <c r="V948" s="79" t="str">
        <f aca="false">INDEX(Lists!$F$2:$F$8,$U948)</f>
        <v>Friday</v>
      </c>
      <c r="W948" s="81" t="n">
        <f aca="false">($G948+$H948)-($E948+$F948)</f>
        <v>2.1725462962963</v>
      </c>
      <c r="X948" s="79" t="str">
        <f aca="false">LOOKUP($M948,Lists!$G$2:$G$5,Lists!$H$2:$H$5)</f>
        <v>₹500 - 999</v>
      </c>
      <c r="Y948" s="79" t="str">
        <f aca="false">LOOKUP($W948,Lists!$I$2:$I$7,Lists!$J$2:$J$7)</f>
        <v>2 - 4 days</v>
      </c>
    </row>
    <row r="949" customFormat="false" ht="15" hidden="false" customHeight="false" outlineLevel="0" collapsed="false">
      <c r="A949" s="2" t="n">
        <v>948</v>
      </c>
      <c r="B949" s="2" t="s">
        <v>285</v>
      </c>
      <c r="C949" s="2" t="n">
        <v>26</v>
      </c>
      <c r="D949" s="2" t="n">
        <v>3</v>
      </c>
      <c r="E949" s="82" t="n">
        <v>44989</v>
      </c>
      <c r="F949" s="83" t="n">
        <v>0.765173611111111</v>
      </c>
      <c r="G949" s="82" t="n">
        <v>44992</v>
      </c>
      <c r="H949" s="83" t="n">
        <v>0.549606481481482</v>
      </c>
      <c r="I949" s="2" t="s">
        <v>327</v>
      </c>
      <c r="J949" s="2" t="s">
        <v>33</v>
      </c>
      <c r="K949" s="46" t="str">
        <f aca="false">INDEX(Products!$B$2:$B$71,MATCH($C949,Products!$A$2:$A$71,0))</f>
        <v>Aliquam Box</v>
      </c>
      <c r="L949" s="46" t="str">
        <f aca="false">INDEX(Products!$C$2:$C$71,MATCH($C949,Products!$A$2:$A$71,0))</f>
        <v>Colors</v>
      </c>
      <c r="M949" s="84" t="n">
        <f aca="false">INDEX(Products!$D$2:$D$71,MATCH($C949,Products!$A$2:$A$71,0))</f>
        <v>289</v>
      </c>
      <c r="N949" s="84" t="n">
        <f aca="false">$D949*$M949</f>
        <v>867</v>
      </c>
      <c r="O949" s="46" t="str">
        <f aca="false">INDEX(Customers!$C$2:$C$101,MATCH($B949,Customers!$A$2:$A$101,0))</f>
        <v>Kavali</v>
      </c>
      <c r="P949" s="46" t="str">
        <f aca="false">INDEX(Customers!$F$2:$F$101,MATCH($B949,Customers!$A$2:$A$101,0))</f>
        <v>Female</v>
      </c>
      <c r="Q949" s="46" t="str">
        <f aca="false">INDEX(Customers!$B$2:$B$101,MATCH($B949,Customers!$A$2:$A$101,0))</f>
        <v>Akarsh Ramesh</v>
      </c>
      <c r="R949" s="46" t="n">
        <f aca="false">MONTH($E949)</f>
        <v>3</v>
      </c>
      <c r="S949" s="46" t="str">
        <f aca="false">INDEX(Lists!$B$2:$B$13,$R949)</f>
        <v>March</v>
      </c>
      <c r="T949" s="46" t="n">
        <f aca="false">HOUR($F949)</f>
        <v>18</v>
      </c>
      <c r="U949" s="46" t="n">
        <f aca="false">WEEKDAY($E949,2)</f>
        <v>6</v>
      </c>
      <c r="V949" s="46" t="str">
        <f aca="false">INDEX(Lists!$F$2:$F$8,$U949)</f>
        <v>Saturday</v>
      </c>
      <c r="W949" s="85" t="n">
        <f aca="false">($G949+$H949)-($E949+$F949)</f>
        <v>2.78443287037037</v>
      </c>
      <c r="X949" s="46" t="str">
        <f aca="false">LOOKUP($M949,Lists!$G$2:$G$5,Lists!$H$2:$H$5)</f>
        <v>₹0 - 499</v>
      </c>
      <c r="Y949" s="46" t="str">
        <f aca="false">LOOKUP($W949,Lists!$I$2:$I$7,Lists!$J$2:$J$7)</f>
        <v>2 - 4 days</v>
      </c>
    </row>
    <row r="950" customFormat="false" ht="15" hidden="false" customHeight="false" outlineLevel="0" collapsed="false">
      <c r="A950" s="7" t="n">
        <v>949</v>
      </c>
      <c r="B950" s="7" t="s">
        <v>176</v>
      </c>
      <c r="C950" s="7" t="n">
        <v>6</v>
      </c>
      <c r="D950" s="7" t="n">
        <v>4</v>
      </c>
      <c r="E950" s="77" t="n">
        <v>44984</v>
      </c>
      <c r="F950" s="78" t="n">
        <v>0.871539351851852</v>
      </c>
      <c r="G950" s="77" t="n">
        <v>44991</v>
      </c>
      <c r="H950" s="78" t="n">
        <v>0.399502314814815</v>
      </c>
      <c r="I950" s="7" t="s">
        <v>208</v>
      </c>
      <c r="J950" s="7" t="s">
        <v>33</v>
      </c>
      <c r="K950" s="79" t="str">
        <f aca="false">INDEX(Products!$B$2:$B$71,MATCH($C950,Products!$A$2:$A$71,0))</f>
        <v>Quos Box</v>
      </c>
      <c r="L950" s="79" t="str">
        <f aca="false">INDEX(Products!$C$2:$C$71,MATCH($C950,Products!$A$2:$A$71,0))</f>
        <v>Cake</v>
      </c>
      <c r="M950" s="80" t="n">
        <f aca="false">INDEX(Products!$D$2:$D$71,MATCH($C950,Products!$A$2:$A$71,0))</f>
        <v>1112</v>
      </c>
      <c r="N950" s="80" t="n">
        <f aca="false">$D950*$M950</f>
        <v>4448</v>
      </c>
      <c r="O950" s="79" t="str">
        <f aca="false">INDEX(Customers!$C$2:$C$101,MATCH($B950,Customers!$A$2:$A$101,0))</f>
        <v>Machilipatnam</v>
      </c>
      <c r="P950" s="79" t="str">
        <f aca="false">INDEX(Customers!$F$2:$F$101,MATCH($B950,Customers!$A$2:$A$101,0))</f>
        <v>Male</v>
      </c>
      <c r="Q950" s="79" t="str">
        <f aca="false">INDEX(Customers!$B$2:$B$101,MATCH($B950,Customers!$A$2:$A$101,0))</f>
        <v>Samaira Ganesh</v>
      </c>
      <c r="R950" s="79" t="n">
        <f aca="false">MONTH($E950)</f>
        <v>2</v>
      </c>
      <c r="S950" s="79" t="str">
        <f aca="false">INDEX(Lists!$B$2:$B$13,$R950)</f>
        <v>February</v>
      </c>
      <c r="T950" s="79" t="n">
        <f aca="false">HOUR($F950)</f>
        <v>20</v>
      </c>
      <c r="U950" s="79" t="n">
        <f aca="false">WEEKDAY($E950,2)</f>
        <v>1</v>
      </c>
      <c r="V950" s="79" t="str">
        <f aca="false">INDEX(Lists!$F$2:$F$8,$U950)</f>
        <v>Monday</v>
      </c>
      <c r="W950" s="81" t="n">
        <f aca="false">($G950+$H950)-($E950+$F950)</f>
        <v>6.52796296296296</v>
      </c>
      <c r="X950" s="79" t="str">
        <f aca="false">LOOKUP($M950,Lists!$G$2:$G$5,Lists!$H$2:$H$5)</f>
        <v>₹1,000 - 1,499</v>
      </c>
      <c r="Y950" s="79" t="str">
        <f aca="false">LOOKUP($W950,Lists!$I$2:$I$7,Lists!$J$2:$J$7)</f>
        <v>6 - 8 days</v>
      </c>
    </row>
    <row r="951" customFormat="false" ht="15" hidden="false" customHeight="false" outlineLevel="0" collapsed="false">
      <c r="A951" s="2" t="n">
        <v>950</v>
      </c>
      <c r="B951" s="2" t="s">
        <v>161</v>
      </c>
      <c r="C951" s="2" t="n">
        <v>39</v>
      </c>
      <c r="D951" s="2" t="n">
        <v>3</v>
      </c>
      <c r="E951" s="82" t="n">
        <v>45215</v>
      </c>
      <c r="F951" s="83" t="n">
        <v>0.813194444444444</v>
      </c>
      <c r="G951" s="82" t="n">
        <v>45217</v>
      </c>
      <c r="H951" s="83" t="n">
        <v>0.881481481481482</v>
      </c>
      <c r="I951" s="2" t="s">
        <v>591</v>
      </c>
      <c r="J951" s="2" t="s">
        <v>165</v>
      </c>
      <c r="K951" s="46" t="str">
        <f aca="false">INDEX(Products!$B$2:$B$71,MATCH($C951,Products!$A$2:$A$71,0))</f>
        <v>Voluptate Set</v>
      </c>
      <c r="L951" s="46" t="str">
        <f aca="false">INDEX(Products!$C$2:$C$71,MATCH($C951,Products!$A$2:$A$71,0))</f>
        <v>Mugs</v>
      </c>
      <c r="M951" s="84" t="n">
        <f aca="false">INDEX(Products!$D$2:$D$71,MATCH($C951,Products!$A$2:$A$71,0))</f>
        <v>387</v>
      </c>
      <c r="N951" s="84" t="n">
        <f aca="false">$D951*$M951</f>
        <v>1161</v>
      </c>
      <c r="O951" s="46" t="str">
        <f aca="false">INDEX(Customers!$C$2:$C$101,MATCH($B951,Customers!$A$2:$A$101,0))</f>
        <v>Panvel</v>
      </c>
      <c r="P951" s="46" t="str">
        <f aca="false">INDEX(Customers!$F$2:$F$101,MATCH($B951,Customers!$A$2:$A$101,0))</f>
        <v>Female</v>
      </c>
      <c r="Q951" s="46" t="str">
        <f aca="false">INDEX(Customers!$B$2:$B$101,MATCH($B951,Customers!$A$2:$A$101,0))</f>
        <v>Indrans Shukla</v>
      </c>
      <c r="R951" s="46" t="n">
        <f aca="false">MONTH($E951)</f>
        <v>10</v>
      </c>
      <c r="S951" s="46" t="str">
        <f aca="false">INDEX(Lists!$B$2:$B$13,$R951)</f>
        <v>October</v>
      </c>
      <c r="T951" s="46" t="n">
        <f aca="false">HOUR($F951)</f>
        <v>19</v>
      </c>
      <c r="U951" s="46" t="n">
        <f aca="false">WEEKDAY($E951,2)</f>
        <v>1</v>
      </c>
      <c r="V951" s="46" t="str">
        <f aca="false">INDEX(Lists!$F$2:$F$8,$U951)</f>
        <v>Monday</v>
      </c>
      <c r="W951" s="85" t="n">
        <f aca="false">($G951+$H951)-($E951+$F951)</f>
        <v>2.06828703703704</v>
      </c>
      <c r="X951" s="46" t="str">
        <f aca="false">LOOKUP($M951,Lists!$G$2:$G$5,Lists!$H$2:$H$5)</f>
        <v>₹0 - 499</v>
      </c>
      <c r="Y951" s="46" t="str">
        <f aca="false">LOOKUP($W951,Lists!$I$2:$I$7,Lists!$J$2:$J$7)</f>
        <v>2 - 4 days</v>
      </c>
    </row>
    <row r="952" customFormat="false" ht="15" hidden="false" customHeight="false" outlineLevel="0" collapsed="false">
      <c r="A952" s="7" t="n">
        <v>951</v>
      </c>
      <c r="B952" s="7" t="s">
        <v>185</v>
      </c>
      <c r="C952" s="7" t="n">
        <v>20</v>
      </c>
      <c r="D952" s="7" t="n">
        <v>1</v>
      </c>
      <c r="E952" s="77" t="n">
        <v>45253</v>
      </c>
      <c r="F952" s="78" t="n">
        <v>0.648715277777778</v>
      </c>
      <c r="G952" s="77" t="n">
        <v>45255</v>
      </c>
      <c r="H952" s="78" t="n">
        <v>0.794143518518519</v>
      </c>
      <c r="I952" s="7" t="s">
        <v>287</v>
      </c>
      <c r="J952" s="7" t="s">
        <v>168</v>
      </c>
      <c r="K952" s="79" t="str">
        <f aca="false">INDEX(Products!$B$2:$B$71,MATCH($C952,Products!$A$2:$A$71,0))</f>
        <v>Reiciendis Box</v>
      </c>
      <c r="L952" s="79" t="str">
        <f aca="false">INDEX(Products!$C$2:$C$71,MATCH($C952,Products!$A$2:$A$71,0))</f>
        <v>Colors</v>
      </c>
      <c r="M952" s="80" t="n">
        <f aca="false">INDEX(Products!$D$2:$D$71,MATCH($C952,Products!$A$2:$A$71,0))</f>
        <v>697</v>
      </c>
      <c r="N952" s="80" t="n">
        <f aca="false">$D952*$M952</f>
        <v>697</v>
      </c>
      <c r="O952" s="79" t="str">
        <f aca="false">INDEX(Customers!$C$2:$C$101,MATCH($B952,Customers!$A$2:$A$101,0))</f>
        <v>Kavali</v>
      </c>
      <c r="P952" s="79" t="str">
        <f aca="false">INDEX(Customers!$F$2:$F$101,MATCH($B952,Customers!$A$2:$A$101,0))</f>
        <v>Female</v>
      </c>
      <c r="Q952" s="79" t="str">
        <f aca="false">INDEX(Customers!$B$2:$B$101,MATCH($B952,Customers!$A$2:$A$101,0))</f>
        <v>Jhanvi Chowdhury</v>
      </c>
      <c r="R952" s="79" t="n">
        <f aca="false">MONTH($E952)</f>
        <v>11</v>
      </c>
      <c r="S952" s="79" t="str">
        <f aca="false">INDEX(Lists!$B$2:$B$13,$R952)</f>
        <v>November</v>
      </c>
      <c r="T952" s="79" t="n">
        <f aca="false">HOUR($F952)</f>
        <v>15</v>
      </c>
      <c r="U952" s="79" t="n">
        <f aca="false">WEEKDAY($E952,2)</f>
        <v>4</v>
      </c>
      <c r="V952" s="79" t="str">
        <f aca="false">INDEX(Lists!$F$2:$F$8,$U952)</f>
        <v>Thursday</v>
      </c>
      <c r="W952" s="81" t="n">
        <f aca="false">($G952+$H952)-($E952+$F952)</f>
        <v>2.14542824074074</v>
      </c>
      <c r="X952" s="79" t="str">
        <f aca="false">LOOKUP($M952,Lists!$G$2:$G$5,Lists!$H$2:$H$5)</f>
        <v>₹500 - 999</v>
      </c>
      <c r="Y952" s="79" t="str">
        <f aca="false">LOOKUP($W952,Lists!$I$2:$I$7,Lists!$J$2:$J$7)</f>
        <v>2 - 4 days</v>
      </c>
    </row>
    <row r="953" customFormat="false" ht="15" hidden="false" customHeight="false" outlineLevel="0" collapsed="false">
      <c r="A953" s="2" t="n">
        <v>952</v>
      </c>
      <c r="B953" s="2" t="s">
        <v>192</v>
      </c>
      <c r="C953" s="2" t="n">
        <v>49</v>
      </c>
      <c r="D953" s="2" t="n">
        <v>4</v>
      </c>
      <c r="E953" s="82" t="n">
        <v>44969</v>
      </c>
      <c r="F953" s="83" t="n">
        <v>0.116747685185185</v>
      </c>
      <c r="G953" s="82" t="n">
        <v>44979</v>
      </c>
      <c r="H953" s="83" t="n">
        <v>0.388298611111111</v>
      </c>
      <c r="I953" s="2" t="s">
        <v>268</v>
      </c>
      <c r="J953" s="2" t="s">
        <v>179</v>
      </c>
      <c r="K953" s="46" t="str">
        <f aca="false">INDEX(Products!$B$2:$B$71,MATCH($C953,Products!$A$2:$A$71,0))</f>
        <v>Voluptate Pack</v>
      </c>
      <c r="L953" s="46" t="str">
        <f aca="false">INDEX(Products!$C$2:$C$71,MATCH($C953,Products!$A$2:$A$71,0))</f>
        <v>Colors</v>
      </c>
      <c r="M953" s="84" t="n">
        <f aca="false">INDEX(Products!$D$2:$D$71,MATCH($C953,Products!$A$2:$A$71,0))</f>
        <v>903</v>
      </c>
      <c r="N953" s="84" t="n">
        <f aca="false">$D953*$M953</f>
        <v>3612</v>
      </c>
      <c r="O953" s="46" t="str">
        <f aca="false">INDEX(Customers!$C$2:$C$101,MATCH($B953,Customers!$A$2:$A$101,0))</f>
        <v>Serampore</v>
      </c>
      <c r="P953" s="46" t="str">
        <f aca="false">INDEX(Customers!$F$2:$F$101,MATCH($B953,Customers!$A$2:$A$101,0))</f>
        <v>Female</v>
      </c>
      <c r="Q953" s="46" t="str">
        <f aca="false">INDEX(Customers!$B$2:$B$101,MATCH($B953,Customers!$A$2:$A$101,0))</f>
        <v>Kashvi Sur</v>
      </c>
      <c r="R953" s="46" t="n">
        <f aca="false">MONTH($E953)</f>
        <v>2</v>
      </c>
      <c r="S953" s="46" t="str">
        <f aca="false">INDEX(Lists!$B$2:$B$13,$R953)</f>
        <v>February</v>
      </c>
      <c r="T953" s="46" t="n">
        <f aca="false">HOUR($F953)</f>
        <v>2</v>
      </c>
      <c r="U953" s="46" t="n">
        <f aca="false">WEEKDAY($E953,2)</f>
        <v>7</v>
      </c>
      <c r="V953" s="46" t="str">
        <f aca="false">INDEX(Lists!$F$2:$F$8,$U953)</f>
        <v>Sunday</v>
      </c>
      <c r="W953" s="85" t="n">
        <f aca="false">($G953+$H953)-($E953+$F953)</f>
        <v>10.2715509259259</v>
      </c>
      <c r="X953" s="46" t="str">
        <f aca="false">LOOKUP($M953,Lists!$G$2:$G$5,Lists!$H$2:$H$5)</f>
        <v>₹500 - 999</v>
      </c>
      <c r="Y953" s="46" t="str">
        <f aca="false">LOOKUP($W953,Lists!$I$2:$I$7,Lists!$J$2:$J$7)</f>
        <v>Over 10 days</v>
      </c>
    </row>
    <row r="954" customFormat="false" ht="15" hidden="false" customHeight="false" outlineLevel="0" collapsed="false">
      <c r="A954" s="7" t="n">
        <v>953</v>
      </c>
      <c r="B954" s="7" t="s">
        <v>328</v>
      </c>
      <c r="C954" s="7" t="n">
        <v>40</v>
      </c>
      <c r="D954" s="7" t="n">
        <v>1</v>
      </c>
      <c r="E954" s="77" t="n">
        <v>45172</v>
      </c>
      <c r="F954" s="78" t="n">
        <v>0.0180671296296296</v>
      </c>
      <c r="G954" s="77" t="n">
        <v>45173</v>
      </c>
      <c r="H954" s="78" t="n">
        <v>0.315162037037037</v>
      </c>
      <c r="I954" s="7" t="s">
        <v>603</v>
      </c>
      <c r="J954" s="7" t="s">
        <v>168</v>
      </c>
      <c r="K954" s="79" t="str">
        <f aca="false">INDEX(Products!$B$2:$B$71,MATCH($C954,Products!$A$2:$A$71,0))</f>
        <v>Provident Pack</v>
      </c>
      <c r="L954" s="79" t="str">
        <f aca="false">INDEX(Products!$C$2:$C$71,MATCH($C954,Products!$A$2:$A$71,0))</f>
        <v>Sweets</v>
      </c>
      <c r="M954" s="80" t="n">
        <f aca="false">INDEX(Products!$D$2:$D$71,MATCH($C954,Products!$A$2:$A$71,0))</f>
        <v>1923</v>
      </c>
      <c r="N954" s="80" t="n">
        <f aca="false">$D954*$M954</f>
        <v>1923</v>
      </c>
      <c r="O954" s="79" t="str">
        <f aca="false">INDEX(Customers!$C$2:$C$101,MATCH($B954,Customers!$A$2:$A$101,0))</f>
        <v>Gaya</v>
      </c>
      <c r="P954" s="79" t="str">
        <f aca="false">INDEX(Customers!$F$2:$F$101,MATCH($B954,Customers!$A$2:$A$101,0))</f>
        <v>Female</v>
      </c>
      <c r="Q954" s="79" t="str">
        <f aca="false">INDEX(Customers!$B$2:$B$101,MATCH($B954,Customers!$A$2:$A$101,0))</f>
        <v>Oorja Dayal</v>
      </c>
      <c r="R954" s="79" t="n">
        <f aca="false">MONTH($E954)</f>
        <v>9</v>
      </c>
      <c r="S954" s="79" t="str">
        <f aca="false">INDEX(Lists!$B$2:$B$13,$R954)</f>
        <v>September</v>
      </c>
      <c r="T954" s="79" t="n">
        <f aca="false">HOUR($F954)</f>
        <v>0</v>
      </c>
      <c r="U954" s="79" t="n">
        <f aca="false">WEEKDAY($E954,2)</f>
        <v>7</v>
      </c>
      <c r="V954" s="79" t="str">
        <f aca="false">INDEX(Lists!$F$2:$F$8,$U954)</f>
        <v>Sunday</v>
      </c>
      <c r="W954" s="81" t="n">
        <f aca="false">($G954+$H954)-($E954+$F954)</f>
        <v>1.29709490740741</v>
      </c>
      <c r="X954" s="79" t="str">
        <f aca="false">LOOKUP($M954,Lists!$G$2:$G$5,Lists!$H$2:$H$5)</f>
        <v>₹1,500 - 2,000</v>
      </c>
      <c r="Y954" s="79" t="str">
        <f aca="false">LOOKUP($W954,Lists!$I$2:$I$7,Lists!$J$2:$J$7)</f>
        <v>0 - 2 days</v>
      </c>
    </row>
    <row r="955" customFormat="false" ht="15" hidden="false" customHeight="false" outlineLevel="0" collapsed="false">
      <c r="A955" s="2" t="n">
        <v>954</v>
      </c>
      <c r="B955" s="2" t="s">
        <v>291</v>
      </c>
      <c r="C955" s="2" t="n">
        <v>44</v>
      </c>
      <c r="D955" s="2" t="n">
        <v>3</v>
      </c>
      <c r="E955" s="82" t="n">
        <v>45232</v>
      </c>
      <c r="F955" s="83" t="n">
        <v>0.167858796296296</v>
      </c>
      <c r="G955" s="82" t="n">
        <v>45233</v>
      </c>
      <c r="H955" s="83" t="n">
        <v>0.764594907407407</v>
      </c>
      <c r="I955" s="2" t="s">
        <v>193</v>
      </c>
      <c r="J955" s="2" t="s">
        <v>32</v>
      </c>
      <c r="K955" s="46" t="str">
        <f aca="false">INDEX(Products!$B$2:$B$71,MATCH($C955,Products!$A$2:$A$71,0))</f>
        <v>Dolorum Set</v>
      </c>
      <c r="L955" s="46" t="str">
        <f aca="false">INDEX(Products!$C$2:$C$71,MATCH($C955,Products!$A$2:$A$71,0))</f>
        <v>Plants</v>
      </c>
      <c r="M955" s="84" t="n">
        <f aca="false">INDEX(Products!$D$2:$D$71,MATCH($C955,Products!$A$2:$A$71,0))</f>
        <v>794</v>
      </c>
      <c r="N955" s="84" t="n">
        <f aca="false">$D955*$M955</f>
        <v>2382</v>
      </c>
      <c r="O955" s="46" t="str">
        <f aca="false">INDEX(Customers!$C$2:$C$101,MATCH($B955,Customers!$A$2:$A$101,0))</f>
        <v>Jamnagar</v>
      </c>
      <c r="P955" s="46" t="str">
        <f aca="false">INDEX(Customers!$F$2:$F$101,MATCH($B955,Customers!$A$2:$A$101,0))</f>
        <v>Male</v>
      </c>
      <c r="Q955" s="46" t="str">
        <f aca="false">INDEX(Customers!$B$2:$B$101,MATCH($B955,Customers!$A$2:$A$101,0))</f>
        <v>Arhaan Ahluwalia</v>
      </c>
      <c r="R955" s="46" t="n">
        <f aca="false">MONTH($E955)</f>
        <v>11</v>
      </c>
      <c r="S955" s="46" t="str">
        <f aca="false">INDEX(Lists!$B$2:$B$13,$R955)</f>
        <v>November</v>
      </c>
      <c r="T955" s="46" t="n">
        <f aca="false">HOUR($F955)</f>
        <v>4</v>
      </c>
      <c r="U955" s="46" t="n">
        <f aca="false">WEEKDAY($E955,2)</f>
        <v>4</v>
      </c>
      <c r="V955" s="46" t="str">
        <f aca="false">INDEX(Lists!$F$2:$F$8,$U955)</f>
        <v>Thursday</v>
      </c>
      <c r="W955" s="85" t="n">
        <f aca="false">($G955+$H955)-($E955+$F955)</f>
        <v>1.59673611111111</v>
      </c>
      <c r="X955" s="46" t="str">
        <f aca="false">LOOKUP($M955,Lists!$G$2:$G$5,Lists!$H$2:$H$5)</f>
        <v>₹500 - 999</v>
      </c>
      <c r="Y955" s="46" t="str">
        <f aca="false">LOOKUP($W955,Lists!$I$2:$I$7,Lists!$J$2:$J$7)</f>
        <v>0 - 2 days</v>
      </c>
    </row>
    <row r="956" customFormat="false" ht="15" hidden="false" customHeight="false" outlineLevel="0" collapsed="false">
      <c r="A956" s="7" t="n">
        <v>955</v>
      </c>
      <c r="B956" s="7" t="s">
        <v>164</v>
      </c>
      <c r="C956" s="7" t="n">
        <v>24</v>
      </c>
      <c r="D956" s="7" t="n">
        <v>4</v>
      </c>
      <c r="E956" s="77" t="n">
        <v>45080</v>
      </c>
      <c r="F956" s="78" t="n">
        <v>0.0213888888888889</v>
      </c>
      <c r="G956" s="77" t="n">
        <v>45084</v>
      </c>
      <c r="H956" s="78" t="n">
        <v>0.380162037037037</v>
      </c>
      <c r="I956" s="7" t="s">
        <v>569</v>
      </c>
      <c r="J956" s="7" t="s">
        <v>31</v>
      </c>
      <c r="K956" s="79" t="str">
        <f aca="false">INDEX(Products!$B$2:$B$71,MATCH($C956,Products!$A$2:$A$71,0))</f>
        <v>Ad Box</v>
      </c>
      <c r="L956" s="79" t="str">
        <f aca="false">INDEX(Products!$C$2:$C$71,MATCH($C956,Products!$A$2:$A$71,0))</f>
        <v>Mugs</v>
      </c>
      <c r="M956" s="80" t="n">
        <f aca="false">INDEX(Products!$D$2:$D$71,MATCH($C956,Products!$A$2:$A$71,0))</f>
        <v>535</v>
      </c>
      <c r="N956" s="80" t="n">
        <f aca="false">$D956*$M956</f>
        <v>2140</v>
      </c>
      <c r="O956" s="79" t="str">
        <f aca="false">INDEX(Customers!$C$2:$C$101,MATCH($B956,Customers!$A$2:$A$101,0))</f>
        <v>Kolkata</v>
      </c>
      <c r="P956" s="79" t="str">
        <f aca="false">INDEX(Customers!$F$2:$F$101,MATCH($B956,Customers!$A$2:$A$101,0))</f>
        <v>Female</v>
      </c>
      <c r="Q956" s="79" t="str">
        <f aca="false">INDEX(Customers!$B$2:$B$101,MATCH($B956,Customers!$A$2:$A$101,0))</f>
        <v>Romil Bajwa</v>
      </c>
      <c r="R956" s="79" t="n">
        <f aca="false">MONTH($E956)</f>
        <v>6</v>
      </c>
      <c r="S956" s="79" t="str">
        <f aca="false">INDEX(Lists!$B$2:$B$13,$R956)</f>
        <v>June</v>
      </c>
      <c r="T956" s="79" t="n">
        <f aca="false">HOUR($F956)</f>
        <v>0</v>
      </c>
      <c r="U956" s="79" t="n">
        <f aca="false">WEEKDAY($E956,2)</f>
        <v>6</v>
      </c>
      <c r="V956" s="79" t="str">
        <f aca="false">INDEX(Lists!$F$2:$F$8,$U956)</f>
        <v>Saturday</v>
      </c>
      <c r="W956" s="81" t="n">
        <f aca="false">($G956+$H956)-($E956+$F956)</f>
        <v>4.35877314814815</v>
      </c>
      <c r="X956" s="79" t="str">
        <f aca="false">LOOKUP($M956,Lists!$G$2:$G$5,Lists!$H$2:$H$5)</f>
        <v>₹500 - 999</v>
      </c>
      <c r="Y956" s="79" t="str">
        <f aca="false">LOOKUP($W956,Lists!$I$2:$I$7,Lists!$J$2:$J$7)</f>
        <v>4 - 6 days</v>
      </c>
    </row>
    <row r="957" customFormat="false" ht="15" hidden="false" customHeight="false" outlineLevel="0" collapsed="false">
      <c r="A957" s="2" t="n">
        <v>956</v>
      </c>
      <c r="B957" s="2" t="s">
        <v>215</v>
      </c>
      <c r="C957" s="2" t="n">
        <v>34</v>
      </c>
      <c r="D957" s="2" t="n">
        <v>5</v>
      </c>
      <c r="E957" s="82" t="n">
        <v>45167</v>
      </c>
      <c r="F957" s="83" t="n">
        <v>0.203055555555556</v>
      </c>
      <c r="G957" s="82" t="n">
        <v>45172</v>
      </c>
      <c r="H957" s="83" t="n">
        <v>0.620462962962963</v>
      </c>
      <c r="I957" s="2" t="s">
        <v>550</v>
      </c>
      <c r="J957" s="2" t="s">
        <v>40</v>
      </c>
      <c r="K957" s="46" t="str">
        <f aca="false">INDEX(Products!$B$2:$B$71,MATCH($C957,Products!$A$2:$A$71,0))</f>
        <v>Placeat Pack</v>
      </c>
      <c r="L957" s="46" t="str">
        <f aca="false">INDEX(Products!$C$2:$C$71,MATCH($C957,Products!$A$2:$A$71,0))</f>
        <v>Soft Toys</v>
      </c>
      <c r="M957" s="84" t="n">
        <f aca="false">INDEX(Products!$D$2:$D$71,MATCH($C957,Products!$A$2:$A$71,0))</f>
        <v>1335</v>
      </c>
      <c r="N957" s="84" t="n">
        <f aca="false">$D957*$M957</f>
        <v>6675</v>
      </c>
      <c r="O957" s="46" t="str">
        <f aca="false">INDEX(Customers!$C$2:$C$101,MATCH($B957,Customers!$A$2:$A$101,0))</f>
        <v>Davanagere</v>
      </c>
      <c r="P957" s="46" t="str">
        <f aca="false">INDEX(Customers!$F$2:$F$101,MATCH($B957,Customers!$A$2:$A$101,0))</f>
        <v>Male</v>
      </c>
      <c r="Q957" s="46" t="str">
        <f aca="false">INDEX(Customers!$B$2:$B$101,MATCH($B957,Customers!$A$2:$A$101,0))</f>
        <v>Aradhya Kumar</v>
      </c>
      <c r="R957" s="46" t="n">
        <f aca="false">MONTH($E957)</f>
        <v>8</v>
      </c>
      <c r="S957" s="46" t="str">
        <f aca="false">INDEX(Lists!$B$2:$B$13,$R957)</f>
        <v>August</v>
      </c>
      <c r="T957" s="46" t="n">
        <f aca="false">HOUR($F957)</f>
        <v>4</v>
      </c>
      <c r="U957" s="46" t="n">
        <f aca="false">WEEKDAY($E957,2)</f>
        <v>2</v>
      </c>
      <c r="V957" s="46" t="str">
        <f aca="false">INDEX(Lists!$F$2:$F$8,$U957)</f>
        <v>Tuesday</v>
      </c>
      <c r="W957" s="85" t="n">
        <f aca="false">($G957+$H957)-($E957+$F957)</f>
        <v>5.41740740740741</v>
      </c>
      <c r="X957" s="46" t="str">
        <f aca="false">LOOKUP($M957,Lists!$G$2:$G$5,Lists!$H$2:$H$5)</f>
        <v>₹1,000 - 1,499</v>
      </c>
      <c r="Y957" s="46" t="str">
        <f aca="false">LOOKUP($W957,Lists!$I$2:$I$7,Lists!$J$2:$J$7)</f>
        <v>4 - 6 days</v>
      </c>
    </row>
    <row r="958" customFormat="false" ht="15" hidden="false" customHeight="false" outlineLevel="0" collapsed="false">
      <c r="A958" s="7" t="n">
        <v>957</v>
      </c>
      <c r="B958" s="7" t="s">
        <v>218</v>
      </c>
      <c r="C958" s="7" t="n">
        <v>23</v>
      </c>
      <c r="D958" s="7" t="n">
        <v>1</v>
      </c>
      <c r="E958" s="77" t="n">
        <v>45275</v>
      </c>
      <c r="F958" s="78" t="n">
        <v>0.0809953703703704</v>
      </c>
      <c r="G958" s="77" t="n">
        <v>45277</v>
      </c>
      <c r="H958" s="78" t="n">
        <v>0.880497685185185</v>
      </c>
      <c r="I958" s="7" t="s">
        <v>448</v>
      </c>
      <c r="J958" s="7" t="s">
        <v>168</v>
      </c>
      <c r="K958" s="79" t="str">
        <f aca="false">INDEX(Products!$B$2:$B$71,MATCH($C958,Products!$A$2:$A$71,0))</f>
        <v>Dignissimos Pack</v>
      </c>
      <c r="L958" s="79" t="str">
        <f aca="false">INDEX(Products!$C$2:$C$71,MATCH($C958,Products!$A$2:$A$71,0))</f>
        <v>Sweets</v>
      </c>
      <c r="M958" s="80" t="n">
        <f aca="false">INDEX(Products!$D$2:$D$71,MATCH($C958,Products!$A$2:$A$71,0))</f>
        <v>1098</v>
      </c>
      <c r="N958" s="80" t="n">
        <f aca="false">$D958*$M958</f>
        <v>1098</v>
      </c>
      <c r="O958" s="79" t="str">
        <f aca="false">INDEX(Customers!$C$2:$C$101,MATCH($B958,Customers!$A$2:$A$101,0))</f>
        <v>Aizawl</v>
      </c>
      <c r="P958" s="79" t="str">
        <f aca="false">INDEX(Customers!$F$2:$F$101,MATCH($B958,Customers!$A$2:$A$101,0))</f>
        <v>Female</v>
      </c>
      <c r="Q958" s="79" t="str">
        <f aca="false">INDEX(Customers!$B$2:$B$101,MATCH($B958,Customers!$A$2:$A$101,0))</f>
        <v>Yakshit Shah</v>
      </c>
      <c r="R958" s="79" t="n">
        <f aca="false">MONTH($E958)</f>
        <v>12</v>
      </c>
      <c r="S958" s="79" t="str">
        <f aca="false">INDEX(Lists!$B$2:$B$13,$R958)</f>
        <v>December</v>
      </c>
      <c r="T958" s="79" t="n">
        <f aca="false">HOUR($F958)</f>
        <v>1</v>
      </c>
      <c r="U958" s="79" t="n">
        <f aca="false">WEEKDAY($E958,2)</f>
        <v>5</v>
      </c>
      <c r="V958" s="79" t="str">
        <f aca="false">INDEX(Lists!$F$2:$F$8,$U958)</f>
        <v>Friday</v>
      </c>
      <c r="W958" s="81" t="n">
        <f aca="false">($G958+$H958)-($E958+$F958)</f>
        <v>2.79950231481481</v>
      </c>
      <c r="X958" s="79" t="str">
        <f aca="false">LOOKUP($M958,Lists!$G$2:$G$5,Lists!$H$2:$H$5)</f>
        <v>₹1,000 - 1,499</v>
      </c>
      <c r="Y958" s="79" t="str">
        <f aca="false">LOOKUP($W958,Lists!$I$2:$I$7,Lists!$J$2:$J$7)</f>
        <v>2 - 4 days</v>
      </c>
    </row>
    <row r="959" customFormat="false" ht="15" hidden="false" customHeight="false" outlineLevel="0" collapsed="false">
      <c r="A959" s="2" t="n">
        <v>958</v>
      </c>
      <c r="B959" s="2" t="s">
        <v>148</v>
      </c>
      <c r="C959" s="2" t="n">
        <v>16</v>
      </c>
      <c r="D959" s="2" t="n">
        <v>3</v>
      </c>
      <c r="E959" s="82" t="n">
        <v>44992</v>
      </c>
      <c r="F959" s="83" t="n">
        <v>0.585381944444445</v>
      </c>
      <c r="G959" s="82" t="n">
        <v>44999</v>
      </c>
      <c r="H959" s="83" t="n">
        <v>0.919918981481481</v>
      </c>
      <c r="I959" s="2" t="s">
        <v>274</v>
      </c>
      <c r="J959" s="2" t="s">
        <v>33</v>
      </c>
      <c r="K959" s="46" t="str">
        <f aca="false">INDEX(Products!$B$2:$B$71,MATCH($C959,Products!$A$2:$A$71,0))</f>
        <v>Ut Pack</v>
      </c>
      <c r="L959" s="46" t="str">
        <f aca="false">INDEX(Products!$C$2:$C$71,MATCH($C959,Products!$A$2:$A$71,0))</f>
        <v>Sweets</v>
      </c>
      <c r="M959" s="84" t="n">
        <f aca="false">INDEX(Products!$D$2:$D$71,MATCH($C959,Products!$A$2:$A$71,0))</f>
        <v>1721</v>
      </c>
      <c r="N959" s="84" t="n">
        <f aca="false">$D959*$M959</f>
        <v>5163</v>
      </c>
      <c r="O959" s="46" t="str">
        <f aca="false">INDEX(Customers!$C$2:$C$101,MATCH($B959,Customers!$A$2:$A$101,0))</f>
        <v>Madurai</v>
      </c>
      <c r="P959" s="46" t="str">
        <f aca="false">INDEX(Customers!$F$2:$F$101,MATCH($B959,Customers!$A$2:$A$101,0))</f>
        <v>Female</v>
      </c>
      <c r="Q959" s="46" t="str">
        <f aca="false">INDEX(Customers!$B$2:$B$101,MATCH($B959,Customers!$A$2:$A$101,0))</f>
        <v>Ritvik Borah</v>
      </c>
      <c r="R959" s="46" t="n">
        <f aca="false">MONTH($E959)</f>
        <v>3</v>
      </c>
      <c r="S959" s="46" t="str">
        <f aca="false">INDEX(Lists!$B$2:$B$13,$R959)</f>
        <v>March</v>
      </c>
      <c r="T959" s="46" t="n">
        <f aca="false">HOUR($F959)</f>
        <v>14</v>
      </c>
      <c r="U959" s="46" t="n">
        <f aca="false">WEEKDAY($E959,2)</f>
        <v>2</v>
      </c>
      <c r="V959" s="46" t="str">
        <f aca="false">INDEX(Lists!$F$2:$F$8,$U959)</f>
        <v>Tuesday</v>
      </c>
      <c r="W959" s="85" t="n">
        <f aca="false">($G959+$H959)-($E959+$F959)</f>
        <v>7.33453703703704</v>
      </c>
      <c r="X959" s="46" t="str">
        <f aca="false">LOOKUP($M959,Lists!$G$2:$G$5,Lists!$H$2:$H$5)</f>
        <v>₹1,500 - 2,000</v>
      </c>
      <c r="Y959" s="46" t="str">
        <f aca="false">LOOKUP($W959,Lists!$I$2:$I$7,Lists!$J$2:$J$7)</f>
        <v>6 - 8 days</v>
      </c>
    </row>
    <row r="960" customFormat="false" ht="15" hidden="false" customHeight="false" outlineLevel="0" collapsed="false">
      <c r="A960" s="7" t="n">
        <v>959</v>
      </c>
      <c r="B960" s="7" t="s">
        <v>388</v>
      </c>
      <c r="C960" s="7" t="n">
        <v>40</v>
      </c>
      <c r="D960" s="7" t="n">
        <v>1</v>
      </c>
      <c r="E960" s="77" t="n">
        <v>45281</v>
      </c>
      <c r="F960" s="78" t="n">
        <v>0.0796990740740741</v>
      </c>
      <c r="G960" s="77" t="n">
        <v>45286</v>
      </c>
      <c r="H960" s="78" t="n">
        <v>0.878993055555556</v>
      </c>
      <c r="I960" s="7" t="s">
        <v>534</v>
      </c>
      <c r="J960" s="7" t="s">
        <v>168</v>
      </c>
      <c r="K960" s="79" t="str">
        <f aca="false">INDEX(Products!$B$2:$B$71,MATCH($C960,Products!$A$2:$A$71,0))</f>
        <v>Provident Pack</v>
      </c>
      <c r="L960" s="79" t="str">
        <f aca="false">INDEX(Products!$C$2:$C$71,MATCH($C960,Products!$A$2:$A$71,0))</f>
        <v>Sweets</v>
      </c>
      <c r="M960" s="80" t="n">
        <f aca="false">INDEX(Products!$D$2:$D$71,MATCH($C960,Products!$A$2:$A$71,0))</f>
        <v>1923</v>
      </c>
      <c r="N960" s="80" t="n">
        <f aca="false">$D960*$M960</f>
        <v>1923</v>
      </c>
      <c r="O960" s="79" t="str">
        <f aca="false">INDEX(Customers!$C$2:$C$101,MATCH($B960,Customers!$A$2:$A$101,0))</f>
        <v>Cuttack</v>
      </c>
      <c r="P960" s="79" t="str">
        <f aca="false">INDEX(Customers!$F$2:$F$101,MATCH($B960,Customers!$A$2:$A$101,0))</f>
        <v>Male</v>
      </c>
      <c r="Q960" s="79" t="str">
        <f aca="false">INDEX(Customers!$B$2:$B$101,MATCH($B960,Customers!$A$2:$A$101,0))</f>
        <v>Navya Golla</v>
      </c>
      <c r="R960" s="79" t="n">
        <f aca="false">MONTH($E960)</f>
        <v>12</v>
      </c>
      <c r="S960" s="79" t="str">
        <f aca="false">INDEX(Lists!$B$2:$B$13,$R960)</f>
        <v>December</v>
      </c>
      <c r="T960" s="79" t="n">
        <f aca="false">HOUR($F960)</f>
        <v>1</v>
      </c>
      <c r="U960" s="79" t="n">
        <f aca="false">WEEKDAY($E960,2)</f>
        <v>4</v>
      </c>
      <c r="V960" s="79" t="str">
        <f aca="false">INDEX(Lists!$F$2:$F$8,$U960)</f>
        <v>Thursday</v>
      </c>
      <c r="W960" s="81" t="n">
        <f aca="false">($G960+$H960)-($E960+$F960)</f>
        <v>5.79929398148148</v>
      </c>
      <c r="X960" s="79" t="str">
        <f aca="false">LOOKUP($M960,Lists!$G$2:$G$5,Lists!$H$2:$H$5)</f>
        <v>₹1,500 - 2,000</v>
      </c>
      <c r="Y960" s="79" t="str">
        <f aca="false">LOOKUP($W960,Lists!$I$2:$I$7,Lists!$J$2:$J$7)</f>
        <v>4 - 6 days</v>
      </c>
    </row>
    <row r="961" customFormat="false" ht="15" hidden="false" customHeight="false" outlineLevel="0" collapsed="false">
      <c r="A961" s="2" t="n">
        <v>960</v>
      </c>
      <c r="B961" s="2" t="s">
        <v>202</v>
      </c>
      <c r="C961" s="2" t="n">
        <v>48</v>
      </c>
      <c r="D961" s="2" t="n">
        <v>3</v>
      </c>
      <c r="E961" s="82" t="n">
        <v>45235</v>
      </c>
      <c r="F961" s="83" t="n">
        <v>0.226261574074074</v>
      </c>
      <c r="G961" s="82" t="n">
        <v>45238</v>
      </c>
      <c r="H961" s="83" t="n">
        <v>0.414085648148148</v>
      </c>
      <c r="I961" s="2" t="s">
        <v>500</v>
      </c>
      <c r="J961" s="2" t="s">
        <v>32</v>
      </c>
      <c r="K961" s="46" t="str">
        <f aca="false">INDEX(Products!$B$2:$B$71,MATCH($C961,Products!$A$2:$A$71,0))</f>
        <v>Maiores Gift</v>
      </c>
      <c r="L961" s="46" t="str">
        <f aca="false">INDEX(Products!$C$2:$C$71,MATCH($C961,Products!$A$2:$A$71,0))</f>
        <v>Colors</v>
      </c>
      <c r="M961" s="84" t="n">
        <f aca="false">INDEX(Products!$D$2:$D$71,MATCH($C961,Products!$A$2:$A$71,0))</f>
        <v>433</v>
      </c>
      <c r="N961" s="84" t="n">
        <f aca="false">$D961*$M961</f>
        <v>1299</v>
      </c>
      <c r="O961" s="46" t="str">
        <f aca="false">INDEX(Customers!$C$2:$C$101,MATCH($B961,Customers!$A$2:$A$101,0))</f>
        <v>Surat</v>
      </c>
      <c r="P961" s="46" t="str">
        <f aca="false">INDEX(Customers!$F$2:$F$101,MATCH($B961,Customers!$A$2:$A$101,0))</f>
        <v>Male</v>
      </c>
      <c r="Q961" s="46" t="str">
        <f aca="false">INDEX(Customers!$B$2:$B$101,MATCH($B961,Customers!$A$2:$A$101,0))</f>
        <v>Mannat Anand</v>
      </c>
      <c r="R961" s="46" t="n">
        <f aca="false">MONTH($E961)</f>
        <v>11</v>
      </c>
      <c r="S961" s="46" t="str">
        <f aca="false">INDEX(Lists!$B$2:$B$13,$R961)</f>
        <v>November</v>
      </c>
      <c r="T961" s="46" t="n">
        <f aca="false">HOUR($F961)</f>
        <v>5</v>
      </c>
      <c r="U961" s="46" t="n">
        <f aca="false">WEEKDAY($E961,2)</f>
        <v>7</v>
      </c>
      <c r="V961" s="46" t="str">
        <f aca="false">INDEX(Lists!$F$2:$F$8,$U961)</f>
        <v>Sunday</v>
      </c>
      <c r="W961" s="85" t="n">
        <f aca="false">($G961+$H961)-($E961+$F961)</f>
        <v>3.18782407407407</v>
      </c>
      <c r="X961" s="46" t="str">
        <f aca="false">LOOKUP($M961,Lists!$G$2:$G$5,Lists!$H$2:$H$5)</f>
        <v>₹0 - 499</v>
      </c>
      <c r="Y961" s="46" t="str">
        <f aca="false">LOOKUP($W961,Lists!$I$2:$I$7,Lists!$J$2:$J$7)</f>
        <v>2 - 4 days</v>
      </c>
    </row>
    <row r="962" customFormat="false" ht="15" hidden="false" customHeight="false" outlineLevel="0" collapsed="false">
      <c r="A962" s="7" t="n">
        <v>961</v>
      </c>
      <c r="B962" s="7" t="s">
        <v>167</v>
      </c>
      <c r="C962" s="7" t="n">
        <v>1</v>
      </c>
      <c r="D962" s="7" t="n">
        <v>5</v>
      </c>
      <c r="E962" s="77" t="n">
        <v>44958</v>
      </c>
      <c r="F962" s="78" t="n">
        <v>0.284351851851852</v>
      </c>
      <c r="G962" s="77" t="n">
        <v>44967</v>
      </c>
      <c r="H962" s="78" t="n">
        <v>0.871273148148148</v>
      </c>
      <c r="I962" s="7" t="s">
        <v>396</v>
      </c>
      <c r="J962" s="7" t="s">
        <v>165</v>
      </c>
      <c r="K962" s="79" t="str">
        <f aca="false">INDEX(Products!$B$2:$B$71,MATCH($C962,Products!$A$2:$A$71,0))</f>
        <v>Magnam Set</v>
      </c>
      <c r="L962" s="79" t="str">
        <f aca="false">INDEX(Products!$C$2:$C$71,MATCH($C962,Products!$A$2:$A$71,0))</f>
        <v>Soft Toys</v>
      </c>
      <c r="M962" s="80" t="n">
        <f aca="false">INDEX(Products!$D$2:$D$71,MATCH($C962,Products!$A$2:$A$71,0))</f>
        <v>1935</v>
      </c>
      <c r="N962" s="80" t="n">
        <f aca="false">$D962*$M962</f>
        <v>9675</v>
      </c>
      <c r="O962" s="79" t="str">
        <f aca="false">INDEX(Customers!$C$2:$C$101,MATCH($B962,Customers!$A$2:$A$101,0))</f>
        <v>Tenali</v>
      </c>
      <c r="P962" s="79" t="str">
        <f aca="false">INDEX(Customers!$F$2:$F$101,MATCH($B962,Customers!$A$2:$A$101,0))</f>
        <v>Male</v>
      </c>
      <c r="Q962" s="79" t="str">
        <f aca="false">INDEX(Customers!$B$2:$B$101,MATCH($B962,Customers!$A$2:$A$101,0))</f>
        <v>Amani Ganesh</v>
      </c>
      <c r="R962" s="79" t="n">
        <f aca="false">MONTH($E962)</f>
        <v>2</v>
      </c>
      <c r="S962" s="79" t="str">
        <f aca="false">INDEX(Lists!$B$2:$B$13,$R962)</f>
        <v>February</v>
      </c>
      <c r="T962" s="79" t="n">
        <f aca="false">HOUR($F962)</f>
        <v>6</v>
      </c>
      <c r="U962" s="79" t="n">
        <f aca="false">WEEKDAY($E962,2)</f>
        <v>3</v>
      </c>
      <c r="V962" s="79" t="str">
        <f aca="false">INDEX(Lists!$F$2:$F$8,$U962)</f>
        <v>Wednesday</v>
      </c>
      <c r="W962" s="81" t="n">
        <f aca="false">($G962+$H962)-($E962+$F962)</f>
        <v>9.5869212962963</v>
      </c>
      <c r="X962" s="79" t="str">
        <f aca="false">LOOKUP($M962,Lists!$G$2:$G$5,Lists!$H$2:$H$5)</f>
        <v>₹1,500 - 2,000</v>
      </c>
      <c r="Y962" s="79" t="str">
        <f aca="false">LOOKUP($W962,Lists!$I$2:$I$7,Lists!$J$2:$J$7)</f>
        <v>8 - 10 days</v>
      </c>
    </row>
    <row r="963" customFormat="false" ht="15" hidden="false" customHeight="false" outlineLevel="0" collapsed="false">
      <c r="A963" s="2" t="n">
        <v>962</v>
      </c>
      <c r="B963" s="2" t="s">
        <v>194</v>
      </c>
      <c r="C963" s="2" t="n">
        <v>17</v>
      </c>
      <c r="D963" s="2" t="n">
        <v>5</v>
      </c>
      <c r="E963" s="82" t="n">
        <v>45198</v>
      </c>
      <c r="F963" s="83" t="n">
        <v>0.497141203703704</v>
      </c>
      <c r="G963" s="82" t="n">
        <v>45200</v>
      </c>
      <c r="H963" s="83" t="n">
        <v>0.677175925925926</v>
      </c>
      <c r="I963" s="2" t="s">
        <v>446</v>
      </c>
      <c r="J963" s="2" t="s">
        <v>168</v>
      </c>
      <c r="K963" s="46" t="str">
        <f aca="false">INDEX(Products!$B$2:$B$71,MATCH($C963,Products!$A$2:$A$71,0))</f>
        <v>Delectus Gift</v>
      </c>
      <c r="L963" s="46" t="str">
        <f aca="false">INDEX(Products!$C$2:$C$71,MATCH($C963,Products!$A$2:$A$71,0))</f>
        <v>Soft Toys</v>
      </c>
      <c r="M963" s="84" t="n">
        <f aca="false">INDEX(Products!$D$2:$D$71,MATCH($C963,Products!$A$2:$A$71,0))</f>
        <v>1899</v>
      </c>
      <c r="N963" s="84" t="n">
        <f aca="false">$D963*$M963</f>
        <v>9495</v>
      </c>
      <c r="O963" s="46" t="str">
        <f aca="false">INDEX(Customers!$C$2:$C$101,MATCH($B963,Customers!$A$2:$A$101,0))</f>
        <v>Noida</v>
      </c>
      <c r="P963" s="46" t="str">
        <f aca="false">INDEX(Customers!$F$2:$F$101,MATCH($B963,Customers!$A$2:$A$101,0))</f>
        <v>Female</v>
      </c>
      <c r="Q963" s="46" t="str">
        <f aca="false">INDEX(Customers!$B$2:$B$101,MATCH($B963,Customers!$A$2:$A$101,0))</f>
        <v>Hridaan Rajagopalan</v>
      </c>
      <c r="R963" s="46" t="n">
        <f aca="false">MONTH($E963)</f>
        <v>9</v>
      </c>
      <c r="S963" s="46" t="str">
        <f aca="false">INDEX(Lists!$B$2:$B$13,$R963)</f>
        <v>September</v>
      </c>
      <c r="T963" s="46" t="n">
        <f aca="false">HOUR($F963)</f>
        <v>11</v>
      </c>
      <c r="U963" s="46" t="n">
        <f aca="false">WEEKDAY($E963,2)</f>
        <v>5</v>
      </c>
      <c r="V963" s="46" t="str">
        <f aca="false">INDEX(Lists!$F$2:$F$8,$U963)</f>
        <v>Friday</v>
      </c>
      <c r="W963" s="85" t="n">
        <f aca="false">($G963+$H963)-($E963+$F963)</f>
        <v>2.18003472222222</v>
      </c>
      <c r="X963" s="46" t="str">
        <f aca="false">LOOKUP($M963,Lists!$G$2:$G$5,Lists!$H$2:$H$5)</f>
        <v>₹1,500 - 2,000</v>
      </c>
      <c r="Y963" s="46" t="str">
        <f aca="false">LOOKUP($W963,Lists!$I$2:$I$7,Lists!$J$2:$J$7)</f>
        <v>2 - 4 days</v>
      </c>
    </row>
    <row r="964" customFormat="false" ht="15" hidden="false" customHeight="false" outlineLevel="0" collapsed="false">
      <c r="A964" s="7" t="n">
        <v>963</v>
      </c>
      <c r="B964" s="7" t="s">
        <v>188</v>
      </c>
      <c r="C964" s="7" t="n">
        <v>29</v>
      </c>
      <c r="D964" s="7" t="n">
        <v>1</v>
      </c>
      <c r="E964" s="77" t="n">
        <v>44988</v>
      </c>
      <c r="F964" s="78" t="n">
        <v>0.364108796296296</v>
      </c>
      <c r="G964" s="77" t="n">
        <v>44991</v>
      </c>
      <c r="H964" s="78" t="n">
        <v>0.442199074074074</v>
      </c>
      <c r="I964" s="7" t="s">
        <v>526</v>
      </c>
      <c r="J964" s="7" t="s">
        <v>33</v>
      </c>
      <c r="K964" s="79" t="str">
        <f aca="false">INDEX(Products!$B$2:$B$71,MATCH($C964,Products!$A$2:$A$71,0))</f>
        <v>In Set</v>
      </c>
      <c r="L964" s="79" t="str">
        <f aca="false">INDEX(Products!$C$2:$C$71,MATCH($C964,Products!$A$2:$A$71,0))</f>
        <v>Colors</v>
      </c>
      <c r="M964" s="80" t="n">
        <f aca="false">INDEX(Products!$D$2:$D$71,MATCH($C964,Products!$A$2:$A$71,0))</f>
        <v>1252</v>
      </c>
      <c r="N964" s="80" t="n">
        <f aca="false">$D964*$M964</f>
        <v>1252</v>
      </c>
      <c r="O964" s="79" t="str">
        <f aca="false">INDEX(Customers!$C$2:$C$101,MATCH($B964,Customers!$A$2:$A$101,0))</f>
        <v>Singrauli</v>
      </c>
      <c r="P964" s="79" t="str">
        <f aca="false">INDEX(Customers!$F$2:$F$101,MATCH($B964,Customers!$A$2:$A$101,0))</f>
        <v>Female</v>
      </c>
      <c r="Q964" s="79" t="str">
        <f aca="false">INDEX(Customers!$B$2:$B$101,MATCH($B964,Customers!$A$2:$A$101,0))</f>
        <v>Ira Bava</v>
      </c>
      <c r="R964" s="79" t="n">
        <f aca="false">MONTH($E964)</f>
        <v>3</v>
      </c>
      <c r="S964" s="79" t="str">
        <f aca="false">INDEX(Lists!$B$2:$B$13,$R964)</f>
        <v>March</v>
      </c>
      <c r="T964" s="79" t="n">
        <f aca="false">HOUR($F964)</f>
        <v>8</v>
      </c>
      <c r="U964" s="79" t="n">
        <f aca="false">WEEKDAY($E964,2)</f>
        <v>5</v>
      </c>
      <c r="V964" s="79" t="str">
        <f aca="false">INDEX(Lists!$F$2:$F$8,$U964)</f>
        <v>Friday</v>
      </c>
      <c r="W964" s="81" t="n">
        <f aca="false">($G964+$H964)-($E964+$F964)</f>
        <v>3.07809027777778</v>
      </c>
      <c r="X964" s="79" t="str">
        <f aca="false">LOOKUP($M964,Lists!$G$2:$G$5,Lists!$H$2:$H$5)</f>
        <v>₹1,000 - 1,499</v>
      </c>
      <c r="Y964" s="79" t="str">
        <f aca="false">LOOKUP($W964,Lists!$I$2:$I$7,Lists!$J$2:$J$7)</f>
        <v>2 - 4 days</v>
      </c>
    </row>
    <row r="965" customFormat="false" ht="15" hidden="false" customHeight="false" outlineLevel="0" collapsed="false">
      <c r="A965" s="2" t="n">
        <v>964</v>
      </c>
      <c r="B965" s="2" t="s">
        <v>388</v>
      </c>
      <c r="C965" s="2" t="n">
        <v>32</v>
      </c>
      <c r="D965" s="2" t="n">
        <v>4</v>
      </c>
      <c r="E965" s="82" t="n">
        <v>45218</v>
      </c>
      <c r="F965" s="83" t="n">
        <v>0.27755787037037</v>
      </c>
      <c r="G965" s="82" t="n">
        <v>45222</v>
      </c>
      <c r="H965" s="83" t="n">
        <v>0.932395833333333</v>
      </c>
      <c r="I965" s="2" t="s">
        <v>437</v>
      </c>
      <c r="J965" s="2" t="s">
        <v>31</v>
      </c>
      <c r="K965" s="46" t="str">
        <f aca="false">INDEX(Products!$B$2:$B$71,MATCH($C965,Products!$A$2:$A$71,0))</f>
        <v>Fuga Set</v>
      </c>
      <c r="L965" s="46" t="str">
        <f aca="false">INDEX(Products!$C$2:$C$71,MATCH($C965,Products!$A$2:$A$71,0))</f>
        <v>Soft Toys</v>
      </c>
      <c r="M965" s="84" t="n">
        <f aca="false">INDEX(Products!$D$2:$D$71,MATCH($C965,Products!$A$2:$A$71,0))</f>
        <v>1792</v>
      </c>
      <c r="N965" s="84" t="n">
        <f aca="false">$D965*$M965</f>
        <v>7168</v>
      </c>
      <c r="O965" s="46" t="str">
        <f aca="false">INDEX(Customers!$C$2:$C$101,MATCH($B965,Customers!$A$2:$A$101,0))</f>
        <v>Cuttack</v>
      </c>
      <c r="P965" s="46" t="str">
        <f aca="false">INDEX(Customers!$F$2:$F$101,MATCH($B965,Customers!$A$2:$A$101,0))</f>
        <v>Male</v>
      </c>
      <c r="Q965" s="46" t="str">
        <f aca="false">INDEX(Customers!$B$2:$B$101,MATCH($B965,Customers!$A$2:$A$101,0))</f>
        <v>Navya Golla</v>
      </c>
      <c r="R965" s="46" t="n">
        <f aca="false">MONTH($E965)</f>
        <v>10</v>
      </c>
      <c r="S965" s="46" t="str">
        <f aca="false">INDEX(Lists!$B$2:$B$13,$R965)</f>
        <v>October</v>
      </c>
      <c r="T965" s="46" t="n">
        <f aca="false">HOUR($F965)</f>
        <v>6</v>
      </c>
      <c r="U965" s="46" t="n">
        <f aca="false">WEEKDAY($E965,2)</f>
        <v>4</v>
      </c>
      <c r="V965" s="46" t="str">
        <f aca="false">INDEX(Lists!$F$2:$F$8,$U965)</f>
        <v>Thursday</v>
      </c>
      <c r="W965" s="85" t="n">
        <f aca="false">($G965+$H965)-($E965+$F965)</f>
        <v>4.65483796296296</v>
      </c>
      <c r="X965" s="46" t="str">
        <f aca="false">LOOKUP($M965,Lists!$G$2:$G$5,Lists!$H$2:$H$5)</f>
        <v>₹1,500 - 2,000</v>
      </c>
      <c r="Y965" s="46" t="str">
        <f aca="false">LOOKUP($W965,Lists!$I$2:$I$7,Lists!$J$2:$J$7)</f>
        <v>4 - 6 days</v>
      </c>
    </row>
    <row r="966" customFormat="false" ht="15" hidden="false" customHeight="false" outlineLevel="0" collapsed="false">
      <c r="A966" s="7" t="n">
        <v>965</v>
      </c>
      <c r="B966" s="7" t="s">
        <v>338</v>
      </c>
      <c r="C966" s="7" t="n">
        <v>62</v>
      </c>
      <c r="D966" s="7" t="n">
        <v>1</v>
      </c>
      <c r="E966" s="77" t="n">
        <v>44987</v>
      </c>
      <c r="F966" s="78" t="n">
        <v>0.135532407407407</v>
      </c>
      <c r="G966" s="77" t="n">
        <v>44991</v>
      </c>
      <c r="H966" s="78" t="n">
        <v>0.722476851851852</v>
      </c>
      <c r="I966" s="7" t="s">
        <v>158</v>
      </c>
      <c r="J966" s="7" t="s">
        <v>33</v>
      </c>
      <c r="K966" s="79" t="str">
        <f aca="false">INDEX(Products!$B$2:$B$71,MATCH($C966,Products!$A$2:$A$71,0))</f>
        <v>Sed Set</v>
      </c>
      <c r="L966" s="79" t="str">
        <f aca="false">INDEX(Products!$C$2:$C$71,MATCH($C966,Products!$A$2:$A$71,0))</f>
        <v>Colors</v>
      </c>
      <c r="M966" s="80" t="n">
        <f aca="false">INDEX(Products!$D$2:$D$71,MATCH($C966,Products!$A$2:$A$71,0))</f>
        <v>1356</v>
      </c>
      <c r="N966" s="80" t="n">
        <f aca="false">$D966*$M966</f>
        <v>1356</v>
      </c>
      <c r="O966" s="79" t="str">
        <f aca="false">INDEX(Customers!$C$2:$C$101,MATCH($B966,Customers!$A$2:$A$101,0))</f>
        <v>Bhopal</v>
      </c>
      <c r="P966" s="79" t="str">
        <f aca="false">INDEX(Customers!$F$2:$F$101,MATCH($B966,Customers!$A$2:$A$101,0))</f>
        <v>Male</v>
      </c>
      <c r="Q966" s="79" t="str">
        <f aca="false">INDEX(Customers!$B$2:$B$101,MATCH($B966,Customers!$A$2:$A$101,0))</f>
        <v>Mohanlal Garde</v>
      </c>
      <c r="R966" s="79" t="n">
        <f aca="false">MONTH($E966)</f>
        <v>3</v>
      </c>
      <c r="S966" s="79" t="str">
        <f aca="false">INDEX(Lists!$B$2:$B$13,$R966)</f>
        <v>March</v>
      </c>
      <c r="T966" s="79" t="n">
        <f aca="false">HOUR($F966)</f>
        <v>3</v>
      </c>
      <c r="U966" s="79" t="n">
        <f aca="false">WEEKDAY($E966,2)</f>
        <v>4</v>
      </c>
      <c r="V966" s="79" t="str">
        <f aca="false">INDEX(Lists!$F$2:$F$8,$U966)</f>
        <v>Thursday</v>
      </c>
      <c r="W966" s="81" t="n">
        <f aca="false">($G966+$H966)-($E966+$F966)</f>
        <v>4.58694444444445</v>
      </c>
      <c r="X966" s="79" t="str">
        <f aca="false">LOOKUP($M966,Lists!$G$2:$G$5,Lists!$H$2:$H$5)</f>
        <v>₹1,000 - 1,499</v>
      </c>
      <c r="Y966" s="79" t="str">
        <f aca="false">LOOKUP($W966,Lists!$I$2:$I$7,Lists!$J$2:$J$7)</f>
        <v>4 - 6 days</v>
      </c>
    </row>
    <row r="967" customFormat="false" ht="15" hidden="false" customHeight="false" outlineLevel="0" collapsed="false">
      <c r="A967" s="2" t="n">
        <v>966</v>
      </c>
      <c r="B967" s="2" t="s">
        <v>285</v>
      </c>
      <c r="C967" s="2" t="n">
        <v>13</v>
      </c>
      <c r="D967" s="2" t="n">
        <v>2</v>
      </c>
      <c r="E967" s="82" t="n">
        <v>44986</v>
      </c>
      <c r="F967" s="83" t="n">
        <v>0.0979861111111111</v>
      </c>
      <c r="G967" s="82" t="n">
        <v>44995</v>
      </c>
      <c r="H967" s="83" t="n">
        <v>0.43255787037037</v>
      </c>
      <c r="I967" s="2" t="s">
        <v>509</v>
      </c>
      <c r="J967" s="2" t="s">
        <v>33</v>
      </c>
      <c r="K967" s="46" t="str">
        <f aca="false">INDEX(Products!$B$2:$B$71,MATCH($C967,Products!$A$2:$A$71,0))</f>
        <v>Et Set</v>
      </c>
      <c r="L967" s="46" t="str">
        <f aca="false">INDEX(Products!$C$2:$C$71,MATCH($C967,Products!$A$2:$A$71,0))</f>
        <v>Mugs</v>
      </c>
      <c r="M967" s="84" t="n">
        <f aca="false">INDEX(Products!$D$2:$D$71,MATCH($C967,Products!$A$2:$A$71,0))</f>
        <v>1141</v>
      </c>
      <c r="N967" s="84" t="n">
        <f aca="false">$D967*$M967</f>
        <v>2282</v>
      </c>
      <c r="O967" s="46" t="str">
        <f aca="false">INDEX(Customers!$C$2:$C$101,MATCH($B967,Customers!$A$2:$A$101,0))</f>
        <v>Kavali</v>
      </c>
      <c r="P967" s="46" t="str">
        <f aca="false">INDEX(Customers!$F$2:$F$101,MATCH($B967,Customers!$A$2:$A$101,0))</f>
        <v>Female</v>
      </c>
      <c r="Q967" s="46" t="str">
        <f aca="false">INDEX(Customers!$B$2:$B$101,MATCH($B967,Customers!$A$2:$A$101,0))</f>
        <v>Akarsh Ramesh</v>
      </c>
      <c r="R967" s="46" t="n">
        <f aca="false">MONTH($E967)</f>
        <v>3</v>
      </c>
      <c r="S967" s="46" t="str">
        <f aca="false">INDEX(Lists!$B$2:$B$13,$R967)</f>
        <v>March</v>
      </c>
      <c r="T967" s="46" t="n">
        <f aca="false">HOUR($F967)</f>
        <v>2</v>
      </c>
      <c r="U967" s="46" t="n">
        <f aca="false">WEEKDAY($E967,2)</f>
        <v>3</v>
      </c>
      <c r="V967" s="46" t="str">
        <f aca="false">INDEX(Lists!$F$2:$F$8,$U967)</f>
        <v>Wednesday</v>
      </c>
      <c r="W967" s="85" t="n">
        <f aca="false">($G967+$H967)-($E967+$F967)</f>
        <v>9.33457175925926</v>
      </c>
      <c r="X967" s="46" t="str">
        <f aca="false">LOOKUP($M967,Lists!$G$2:$G$5,Lists!$H$2:$H$5)</f>
        <v>₹1,000 - 1,499</v>
      </c>
      <c r="Y967" s="46" t="str">
        <f aca="false">LOOKUP($W967,Lists!$I$2:$I$7,Lists!$J$2:$J$7)</f>
        <v>8 - 10 days</v>
      </c>
    </row>
    <row r="968" customFormat="false" ht="15" hidden="false" customHeight="false" outlineLevel="0" collapsed="false">
      <c r="A968" s="7" t="n">
        <v>967</v>
      </c>
      <c r="B968" s="7" t="s">
        <v>227</v>
      </c>
      <c r="C968" s="7" t="n">
        <v>68</v>
      </c>
      <c r="D968" s="7" t="n">
        <v>4</v>
      </c>
      <c r="E968" s="77" t="n">
        <v>44969</v>
      </c>
      <c r="F968" s="78" t="n">
        <v>0.014849537037037</v>
      </c>
      <c r="G968" s="77" t="n">
        <v>44977</v>
      </c>
      <c r="H968" s="78" t="n">
        <v>0.770694444444445</v>
      </c>
      <c r="I968" s="7" t="s">
        <v>568</v>
      </c>
      <c r="J968" s="7" t="s">
        <v>179</v>
      </c>
      <c r="K968" s="79" t="str">
        <f aca="false">INDEX(Products!$B$2:$B$71,MATCH($C968,Products!$A$2:$A$71,0))</f>
        <v>Quas Gift</v>
      </c>
      <c r="L968" s="79" t="str">
        <f aca="false">INDEX(Products!$C$2:$C$71,MATCH($C968,Products!$A$2:$A$71,0))</f>
        <v>Soft Toys</v>
      </c>
      <c r="M968" s="80" t="n">
        <f aca="false">INDEX(Products!$D$2:$D$71,MATCH($C968,Products!$A$2:$A$71,0))</f>
        <v>597</v>
      </c>
      <c r="N968" s="80" t="n">
        <f aca="false">$D968*$M968</f>
        <v>2388</v>
      </c>
      <c r="O968" s="79" t="str">
        <f aca="false">INDEX(Customers!$C$2:$C$101,MATCH($B968,Customers!$A$2:$A$101,0))</f>
        <v>Karaikudi</v>
      </c>
      <c r="P968" s="79" t="str">
        <f aca="false">INDEX(Customers!$F$2:$F$101,MATCH($B968,Customers!$A$2:$A$101,0))</f>
        <v>Male</v>
      </c>
      <c r="Q968" s="79" t="str">
        <f aca="false">INDEX(Customers!$B$2:$B$101,MATCH($B968,Customers!$A$2:$A$101,0))</f>
        <v>Rati Dhingra</v>
      </c>
      <c r="R968" s="79" t="n">
        <f aca="false">MONTH($E968)</f>
        <v>2</v>
      </c>
      <c r="S968" s="79" t="str">
        <f aca="false">INDEX(Lists!$B$2:$B$13,$R968)</f>
        <v>February</v>
      </c>
      <c r="T968" s="79" t="n">
        <f aca="false">HOUR($F968)</f>
        <v>0</v>
      </c>
      <c r="U968" s="79" t="n">
        <f aca="false">WEEKDAY($E968,2)</f>
        <v>7</v>
      </c>
      <c r="V968" s="79" t="str">
        <f aca="false">INDEX(Lists!$F$2:$F$8,$U968)</f>
        <v>Sunday</v>
      </c>
      <c r="W968" s="81" t="n">
        <f aca="false">($G968+$H968)-($E968+$F968)</f>
        <v>8.75584490740741</v>
      </c>
      <c r="X968" s="79" t="str">
        <f aca="false">LOOKUP($M968,Lists!$G$2:$G$5,Lists!$H$2:$H$5)</f>
        <v>₹500 - 999</v>
      </c>
      <c r="Y968" s="79" t="str">
        <f aca="false">LOOKUP($W968,Lists!$I$2:$I$7,Lists!$J$2:$J$7)</f>
        <v>8 - 10 days</v>
      </c>
    </row>
    <row r="969" customFormat="false" ht="15" hidden="false" customHeight="false" outlineLevel="0" collapsed="false">
      <c r="A969" s="2" t="n">
        <v>968</v>
      </c>
      <c r="B969" s="2" t="s">
        <v>127</v>
      </c>
      <c r="C969" s="2" t="n">
        <v>9</v>
      </c>
      <c r="D969" s="2" t="n">
        <v>2</v>
      </c>
      <c r="E969" s="82" t="n">
        <v>45163</v>
      </c>
      <c r="F969" s="83" t="n">
        <v>0.996782407407407</v>
      </c>
      <c r="G969" s="82" t="n">
        <v>45170</v>
      </c>
      <c r="H969" s="83" t="n">
        <v>0.850127314814815</v>
      </c>
      <c r="I969" s="2" t="s">
        <v>438</v>
      </c>
      <c r="J969" s="2" t="s">
        <v>40</v>
      </c>
      <c r="K969" s="46" t="str">
        <f aca="false">INDEX(Products!$B$2:$B$71,MATCH($C969,Products!$A$2:$A$71,0))</f>
        <v>Aperiam Box</v>
      </c>
      <c r="L969" s="46" t="str">
        <f aca="false">INDEX(Products!$C$2:$C$71,MATCH($C969,Products!$A$2:$A$71,0))</f>
        <v>Colors</v>
      </c>
      <c r="M969" s="84" t="n">
        <f aca="false">INDEX(Products!$D$2:$D$71,MATCH($C969,Products!$A$2:$A$71,0))</f>
        <v>1605</v>
      </c>
      <c r="N969" s="84" t="n">
        <f aca="false">$D969*$M969</f>
        <v>3210</v>
      </c>
      <c r="O969" s="46" t="str">
        <f aca="false">INDEX(Customers!$C$2:$C$101,MATCH($B969,Customers!$A$2:$A$101,0))</f>
        <v>Bulandshahr</v>
      </c>
      <c r="P969" s="46" t="str">
        <f aca="false">INDEX(Customers!$F$2:$F$101,MATCH($B969,Customers!$A$2:$A$101,0))</f>
        <v>Female</v>
      </c>
      <c r="Q969" s="46" t="str">
        <f aca="false">INDEX(Customers!$B$2:$B$101,MATCH($B969,Customers!$A$2:$A$101,0))</f>
        <v>Myra Edwin</v>
      </c>
      <c r="R969" s="46" t="n">
        <f aca="false">MONTH($E969)</f>
        <v>8</v>
      </c>
      <c r="S969" s="46" t="str">
        <f aca="false">INDEX(Lists!$B$2:$B$13,$R969)</f>
        <v>August</v>
      </c>
      <c r="T969" s="46" t="n">
        <f aca="false">HOUR($F969)</f>
        <v>23</v>
      </c>
      <c r="U969" s="46" t="n">
        <f aca="false">WEEKDAY($E969,2)</f>
        <v>5</v>
      </c>
      <c r="V969" s="46" t="str">
        <f aca="false">INDEX(Lists!$F$2:$F$8,$U969)</f>
        <v>Friday</v>
      </c>
      <c r="W969" s="85" t="n">
        <f aca="false">($G969+$H969)-($E969+$F969)</f>
        <v>6.85334490740741</v>
      </c>
      <c r="X969" s="46" t="str">
        <f aca="false">LOOKUP($M969,Lists!$G$2:$G$5,Lists!$H$2:$H$5)</f>
        <v>₹1,500 - 2,000</v>
      </c>
      <c r="Y969" s="46" t="str">
        <f aca="false">LOOKUP($W969,Lists!$I$2:$I$7,Lists!$J$2:$J$7)</f>
        <v>6 - 8 days</v>
      </c>
    </row>
    <row r="970" customFormat="false" ht="15" hidden="false" customHeight="false" outlineLevel="0" collapsed="false">
      <c r="A970" s="7" t="n">
        <v>969</v>
      </c>
      <c r="B970" s="7" t="s">
        <v>133</v>
      </c>
      <c r="C970" s="7" t="n">
        <v>42</v>
      </c>
      <c r="D970" s="7" t="n">
        <v>4</v>
      </c>
      <c r="E970" s="77" t="n">
        <v>45168</v>
      </c>
      <c r="F970" s="78" t="n">
        <v>0.955949074074074</v>
      </c>
      <c r="G970" s="77" t="n">
        <v>45172</v>
      </c>
      <c r="H970" s="78" t="n">
        <v>0.140960648148148</v>
      </c>
      <c r="I970" s="7" t="s">
        <v>454</v>
      </c>
      <c r="J970" s="7" t="s">
        <v>165</v>
      </c>
      <c r="K970" s="79" t="str">
        <f aca="false">INDEX(Products!$B$2:$B$71,MATCH($C970,Products!$A$2:$A$71,0))</f>
        <v>Expedita Gift</v>
      </c>
      <c r="L970" s="79" t="str">
        <f aca="false">INDEX(Products!$C$2:$C$71,MATCH($C970,Products!$A$2:$A$71,0))</f>
        <v>Sweets</v>
      </c>
      <c r="M970" s="80" t="n">
        <f aca="false">INDEX(Products!$D$2:$D$71,MATCH($C970,Products!$A$2:$A$71,0))</f>
        <v>1744</v>
      </c>
      <c r="N970" s="80" t="n">
        <f aca="false">$D970*$M970</f>
        <v>6976</v>
      </c>
      <c r="O970" s="79" t="str">
        <f aca="false">INDEX(Customers!$C$2:$C$101,MATCH($B970,Customers!$A$2:$A$101,0))</f>
        <v>Miryalaguda</v>
      </c>
      <c r="P970" s="79" t="str">
        <f aca="false">INDEX(Customers!$F$2:$F$101,MATCH($B970,Customers!$A$2:$A$101,0))</f>
        <v>Male</v>
      </c>
      <c r="Q970" s="79" t="str">
        <f aca="false">INDEX(Customers!$B$2:$B$101,MATCH($B970,Customers!$A$2:$A$101,0))</f>
        <v>Tarini Bava</v>
      </c>
      <c r="R970" s="79" t="n">
        <f aca="false">MONTH($E970)</f>
        <v>8</v>
      </c>
      <c r="S970" s="79" t="str">
        <f aca="false">INDEX(Lists!$B$2:$B$13,$R970)</f>
        <v>August</v>
      </c>
      <c r="T970" s="79" t="n">
        <f aca="false">HOUR($F970)</f>
        <v>22</v>
      </c>
      <c r="U970" s="79" t="n">
        <f aca="false">WEEKDAY($E970,2)</f>
        <v>3</v>
      </c>
      <c r="V970" s="79" t="str">
        <f aca="false">INDEX(Lists!$F$2:$F$8,$U970)</f>
        <v>Wednesday</v>
      </c>
      <c r="W970" s="81" t="n">
        <f aca="false">($G970+$H970)-($E970+$F970)</f>
        <v>3.18501157407407</v>
      </c>
      <c r="X970" s="79" t="str">
        <f aca="false">LOOKUP($M970,Lists!$G$2:$G$5,Lists!$H$2:$H$5)</f>
        <v>₹1,500 - 2,000</v>
      </c>
      <c r="Y970" s="79" t="str">
        <f aca="false">LOOKUP($W970,Lists!$I$2:$I$7,Lists!$J$2:$J$7)</f>
        <v>2 - 4 days</v>
      </c>
    </row>
    <row r="971" customFormat="false" ht="15" hidden="false" customHeight="false" outlineLevel="0" collapsed="false">
      <c r="A971" s="2" t="n">
        <v>970</v>
      </c>
      <c r="B971" s="2" t="s">
        <v>176</v>
      </c>
      <c r="C971" s="2" t="n">
        <v>54</v>
      </c>
      <c r="D971" s="2" t="n">
        <v>4</v>
      </c>
      <c r="E971" s="82" t="n">
        <v>45029</v>
      </c>
      <c r="F971" s="83" t="n">
        <v>0.1434375</v>
      </c>
      <c r="G971" s="82" t="n">
        <v>45037</v>
      </c>
      <c r="H971" s="83" t="n">
        <v>0.900891203703704</v>
      </c>
      <c r="I971" s="2" t="s">
        <v>568</v>
      </c>
      <c r="J971" s="2" t="s">
        <v>168</v>
      </c>
      <c r="K971" s="46" t="str">
        <f aca="false">INDEX(Products!$B$2:$B$71,MATCH($C971,Products!$A$2:$A$71,0))</f>
        <v>Occaecati Gift</v>
      </c>
      <c r="L971" s="46" t="str">
        <f aca="false">INDEX(Products!$C$2:$C$71,MATCH($C971,Products!$A$2:$A$71,0))</f>
        <v>Cake</v>
      </c>
      <c r="M971" s="84" t="n">
        <f aca="false">INDEX(Products!$D$2:$D$71,MATCH($C971,Products!$A$2:$A$71,0))</f>
        <v>1236</v>
      </c>
      <c r="N971" s="84" t="n">
        <f aca="false">$D971*$M971</f>
        <v>4944</v>
      </c>
      <c r="O971" s="46" t="str">
        <f aca="false">INDEX(Customers!$C$2:$C$101,MATCH($B971,Customers!$A$2:$A$101,0))</f>
        <v>Machilipatnam</v>
      </c>
      <c r="P971" s="46" t="str">
        <f aca="false">INDEX(Customers!$F$2:$F$101,MATCH($B971,Customers!$A$2:$A$101,0))</f>
        <v>Male</v>
      </c>
      <c r="Q971" s="46" t="str">
        <f aca="false">INDEX(Customers!$B$2:$B$101,MATCH($B971,Customers!$A$2:$A$101,0))</f>
        <v>Samaira Ganesh</v>
      </c>
      <c r="R971" s="46" t="n">
        <f aca="false">MONTH($E971)</f>
        <v>4</v>
      </c>
      <c r="S971" s="46" t="str">
        <f aca="false">INDEX(Lists!$B$2:$B$13,$R971)</f>
        <v>April</v>
      </c>
      <c r="T971" s="46" t="n">
        <f aca="false">HOUR($F971)</f>
        <v>3</v>
      </c>
      <c r="U971" s="46" t="n">
        <f aca="false">WEEKDAY($E971,2)</f>
        <v>4</v>
      </c>
      <c r="V971" s="46" t="str">
        <f aca="false">INDEX(Lists!$F$2:$F$8,$U971)</f>
        <v>Thursday</v>
      </c>
      <c r="W971" s="85" t="n">
        <f aca="false">($G971+$H971)-($E971+$F971)</f>
        <v>8.7574537037037</v>
      </c>
      <c r="X971" s="46" t="str">
        <f aca="false">LOOKUP($M971,Lists!$G$2:$G$5,Lists!$H$2:$H$5)</f>
        <v>₹1,000 - 1,499</v>
      </c>
      <c r="Y971" s="46" t="str">
        <f aca="false">LOOKUP($W971,Lists!$I$2:$I$7,Lists!$J$2:$J$7)</f>
        <v>8 - 10 days</v>
      </c>
    </row>
    <row r="972" customFormat="false" ht="15" hidden="false" customHeight="false" outlineLevel="0" collapsed="false">
      <c r="A972" s="7" t="n">
        <v>971</v>
      </c>
      <c r="B972" s="7" t="s">
        <v>192</v>
      </c>
      <c r="C972" s="7" t="n">
        <v>47</v>
      </c>
      <c r="D972" s="7" t="n">
        <v>1</v>
      </c>
      <c r="E972" s="77" t="n">
        <v>44987</v>
      </c>
      <c r="F972" s="78" t="n">
        <v>0.168206018518519</v>
      </c>
      <c r="G972" s="77" t="n">
        <v>44995</v>
      </c>
      <c r="H972" s="78" t="n">
        <v>0.803888888888889</v>
      </c>
      <c r="I972" s="7" t="s">
        <v>578</v>
      </c>
      <c r="J972" s="7" t="s">
        <v>33</v>
      </c>
      <c r="K972" s="79" t="str">
        <f aca="false">INDEX(Products!$B$2:$B$71,MATCH($C972,Products!$A$2:$A$71,0))</f>
        <v>Harum Pack</v>
      </c>
      <c r="L972" s="79" t="str">
        <f aca="false">INDEX(Products!$C$2:$C$71,MATCH($C972,Products!$A$2:$A$71,0))</f>
        <v>Colors</v>
      </c>
      <c r="M972" s="80" t="n">
        <f aca="false">INDEX(Products!$D$2:$D$71,MATCH($C972,Products!$A$2:$A$71,0))</f>
        <v>1638</v>
      </c>
      <c r="N972" s="80" t="n">
        <f aca="false">$D972*$M972</f>
        <v>1638</v>
      </c>
      <c r="O972" s="79" t="str">
        <f aca="false">INDEX(Customers!$C$2:$C$101,MATCH($B972,Customers!$A$2:$A$101,0))</f>
        <v>Serampore</v>
      </c>
      <c r="P972" s="79" t="str">
        <f aca="false">INDEX(Customers!$F$2:$F$101,MATCH($B972,Customers!$A$2:$A$101,0))</f>
        <v>Female</v>
      </c>
      <c r="Q972" s="79" t="str">
        <f aca="false">INDEX(Customers!$B$2:$B$101,MATCH($B972,Customers!$A$2:$A$101,0))</f>
        <v>Kashvi Sur</v>
      </c>
      <c r="R972" s="79" t="n">
        <f aca="false">MONTH($E972)</f>
        <v>3</v>
      </c>
      <c r="S972" s="79" t="str">
        <f aca="false">INDEX(Lists!$B$2:$B$13,$R972)</f>
        <v>March</v>
      </c>
      <c r="T972" s="79" t="n">
        <f aca="false">HOUR($F972)</f>
        <v>4</v>
      </c>
      <c r="U972" s="79" t="n">
        <f aca="false">WEEKDAY($E972,2)</f>
        <v>4</v>
      </c>
      <c r="V972" s="79" t="str">
        <f aca="false">INDEX(Lists!$F$2:$F$8,$U972)</f>
        <v>Thursday</v>
      </c>
      <c r="W972" s="81" t="n">
        <f aca="false">($G972+$H972)-($E972+$F972)</f>
        <v>8.63568287037037</v>
      </c>
      <c r="X972" s="79" t="str">
        <f aca="false">LOOKUP($M972,Lists!$G$2:$G$5,Lists!$H$2:$H$5)</f>
        <v>₹1,500 - 2,000</v>
      </c>
      <c r="Y972" s="79" t="str">
        <f aca="false">LOOKUP($W972,Lists!$I$2:$I$7,Lists!$J$2:$J$7)</f>
        <v>8 - 10 days</v>
      </c>
    </row>
    <row r="973" customFormat="false" ht="15" hidden="false" customHeight="false" outlineLevel="0" collapsed="false">
      <c r="A973" s="2" t="n">
        <v>972</v>
      </c>
      <c r="B973" s="2" t="s">
        <v>190</v>
      </c>
      <c r="C973" s="2" t="n">
        <v>30</v>
      </c>
      <c r="D973" s="2" t="n">
        <v>2</v>
      </c>
      <c r="E973" s="82" t="n">
        <v>45046</v>
      </c>
      <c r="F973" s="83" t="n">
        <v>0.0656712962962963</v>
      </c>
      <c r="G973" s="82" t="n">
        <v>45048</v>
      </c>
      <c r="H973" s="83" t="n">
        <v>0.22724537037037</v>
      </c>
      <c r="I973" s="2" t="s">
        <v>599</v>
      </c>
      <c r="J973" s="2" t="s">
        <v>168</v>
      </c>
      <c r="K973" s="46" t="str">
        <f aca="false">INDEX(Products!$B$2:$B$71,MATCH($C973,Products!$A$2:$A$71,0))</f>
        <v>Recusandae Pack</v>
      </c>
      <c r="L973" s="46" t="str">
        <f aca="false">INDEX(Products!$C$2:$C$71,MATCH($C973,Products!$A$2:$A$71,0))</f>
        <v>Colors</v>
      </c>
      <c r="M973" s="84" t="n">
        <f aca="false">INDEX(Products!$D$2:$D$71,MATCH($C973,Products!$A$2:$A$71,0))</f>
        <v>751</v>
      </c>
      <c r="N973" s="84" t="n">
        <f aca="false">$D973*$M973</f>
        <v>1502</v>
      </c>
      <c r="O973" s="46" t="str">
        <f aca="false">INDEX(Customers!$C$2:$C$101,MATCH($B973,Customers!$A$2:$A$101,0))</f>
        <v>Farrukhabad</v>
      </c>
      <c r="P973" s="46" t="str">
        <f aca="false">INDEX(Customers!$F$2:$F$101,MATCH($B973,Customers!$A$2:$A$101,0))</f>
        <v>Female</v>
      </c>
      <c r="Q973" s="46" t="str">
        <f aca="false">INDEX(Customers!$B$2:$B$101,MATCH($B973,Customers!$A$2:$A$101,0))</f>
        <v>Ira Chahal</v>
      </c>
      <c r="R973" s="46" t="n">
        <f aca="false">MONTH($E973)</f>
        <v>4</v>
      </c>
      <c r="S973" s="46" t="str">
        <f aca="false">INDEX(Lists!$B$2:$B$13,$R973)</f>
        <v>April</v>
      </c>
      <c r="T973" s="46" t="n">
        <f aca="false">HOUR($F973)</f>
        <v>1</v>
      </c>
      <c r="U973" s="46" t="n">
        <f aca="false">WEEKDAY($E973,2)</f>
        <v>7</v>
      </c>
      <c r="V973" s="46" t="str">
        <f aca="false">INDEX(Lists!$F$2:$F$8,$U973)</f>
        <v>Sunday</v>
      </c>
      <c r="W973" s="85" t="n">
        <f aca="false">($G973+$H973)-($E973+$F973)</f>
        <v>2.16157407407407</v>
      </c>
      <c r="X973" s="46" t="str">
        <f aca="false">LOOKUP($M973,Lists!$G$2:$G$5,Lists!$H$2:$H$5)</f>
        <v>₹500 - 999</v>
      </c>
      <c r="Y973" s="46" t="str">
        <f aca="false">LOOKUP($W973,Lists!$I$2:$I$7,Lists!$J$2:$J$7)</f>
        <v>2 - 4 days</v>
      </c>
    </row>
    <row r="974" customFormat="false" ht="15" hidden="false" customHeight="false" outlineLevel="0" collapsed="false">
      <c r="A974" s="7" t="n">
        <v>973</v>
      </c>
      <c r="B974" s="7" t="s">
        <v>200</v>
      </c>
      <c r="C974" s="7" t="n">
        <v>66</v>
      </c>
      <c r="D974" s="7" t="n">
        <v>3</v>
      </c>
      <c r="E974" s="77" t="n">
        <v>44983</v>
      </c>
      <c r="F974" s="78" t="n">
        <v>0.441608796296296</v>
      </c>
      <c r="G974" s="77" t="n">
        <v>44992</v>
      </c>
      <c r="H974" s="78" t="n">
        <v>0.157222222222222</v>
      </c>
      <c r="I974" s="7" t="s">
        <v>199</v>
      </c>
      <c r="J974" s="7" t="s">
        <v>33</v>
      </c>
      <c r="K974" s="79" t="str">
        <f aca="false">INDEX(Products!$B$2:$B$71,MATCH($C974,Products!$A$2:$A$71,0))</f>
        <v>Quas Box</v>
      </c>
      <c r="L974" s="79" t="str">
        <f aca="false">INDEX(Products!$C$2:$C$71,MATCH($C974,Products!$A$2:$A$71,0))</f>
        <v>Colors</v>
      </c>
      <c r="M974" s="80" t="n">
        <f aca="false">INDEX(Products!$D$2:$D$71,MATCH($C974,Products!$A$2:$A$71,0))</f>
        <v>610</v>
      </c>
      <c r="N974" s="80" t="n">
        <f aca="false">$D974*$M974</f>
        <v>1830</v>
      </c>
      <c r="O974" s="79" t="str">
        <f aca="false">INDEX(Customers!$C$2:$C$101,MATCH($B974,Customers!$A$2:$A$101,0))</f>
        <v>Sasaram</v>
      </c>
      <c r="P974" s="79" t="str">
        <f aca="false">INDEX(Customers!$F$2:$F$101,MATCH($B974,Customers!$A$2:$A$101,0))</f>
        <v>Female</v>
      </c>
      <c r="Q974" s="79" t="str">
        <f aca="false">INDEX(Customers!$B$2:$B$101,MATCH($B974,Customers!$A$2:$A$101,0))</f>
        <v>Madhup Wable</v>
      </c>
      <c r="R974" s="79" t="n">
        <f aca="false">MONTH($E974)</f>
        <v>2</v>
      </c>
      <c r="S974" s="79" t="str">
        <f aca="false">INDEX(Lists!$B$2:$B$13,$R974)</f>
        <v>February</v>
      </c>
      <c r="T974" s="79" t="n">
        <f aca="false">HOUR($F974)</f>
        <v>10</v>
      </c>
      <c r="U974" s="79" t="n">
        <f aca="false">WEEKDAY($E974,2)</f>
        <v>7</v>
      </c>
      <c r="V974" s="79" t="str">
        <f aca="false">INDEX(Lists!$F$2:$F$8,$U974)</f>
        <v>Sunday</v>
      </c>
      <c r="W974" s="81" t="n">
        <f aca="false">($G974+$H974)-($E974+$F974)</f>
        <v>8.71561342592593</v>
      </c>
      <c r="X974" s="79" t="str">
        <f aca="false">LOOKUP($M974,Lists!$G$2:$G$5,Lists!$H$2:$H$5)</f>
        <v>₹500 - 999</v>
      </c>
      <c r="Y974" s="79" t="str">
        <f aca="false">LOOKUP($W974,Lists!$I$2:$I$7,Lists!$J$2:$J$7)</f>
        <v>8 - 10 days</v>
      </c>
    </row>
    <row r="975" customFormat="false" ht="15" hidden="false" customHeight="false" outlineLevel="0" collapsed="false">
      <c r="A975" s="2" t="n">
        <v>974</v>
      </c>
      <c r="B975" s="2" t="s">
        <v>161</v>
      </c>
      <c r="C975" s="2" t="n">
        <v>17</v>
      </c>
      <c r="D975" s="2" t="n">
        <v>4</v>
      </c>
      <c r="E975" s="82" t="n">
        <v>45234</v>
      </c>
      <c r="F975" s="83" t="n">
        <v>0.803460648148148</v>
      </c>
      <c r="G975" s="82" t="n">
        <v>45237</v>
      </c>
      <c r="H975" s="83" t="n">
        <v>0.674618055555556</v>
      </c>
      <c r="I975" s="2" t="s">
        <v>518</v>
      </c>
      <c r="J975" s="2" t="s">
        <v>168</v>
      </c>
      <c r="K975" s="46" t="str">
        <f aca="false">INDEX(Products!$B$2:$B$71,MATCH($C975,Products!$A$2:$A$71,0))</f>
        <v>Delectus Gift</v>
      </c>
      <c r="L975" s="46" t="str">
        <f aca="false">INDEX(Products!$C$2:$C$71,MATCH($C975,Products!$A$2:$A$71,0))</f>
        <v>Soft Toys</v>
      </c>
      <c r="M975" s="84" t="n">
        <f aca="false">INDEX(Products!$D$2:$D$71,MATCH($C975,Products!$A$2:$A$71,0))</f>
        <v>1899</v>
      </c>
      <c r="N975" s="84" t="n">
        <f aca="false">$D975*$M975</f>
        <v>7596</v>
      </c>
      <c r="O975" s="46" t="str">
        <f aca="false">INDEX(Customers!$C$2:$C$101,MATCH($B975,Customers!$A$2:$A$101,0))</f>
        <v>Panvel</v>
      </c>
      <c r="P975" s="46" t="str">
        <f aca="false">INDEX(Customers!$F$2:$F$101,MATCH($B975,Customers!$A$2:$A$101,0))</f>
        <v>Female</v>
      </c>
      <c r="Q975" s="46" t="str">
        <f aca="false">INDEX(Customers!$B$2:$B$101,MATCH($B975,Customers!$A$2:$A$101,0))</f>
        <v>Indrans Shukla</v>
      </c>
      <c r="R975" s="46" t="n">
        <f aca="false">MONTH($E975)</f>
        <v>11</v>
      </c>
      <c r="S975" s="46" t="str">
        <f aca="false">INDEX(Lists!$B$2:$B$13,$R975)</f>
        <v>November</v>
      </c>
      <c r="T975" s="46" t="n">
        <f aca="false">HOUR($F975)</f>
        <v>19</v>
      </c>
      <c r="U975" s="46" t="n">
        <f aca="false">WEEKDAY($E975,2)</f>
        <v>6</v>
      </c>
      <c r="V975" s="46" t="str">
        <f aca="false">INDEX(Lists!$F$2:$F$8,$U975)</f>
        <v>Saturday</v>
      </c>
      <c r="W975" s="85" t="n">
        <f aca="false">($G975+$H975)-($E975+$F975)</f>
        <v>2.87115740740741</v>
      </c>
      <c r="X975" s="46" t="str">
        <f aca="false">LOOKUP($M975,Lists!$G$2:$G$5,Lists!$H$2:$H$5)</f>
        <v>₹1,500 - 2,000</v>
      </c>
      <c r="Y975" s="46" t="str">
        <f aca="false">LOOKUP($W975,Lists!$I$2:$I$7,Lists!$J$2:$J$7)</f>
        <v>2 - 4 days</v>
      </c>
    </row>
    <row r="976" customFormat="false" ht="15" hidden="false" customHeight="false" outlineLevel="0" collapsed="false">
      <c r="A976" s="7" t="n">
        <v>975</v>
      </c>
      <c r="B976" s="7" t="s">
        <v>331</v>
      </c>
      <c r="C976" s="7" t="n">
        <v>62</v>
      </c>
      <c r="D976" s="7" t="n">
        <v>2</v>
      </c>
      <c r="E976" s="77" t="n">
        <v>44989</v>
      </c>
      <c r="F976" s="78" t="n">
        <v>0.0184259259259259</v>
      </c>
      <c r="G976" s="77" t="n">
        <v>44997</v>
      </c>
      <c r="H976" s="78" t="n">
        <v>0.335902777777778</v>
      </c>
      <c r="I976" s="7" t="s">
        <v>578</v>
      </c>
      <c r="J976" s="7" t="s">
        <v>33</v>
      </c>
      <c r="K976" s="79" t="str">
        <f aca="false">INDEX(Products!$B$2:$B$71,MATCH($C976,Products!$A$2:$A$71,0))</f>
        <v>Sed Set</v>
      </c>
      <c r="L976" s="79" t="str">
        <f aca="false">INDEX(Products!$C$2:$C$71,MATCH($C976,Products!$A$2:$A$71,0))</f>
        <v>Colors</v>
      </c>
      <c r="M976" s="80" t="n">
        <f aca="false">INDEX(Products!$D$2:$D$71,MATCH($C976,Products!$A$2:$A$71,0))</f>
        <v>1356</v>
      </c>
      <c r="N976" s="80" t="n">
        <f aca="false">$D976*$M976</f>
        <v>2712</v>
      </c>
      <c r="O976" s="79" t="str">
        <f aca="false">INDEX(Customers!$C$2:$C$101,MATCH($B976,Customers!$A$2:$A$101,0))</f>
        <v>Panchkula</v>
      </c>
      <c r="P976" s="79" t="str">
        <f aca="false">INDEX(Customers!$F$2:$F$101,MATCH($B976,Customers!$A$2:$A$101,0))</f>
        <v>Female</v>
      </c>
      <c r="Q976" s="79" t="str">
        <f aca="false">INDEX(Customers!$B$2:$B$101,MATCH($B976,Customers!$A$2:$A$101,0))</f>
        <v>Gokul Ahluwalia</v>
      </c>
      <c r="R976" s="79" t="n">
        <f aca="false">MONTH($E976)</f>
        <v>3</v>
      </c>
      <c r="S976" s="79" t="str">
        <f aca="false">INDEX(Lists!$B$2:$B$13,$R976)</f>
        <v>March</v>
      </c>
      <c r="T976" s="79" t="n">
        <f aca="false">HOUR($F976)</f>
        <v>0</v>
      </c>
      <c r="U976" s="79" t="n">
        <f aca="false">WEEKDAY($E976,2)</f>
        <v>6</v>
      </c>
      <c r="V976" s="79" t="str">
        <f aca="false">INDEX(Lists!$F$2:$F$8,$U976)</f>
        <v>Saturday</v>
      </c>
      <c r="W976" s="81" t="n">
        <f aca="false">($G976+$H976)-($E976+$F976)</f>
        <v>8.31747685185185</v>
      </c>
      <c r="X976" s="79" t="str">
        <f aca="false">LOOKUP($M976,Lists!$G$2:$G$5,Lists!$H$2:$H$5)</f>
        <v>₹1,000 - 1,499</v>
      </c>
      <c r="Y976" s="79" t="str">
        <f aca="false">LOOKUP($W976,Lists!$I$2:$I$7,Lists!$J$2:$J$7)</f>
        <v>8 - 10 days</v>
      </c>
    </row>
    <row r="977" customFormat="false" ht="15" hidden="false" customHeight="false" outlineLevel="0" collapsed="false">
      <c r="A977" s="2" t="n">
        <v>976</v>
      </c>
      <c r="B977" s="2" t="s">
        <v>170</v>
      </c>
      <c r="C977" s="2" t="n">
        <v>17</v>
      </c>
      <c r="D977" s="2" t="n">
        <v>2</v>
      </c>
      <c r="E977" s="82" t="n">
        <v>45065</v>
      </c>
      <c r="F977" s="83" t="n">
        <v>0.299409722222222</v>
      </c>
      <c r="G977" s="82" t="n">
        <v>45066</v>
      </c>
      <c r="H977" s="83" t="n">
        <v>0.360046296296296</v>
      </c>
      <c r="I977" s="2" t="s">
        <v>535</v>
      </c>
      <c r="J977" s="2" t="s">
        <v>168</v>
      </c>
      <c r="K977" s="46" t="str">
        <f aca="false">INDEX(Products!$B$2:$B$71,MATCH($C977,Products!$A$2:$A$71,0))</f>
        <v>Delectus Gift</v>
      </c>
      <c r="L977" s="46" t="str">
        <f aca="false">INDEX(Products!$C$2:$C$71,MATCH($C977,Products!$A$2:$A$71,0))</f>
        <v>Soft Toys</v>
      </c>
      <c r="M977" s="84" t="n">
        <f aca="false">INDEX(Products!$D$2:$D$71,MATCH($C977,Products!$A$2:$A$71,0))</f>
        <v>1899</v>
      </c>
      <c r="N977" s="84" t="n">
        <f aca="false">$D977*$M977</f>
        <v>3798</v>
      </c>
      <c r="O977" s="46" t="str">
        <f aca="false">INDEX(Customers!$C$2:$C$101,MATCH($B977,Customers!$A$2:$A$101,0))</f>
        <v>Gangtok</v>
      </c>
      <c r="P977" s="46" t="str">
        <f aca="false">INDEX(Customers!$F$2:$F$101,MATCH($B977,Customers!$A$2:$A$101,0))</f>
        <v>Male</v>
      </c>
      <c r="Q977" s="46" t="str">
        <f aca="false">INDEX(Customers!$B$2:$B$101,MATCH($B977,Customers!$A$2:$A$101,0))</f>
        <v>Advika Dhar</v>
      </c>
      <c r="R977" s="46" t="n">
        <f aca="false">MONTH($E977)</f>
        <v>5</v>
      </c>
      <c r="S977" s="46" t="str">
        <f aca="false">INDEX(Lists!$B$2:$B$13,$R977)</f>
        <v>May</v>
      </c>
      <c r="T977" s="46" t="n">
        <f aca="false">HOUR($F977)</f>
        <v>7</v>
      </c>
      <c r="U977" s="46" t="n">
        <f aca="false">WEEKDAY($E977,2)</f>
        <v>5</v>
      </c>
      <c r="V977" s="46" t="str">
        <f aca="false">INDEX(Lists!$F$2:$F$8,$U977)</f>
        <v>Friday</v>
      </c>
      <c r="W977" s="85" t="n">
        <f aca="false">($G977+$H977)-($E977+$F977)</f>
        <v>1.06063657407407</v>
      </c>
      <c r="X977" s="46" t="str">
        <f aca="false">LOOKUP($M977,Lists!$G$2:$G$5,Lists!$H$2:$H$5)</f>
        <v>₹1,500 - 2,000</v>
      </c>
      <c r="Y977" s="46" t="str">
        <f aca="false">LOOKUP($W977,Lists!$I$2:$I$7,Lists!$J$2:$J$7)</f>
        <v>0 - 2 days</v>
      </c>
    </row>
    <row r="978" customFormat="false" ht="15" hidden="false" customHeight="false" outlineLevel="0" collapsed="false">
      <c r="A978" s="7" t="n">
        <v>977</v>
      </c>
      <c r="B978" s="7" t="s">
        <v>136</v>
      </c>
      <c r="C978" s="7" t="n">
        <v>47</v>
      </c>
      <c r="D978" s="7" t="n">
        <v>2</v>
      </c>
      <c r="E978" s="77" t="n">
        <v>44990</v>
      </c>
      <c r="F978" s="78" t="n">
        <v>0.523275462962963</v>
      </c>
      <c r="G978" s="77" t="n">
        <v>44992</v>
      </c>
      <c r="H978" s="78" t="n">
        <v>0.985925925925926</v>
      </c>
      <c r="I978" s="7" t="s">
        <v>540</v>
      </c>
      <c r="J978" s="7" t="s">
        <v>33</v>
      </c>
      <c r="K978" s="79" t="str">
        <f aca="false">INDEX(Products!$B$2:$B$71,MATCH($C978,Products!$A$2:$A$71,0))</f>
        <v>Harum Pack</v>
      </c>
      <c r="L978" s="79" t="str">
        <f aca="false">INDEX(Products!$C$2:$C$71,MATCH($C978,Products!$A$2:$A$71,0))</f>
        <v>Colors</v>
      </c>
      <c r="M978" s="80" t="n">
        <f aca="false">INDEX(Products!$D$2:$D$71,MATCH($C978,Products!$A$2:$A$71,0))</f>
        <v>1638</v>
      </c>
      <c r="N978" s="80" t="n">
        <f aca="false">$D978*$M978</f>
        <v>3276</v>
      </c>
      <c r="O978" s="79" t="str">
        <f aca="false">INDEX(Customers!$C$2:$C$101,MATCH($B978,Customers!$A$2:$A$101,0))</f>
        <v>Kottayam</v>
      </c>
      <c r="P978" s="79" t="str">
        <f aca="false">INDEX(Customers!$F$2:$F$101,MATCH($B978,Customers!$A$2:$A$101,0))</f>
        <v>Male</v>
      </c>
      <c r="Q978" s="79" t="str">
        <f aca="false">INDEX(Customers!$B$2:$B$101,MATCH($B978,Customers!$A$2:$A$101,0))</f>
        <v>Hiran Kaul</v>
      </c>
      <c r="R978" s="79" t="n">
        <f aca="false">MONTH($E978)</f>
        <v>3</v>
      </c>
      <c r="S978" s="79" t="str">
        <f aca="false">INDEX(Lists!$B$2:$B$13,$R978)</f>
        <v>March</v>
      </c>
      <c r="T978" s="79" t="n">
        <f aca="false">HOUR($F978)</f>
        <v>12</v>
      </c>
      <c r="U978" s="79" t="n">
        <f aca="false">WEEKDAY($E978,2)</f>
        <v>7</v>
      </c>
      <c r="V978" s="79" t="str">
        <f aca="false">INDEX(Lists!$F$2:$F$8,$U978)</f>
        <v>Sunday</v>
      </c>
      <c r="W978" s="81" t="n">
        <f aca="false">($G978+$H978)-($E978+$F978)</f>
        <v>2.46265046296296</v>
      </c>
      <c r="X978" s="79" t="str">
        <f aca="false">LOOKUP($M978,Lists!$G$2:$G$5,Lists!$H$2:$H$5)</f>
        <v>₹1,500 - 2,000</v>
      </c>
      <c r="Y978" s="79" t="str">
        <f aca="false">LOOKUP($W978,Lists!$I$2:$I$7,Lists!$J$2:$J$7)</f>
        <v>2 - 4 days</v>
      </c>
    </row>
    <row r="979" customFormat="false" ht="15" hidden="false" customHeight="false" outlineLevel="0" collapsed="false">
      <c r="A979" s="2" t="n">
        <v>978</v>
      </c>
      <c r="B979" s="2" t="s">
        <v>174</v>
      </c>
      <c r="C979" s="2" t="n">
        <v>29</v>
      </c>
      <c r="D979" s="2" t="n">
        <v>4</v>
      </c>
      <c r="E979" s="82" t="n">
        <v>44985</v>
      </c>
      <c r="F979" s="83" t="n">
        <v>0.374479166666667</v>
      </c>
      <c r="G979" s="82" t="n">
        <v>44994</v>
      </c>
      <c r="H979" s="83" t="n">
        <v>0.271608796296296</v>
      </c>
      <c r="I979" s="2" t="s">
        <v>199</v>
      </c>
      <c r="J979" s="2" t="s">
        <v>33</v>
      </c>
      <c r="K979" s="46" t="str">
        <f aca="false">INDEX(Products!$B$2:$B$71,MATCH($C979,Products!$A$2:$A$71,0))</f>
        <v>In Set</v>
      </c>
      <c r="L979" s="46" t="str">
        <f aca="false">INDEX(Products!$C$2:$C$71,MATCH($C979,Products!$A$2:$A$71,0))</f>
        <v>Colors</v>
      </c>
      <c r="M979" s="84" t="n">
        <f aca="false">INDEX(Products!$D$2:$D$71,MATCH($C979,Products!$A$2:$A$71,0))</f>
        <v>1252</v>
      </c>
      <c r="N979" s="84" t="n">
        <f aca="false">$D979*$M979</f>
        <v>5008</v>
      </c>
      <c r="O979" s="46" t="str">
        <f aca="false">INDEX(Customers!$C$2:$C$101,MATCH($B979,Customers!$A$2:$A$101,0))</f>
        <v>Danapur</v>
      </c>
      <c r="P979" s="46" t="str">
        <f aca="false">INDEX(Customers!$F$2:$F$101,MATCH($B979,Customers!$A$2:$A$101,0))</f>
        <v>Male</v>
      </c>
      <c r="Q979" s="46" t="str">
        <f aca="false">INDEX(Customers!$B$2:$B$101,MATCH($B979,Customers!$A$2:$A$101,0))</f>
        <v>Amira Sengupta</v>
      </c>
      <c r="R979" s="46" t="n">
        <f aca="false">MONTH($E979)</f>
        <v>2</v>
      </c>
      <c r="S979" s="46" t="str">
        <f aca="false">INDEX(Lists!$B$2:$B$13,$R979)</f>
        <v>February</v>
      </c>
      <c r="T979" s="46" t="n">
        <f aca="false">HOUR($F979)</f>
        <v>8</v>
      </c>
      <c r="U979" s="46" t="n">
        <f aca="false">WEEKDAY($E979,2)</f>
        <v>2</v>
      </c>
      <c r="V979" s="46" t="str">
        <f aca="false">INDEX(Lists!$F$2:$F$8,$U979)</f>
        <v>Tuesday</v>
      </c>
      <c r="W979" s="85" t="n">
        <f aca="false">($G979+$H979)-($E979+$F979)</f>
        <v>8.89712962962963</v>
      </c>
      <c r="X979" s="46" t="str">
        <f aca="false">LOOKUP($M979,Lists!$G$2:$G$5,Lists!$H$2:$H$5)</f>
        <v>₹1,000 - 1,499</v>
      </c>
      <c r="Y979" s="46" t="str">
        <f aca="false">LOOKUP($W979,Lists!$I$2:$I$7,Lists!$J$2:$J$7)</f>
        <v>8 - 10 days</v>
      </c>
    </row>
    <row r="980" customFormat="false" ht="15" hidden="false" customHeight="false" outlineLevel="0" collapsed="false">
      <c r="A980" s="7" t="n">
        <v>979</v>
      </c>
      <c r="B980" s="7" t="s">
        <v>198</v>
      </c>
      <c r="C980" s="7" t="n">
        <v>9</v>
      </c>
      <c r="D980" s="7" t="n">
        <v>4</v>
      </c>
      <c r="E980" s="77" t="n">
        <v>45166</v>
      </c>
      <c r="F980" s="78" t="n">
        <v>0.779907407407407</v>
      </c>
      <c r="G980" s="77" t="n">
        <v>45169</v>
      </c>
      <c r="H980" s="78" t="n">
        <v>0.842337962962963</v>
      </c>
      <c r="I980" s="7" t="s">
        <v>123</v>
      </c>
      <c r="J980" s="7" t="s">
        <v>40</v>
      </c>
      <c r="K980" s="79" t="str">
        <f aca="false">INDEX(Products!$B$2:$B$71,MATCH($C980,Products!$A$2:$A$71,0))</f>
        <v>Aperiam Box</v>
      </c>
      <c r="L980" s="79" t="str">
        <f aca="false">INDEX(Products!$C$2:$C$71,MATCH($C980,Products!$A$2:$A$71,0))</f>
        <v>Colors</v>
      </c>
      <c r="M980" s="80" t="n">
        <f aca="false">INDEX(Products!$D$2:$D$71,MATCH($C980,Products!$A$2:$A$71,0))</f>
        <v>1605</v>
      </c>
      <c r="N980" s="80" t="n">
        <f aca="false">$D980*$M980</f>
        <v>6420</v>
      </c>
      <c r="O980" s="79" t="str">
        <f aca="false">INDEX(Customers!$C$2:$C$101,MATCH($B980,Customers!$A$2:$A$101,0))</f>
        <v>Sambhal</v>
      </c>
      <c r="P980" s="79" t="str">
        <f aca="false">INDEX(Customers!$F$2:$F$101,MATCH($B980,Customers!$A$2:$A$101,0))</f>
        <v>Male</v>
      </c>
      <c r="Q980" s="79" t="str">
        <f aca="false">INDEX(Customers!$B$2:$B$101,MATCH($B980,Customers!$A$2:$A$101,0))</f>
        <v>Vardaniya Contractor</v>
      </c>
      <c r="R980" s="79" t="n">
        <f aca="false">MONTH($E980)</f>
        <v>8</v>
      </c>
      <c r="S980" s="79" t="str">
        <f aca="false">INDEX(Lists!$B$2:$B$13,$R980)</f>
        <v>August</v>
      </c>
      <c r="T980" s="79" t="n">
        <f aca="false">HOUR($F980)</f>
        <v>18</v>
      </c>
      <c r="U980" s="79" t="n">
        <f aca="false">WEEKDAY($E980,2)</f>
        <v>1</v>
      </c>
      <c r="V980" s="79" t="str">
        <f aca="false">INDEX(Lists!$F$2:$F$8,$U980)</f>
        <v>Monday</v>
      </c>
      <c r="W980" s="81" t="n">
        <f aca="false">($G980+$H980)-($E980+$F980)</f>
        <v>3.06243055555556</v>
      </c>
      <c r="X980" s="79" t="str">
        <f aca="false">LOOKUP($M980,Lists!$G$2:$G$5,Lists!$H$2:$H$5)</f>
        <v>₹1,500 - 2,000</v>
      </c>
      <c r="Y980" s="79" t="str">
        <f aca="false">LOOKUP($W980,Lists!$I$2:$I$7,Lists!$J$2:$J$7)</f>
        <v>2 - 4 days</v>
      </c>
    </row>
    <row r="981" customFormat="false" ht="15" hidden="false" customHeight="false" outlineLevel="0" collapsed="false">
      <c r="A981" s="2" t="n">
        <v>980</v>
      </c>
      <c r="B981" s="2" t="s">
        <v>303</v>
      </c>
      <c r="C981" s="2" t="n">
        <v>12</v>
      </c>
      <c r="D981" s="2" t="n">
        <v>5</v>
      </c>
      <c r="E981" s="82" t="n">
        <v>45190</v>
      </c>
      <c r="F981" s="83" t="n">
        <v>0.857939814814815</v>
      </c>
      <c r="G981" s="82" t="n">
        <v>45199</v>
      </c>
      <c r="H981" s="83" t="n">
        <v>0.0303125</v>
      </c>
      <c r="I981" s="2" t="s">
        <v>277</v>
      </c>
      <c r="J981" s="2" t="s">
        <v>168</v>
      </c>
      <c r="K981" s="46" t="str">
        <f aca="false">INDEX(Products!$B$2:$B$71,MATCH($C981,Products!$A$2:$A$71,0))</f>
        <v>Non Set</v>
      </c>
      <c r="L981" s="46" t="str">
        <f aca="false">INDEX(Products!$C$2:$C$71,MATCH($C981,Products!$A$2:$A$71,0))</f>
        <v>Plants</v>
      </c>
      <c r="M981" s="84" t="n">
        <f aca="false">INDEX(Products!$D$2:$D$71,MATCH($C981,Products!$A$2:$A$71,0))</f>
        <v>672</v>
      </c>
      <c r="N981" s="84" t="n">
        <f aca="false">$D981*$M981</f>
        <v>3360</v>
      </c>
      <c r="O981" s="46" t="str">
        <f aca="false">INDEX(Customers!$C$2:$C$101,MATCH($B981,Customers!$A$2:$A$101,0))</f>
        <v>Anand</v>
      </c>
      <c r="P981" s="46" t="str">
        <f aca="false">INDEX(Customers!$F$2:$F$101,MATCH($B981,Customers!$A$2:$A$101,0))</f>
        <v>Male</v>
      </c>
      <c r="Q981" s="46" t="str">
        <f aca="false">INDEX(Customers!$B$2:$B$101,MATCH($B981,Customers!$A$2:$A$101,0))</f>
        <v>Eva Sankaran</v>
      </c>
      <c r="R981" s="46" t="n">
        <f aca="false">MONTH($E981)</f>
        <v>9</v>
      </c>
      <c r="S981" s="46" t="str">
        <f aca="false">INDEX(Lists!$B$2:$B$13,$R981)</f>
        <v>September</v>
      </c>
      <c r="T981" s="46" t="n">
        <f aca="false">HOUR($F981)</f>
        <v>20</v>
      </c>
      <c r="U981" s="46" t="n">
        <f aca="false">WEEKDAY($E981,2)</f>
        <v>4</v>
      </c>
      <c r="V981" s="46" t="str">
        <f aca="false">INDEX(Lists!$F$2:$F$8,$U981)</f>
        <v>Thursday</v>
      </c>
      <c r="W981" s="85" t="n">
        <f aca="false">($G981+$H981)-($E981+$F981)</f>
        <v>8.17237268518518</v>
      </c>
      <c r="X981" s="46" t="str">
        <f aca="false">LOOKUP($M981,Lists!$G$2:$G$5,Lists!$H$2:$H$5)</f>
        <v>₹500 - 999</v>
      </c>
      <c r="Y981" s="46" t="str">
        <f aca="false">LOOKUP($W981,Lists!$I$2:$I$7,Lists!$J$2:$J$7)</f>
        <v>8 - 10 days</v>
      </c>
    </row>
    <row r="982" customFormat="false" ht="15" hidden="false" customHeight="false" outlineLevel="0" collapsed="false">
      <c r="A982" s="7" t="n">
        <v>981</v>
      </c>
      <c r="B982" s="7" t="s">
        <v>161</v>
      </c>
      <c r="C982" s="7" t="n">
        <v>46</v>
      </c>
      <c r="D982" s="7" t="n">
        <v>2</v>
      </c>
      <c r="E982" s="77" t="n">
        <v>45018</v>
      </c>
      <c r="F982" s="78" t="n">
        <v>0.83412037037037</v>
      </c>
      <c r="G982" s="77" t="n">
        <v>45019</v>
      </c>
      <c r="H982" s="78" t="n">
        <v>0.848344907407407</v>
      </c>
      <c r="I982" s="7" t="s">
        <v>327</v>
      </c>
      <c r="J982" s="7" t="s">
        <v>168</v>
      </c>
      <c r="K982" s="79" t="str">
        <f aca="false">INDEX(Products!$B$2:$B$71,MATCH($C982,Products!$A$2:$A$71,0))</f>
        <v>Pariatur Set</v>
      </c>
      <c r="L982" s="79" t="str">
        <f aca="false">INDEX(Products!$C$2:$C$71,MATCH($C982,Products!$A$2:$A$71,0))</f>
        <v>Cake</v>
      </c>
      <c r="M982" s="80" t="n">
        <f aca="false">INDEX(Products!$D$2:$D$71,MATCH($C982,Products!$A$2:$A$71,0))</f>
        <v>758</v>
      </c>
      <c r="N982" s="80" t="n">
        <f aca="false">$D982*$M982</f>
        <v>1516</v>
      </c>
      <c r="O982" s="79" t="str">
        <f aca="false">INDEX(Customers!$C$2:$C$101,MATCH($B982,Customers!$A$2:$A$101,0))</f>
        <v>Panvel</v>
      </c>
      <c r="P982" s="79" t="str">
        <f aca="false">INDEX(Customers!$F$2:$F$101,MATCH($B982,Customers!$A$2:$A$101,0))</f>
        <v>Female</v>
      </c>
      <c r="Q982" s="79" t="str">
        <f aca="false">INDEX(Customers!$B$2:$B$101,MATCH($B982,Customers!$A$2:$A$101,0))</f>
        <v>Indrans Shukla</v>
      </c>
      <c r="R982" s="79" t="n">
        <f aca="false">MONTH($E982)</f>
        <v>4</v>
      </c>
      <c r="S982" s="79" t="str">
        <f aca="false">INDEX(Lists!$B$2:$B$13,$R982)</f>
        <v>April</v>
      </c>
      <c r="T982" s="79" t="n">
        <f aca="false">HOUR($F982)</f>
        <v>20</v>
      </c>
      <c r="U982" s="79" t="n">
        <f aca="false">WEEKDAY($E982,2)</f>
        <v>7</v>
      </c>
      <c r="V982" s="79" t="str">
        <f aca="false">INDEX(Lists!$F$2:$F$8,$U982)</f>
        <v>Sunday</v>
      </c>
      <c r="W982" s="81" t="n">
        <f aca="false">($G982+$H982)-($E982+$F982)</f>
        <v>1.01422453703704</v>
      </c>
      <c r="X982" s="79" t="str">
        <f aca="false">LOOKUP($M982,Lists!$G$2:$G$5,Lists!$H$2:$H$5)</f>
        <v>₹500 - 999</v>
      </c>
      <c r="Y982" s="79" t="str">
        <f aca="false">LOOKUP($W982,Lists!$I$2:$I$7,Lists!$J$2:$J$7)</f>
        <v>0 - 2 days</v>
      </c>
    </row>
    <row r="983" customFormat="false" ht="15" hidden="false" customHeight="false" outlineLevel="0" collapsed="false">
      <c r="A983" s="2" t="n">
        <v>982</v>
      </c>
      <c r="B983" s="2" t="s">
        <v>174</v>
      </c>
      <c r="C983" s="2" t="n">
        <v>47</v>
      </c>
      <c r="D983" s="2" t="n">
        <v>4</v>
      </c>
      <c r="E983" s="82" t="n">
        <v>44985</v>
      </c>
      <c r="F983" s="83" t="n">
        <v>0.789155092592593</v>
      </c>
      <c r="G983" s="82" t="n">
        <v>44989</v>
      </c>
      <c r="H983" s="83" t="n">
        <v>0.132905092592593</v>
      </c>
      <c r="I983" s="2" t="s">
        <v>577</v>
      </c>
      <c r="J983" s="2" t="s">
        <v>33</v>
      </c>
      <c r="K983" s="46" t="str">
        <f aca="false">INDEX(Products!$B$2:$B$71,MATCH($C983,Products!$A$2:$A$71,0))</f>
        <v>Harum Pack</v>
      </c>
      <c r="L983" s="46" t="str">
        <f aca="false">INDEX(Products!$C$2:$C$71,MATCH($C983,Products!$A$2:$A$71,0))</f>
        <v>Colors</v>
      </c>
      <c r="M983" s="84" t="n">
        <f aca="false">INDEX(Products!$D$2:$D$71,MATCH($C983,Products!$A$2:$A$71,0))</f>
        <v>1638</v>
      </c>
      <c r="N983" s="84" t="n">
        <f aca="false">$D983*$M983</f>
        <v>6552</v>
      </c>
      <c r="O983" s="46" t="str">
        <f aca="false">INDEX(Customers!$C$2:$C$101,MATCH($B983,Customers!$A$2:$A$101,0))</f>
        <v>Danapur</v>
      </c>
      <c r="P983" s="46" t="str">
        <f aca="false">INDEX(Customers!$F$2:$F$101,MATCH($B983,Customers!$A$2:$A$101,0))</f>
        <v>Male</v>
      </c>
      <c r="Q983" s="46" t="str">
        <f aca="false">INDEX(Customers!$B$2:$B$101,MATCH($B983,Customers!$A$2:$A$101,0))</f>
        <v>Amira Sengupta</v>
      </c>
      <c r="R983" s="46" t="n">
        <f aca="false">MONTH($E983)</f>
        <v>2</v>
      </c>
      <c r="S983" s="46" t="str">
        <f aca="false">INDEX(Lists!$B$2:$B$13,$R983)</f>
        <v>February</v>
      </c>
      <c r="T983" s="46" t="n">
        <f aca="false">HOUR($F983)</f>
        <v>18</v>
      </c>
      <c r="U983" s="46" t="n">
        <f aca="false">WEEKDAY($E983,2)</f>
        <v>2</v>
      </c>
      <c r="V983" s="46" t="str">
        <f aca="false">INDEX(Lists!$F$2:$F$8,$U983)</f>
        <v>Tuesday</v>
      </c>
      <c r="W983" s="85" t="n">
        <f aca="false">($G983+$H983)-($E983+$F983)</f>
        <v>3.34375</v>
      </c>
      <c r="X983" s="46" t="str">
        <f aca="false">LOOKUP($M983,Lists!$G$2:$G$5,Lists!$H$2:$H$5)</f>
        <v>₹1,500 - 2,000</v>
      </c>
      <c r="Y983" s="46" t="str">
        <f aca="false">LOOKUP($W983,Lists!$I$2:$I$7,Lists!$J$2:$J$7)</f>
        <v>2 - 4 days</v>
      </c>
    </row>
    <row r="984" customFormat="false" ht="15" hidden="false" customHeight="false" outlineLevel="0" collapsed="false">
      <c r="A984" s="7" t="n">
        <v>983</v>
      </c>
      <c r="B984" s="7" t="s">
        <v>377</v>
      </c>
      <c r="C984" s="7" t="n">
        <v>70</v>
      </c>
      <c r="D984" s="7" t="n">
        <v>1</v>
      </c>
      <c r="E984" s="77" t="n">
        <v>45010</v>
      </c>
      <c r="F984" s="78" t="n">
        <v>0.402592592592593</v>
      </c>
      <c r="G984" s="77" t="n">
        <v>45017</v>
      </c>
      <c r="H984" s="78" t="n">
        <v>0.276886574074074</v>
      </c>
      <c r="I984" s="7" t="s">
        <v>559</v>
      </c>
      <c r="J984" s="7" t="s">
        <v>31</v>
      </c>
      <c r="K984" s="79" t="str">
        <f aca="false">INDEX(Products!$B$2:$B$71,MATCH($C984,Products!$A$2:$A$71,0))</f>
        <v>Error Gift</v>
      </c>
      <c r="L984" s="79" t="str">
        <f aca="false">INDEX(Products!$C$2:$C$71,MATCH($C984,Products!$A$2:$A$71,0))</f>
        <v>Sweets</v>
      </c>
      <c r="M984" s="80" t="n">
        <f aca="false">INDEX(Products!$D$2:$D$71,MATCH($C984,Products!$A$2:$A$71,0))</f>
        <v>866</v>
      </c>
      <c r="N984" s="80" t="n">
        <f aca="false">$D984*$M984</f>
        <v>866</v>
      </c>
      <c r="O984" s="79" t="str">
        <f aca="false">INDEX(Customers!$C$2:$C$101,MATCH($B984,Customers!$A$2:$A$101,0))</f>
        <v>Deoghar</v>
      </c>
      <c r="P984" s="79" t="str">
        <f aca="false">INDEX(Customers!$F$2:$F$101,MATCH($B984,Customers!$A$2:$A$101,0))</f>
        <v>Female</v>
      </c>
      <c r="Q984" s="79" t="str">
        <f aca="false">INDEX(Customers!$B$2:$B$101,MATCH($B984,Customers!$A$2:$A$101,0))</f>
        <v>Raghav Babu</v>
      </c>
      <c r="R984" s="79" t="n">
        <f aca="false">MONTH($E984)</f>
        <v>3</v>
      </c>
      <c r="S984" s="79" t="str">
        <f aca="false">INDEX(Lists!$B$2:$B$13,$R984)</f>
        <v>March</v>
      </c>
      <c r="T984" s="79" t="n">
        <f aca="false">HOUR($F984)</f>
        <v>9</v>
      </c>
      <c r="U984" s="79" t="n">
        <f aca="false">WEEKDAY($E984,2)</f>
        <v>6</v>
      </c>
      <c r="V984" s="79" t="str">
        <f aca="false">INDEX(Lists!$F$2:$F$8,$U984)</f>
        <v>Saturday</v>
      </c>
      <c r="W984" s="81" t="n">
        <f aca="false">($G984+$H984)-($E984+$F984)</f>
        <v>6.87429398148148</v>
      </c>
      <c r="X984" s="79" t="str">
        <f aca="false">LOOKUP($M984,Lists!$G$2:$G$5,Lists!$H$2:$H$5)</f>
        <v>₹500 - 999</v>
      </c>
      <c r="Y984" s="79" t="str">
        <f aca="false">LOOKUP($W984,Lists!$I$2:$I$7,Lists!$J$2:$J$7)</f>
        <v>6 - 8 days</v>
      </c>
    </row>
    <row r="985" customFormat="false" ht="15" hidden="false" customHeight="false" outlineLevel="0" collapsed="false">
      <c r="A985" s="2" t="n">
        <v>984</v>
      </c>
      <c r="B985" s="2" t="s">
        <v>278</v>
      </c>
      <c r="C985" s="2" t="n">
        <v>65</v>
      </c>
      <c r="D985" s="2" t="n">
        <v>1</v>
      </c>
      <c r="E985" s="82" t="n">
        <v>45141</v>
      </c>
      <c r="F985" s="83" t="n">
        <v>0.938217592592593</v>
      </c>
      <c r="G985" s="82" t="n">
        <v>45145</v>
      </c>
      <c r="H985" s="83" t="n">
        <v>0.693877314814815</v>
      </c>
      <c r="I985" s="2" t="s">
        <v>193</v>
      </c>
      <c r="J985" s="2" t="s">
        <v>165</v>
      </c>
      <c r="K985" s="46" t="str">
        <f aca="false">INDEX(Products!$B$2:$B$71,MATCH($C985,Products!$A$2:$A$71,0))</f>
        <v>Error Gift</v>
      </c>
      <c r="L985" s="46" t="str">
        <f aca="false">INDEX(Products!$C$2:$C$71,MATCH($C985,Products!$A$2:$A$71,0))</f>
        <v>Raksha Bandhan</v>
      </c>
      <c r="M985" s="84" t="n">
        <f aca="false">INDEX(Products!$D$2:$D$71,MATCH($C985,Products!$A$2:$A$71,0))</f>
        <v>1895</v>
      </c>
      <c r="N985" s="84" t="n">
        <f aca="false">$D985*$M985</f>
        <v>1895</v>
      </c>
      <c r="O985" s="46" t="str">
        <f aca="false">INDEX(Customers!$C$2:$C$101,MATCH($B985,Customers!$A$2:$A$101,0))</f>
        <v>Guntakal</v>
      </c>
      <c r="P985" s="46" t="str">
        <f aca="false">INDEX(Customers!$F$2:$F$101,MATCH($B985,Customers!$A$2:$A$101,0))</f>
        <v>Male</v>
      </c>
      <c r="Q985" s="46" t="str">
        <f aca="false">INDEX(Customers!$B$2:$B$101,MATCH($B985,Customers!$A$2:$A$101,0))</f>
        <v>Charvi Kanda</v>
      </c>
      <c r="R985" s="46" t="n">
        <f aca="false">MONTH($E985)</f>
        <v>8</v>
      </c>
      <c r="S985" s="46" t="str">
        <f aca="false">INDEX(Lists!$B$2:$B$13,$R985)</f>
        <v>August</v>
      </c>
      <c r="T985" s="46" t="n">
        <f aca="false">HOUR($F985)</f>
        <v>22</v>
      </c>
      <c r="U985" s="46" t="n">
        <f aca="false">WEEKDAY($E985,2)</f>
        <v>4</v>
      </c>
      <c r="V985" s="46" t="str">
        <f aca="false">INDEX(Lists!$F$2:$F$8,$U985)</f>
        <v>Thursday</v>
      </c>
      <c r="W985" s="85" t="n">
        <f aca="false">($G985+$H985)-($E985+$F985)</f>
        <v>3.75565972222222</v>
      </c>
      <c r="X985" s="46" t="str">
        <f aca="false">LOOKUP($M985,Lists!$G$2:$G$5,Lists!$H$2:$H$5)</f>
        <v>₹1,500 - 2,000</v>
      </c>
      <c r="Y985" s="46" t="str">
        <f aca="false">LOOKUP($W985,Lists!$I$2:$I$7,Lists!$J$2:$J$7)</f>
        <v>2 - 4 days</v>
      </c>
    </row>
    <row r="986" customFormat="false" ht="15" hidden="false" customHeight="false" outlineLevel="0" collapsed="false">
      <c r="A986" s="7" t="n">
        <v>985</v>
      </c>
      <c r="B986" s="7" t="s">
        <v>311</v>
      </c>
      <c r="C986" s="7" t="n">
        <v>31</v>
      </c>
      <c r="D986" s="7" t="n">
        <v>4</v>
      </c>
      <c r="E986" s="77" t="n">
        <v>45204</v>
      </c>
      <c r="F986" s="78" t="n">
        <v>0.477314814814815</v>
      </c>
      <c r="G986" s="77" t="n">
        <v>45212</v>
      </c>
      <c r="H986" s="78" t="n">
        <v>0.703877314814815</v>
      </c>
      <c r="I986" s="7" t="s">
        <v>474</v>
      </c>
      <c r="J986" s="7" t="s">
        <v>165</v>
      </c>
      <c r="K986" s="79" t="str">
        <f aca="false">INDEX(Products!$B$2:$B$71,MATCH($C986,Products!$A$2:$A$71,0))</f>
        <v>Nihil Box</v>
      </c>
      <c r="L986" s="79" t="str">
        <f aca="false">INDEX(Products!$C$2:$C$71,MATCH($C986,Products!$A$2:$A$71,0))</f>
        <v>Colors</v>
      </c>
      <c r="M986" s="80" t="n">
        <f aca="false">INDEX(Products!$D$2:$D$71,MATCH($C986,Products!$A$2:$A$71,0))</f>
        <v>1804</v>
      </c>
      <c r="N986" s="80" t="n">
        <f aca="false">$D986*$M986</f>
        <v>7216</v>
      </c>
      <c r="O986" s="79" t="str">
        <f aca="false">INDEX(Customers!$C$2:$C$101,MATCH($B986,Customers!$A$2:$A$101,0))</f>
        <v>Bhatpara</v>
      </c>
      <c r="P986" s="79" t="str">
        <f aca="false">INDEX(Customers!$F$2:$F$101,MATCH($B986,Customers!$A$2:$A$101,0))</f>
        <v>Male</v>
      </c>
      <c r="Q986" s="79" t="str">
        <f aca="false">INDEX(Customers!$B$2:$B$101,MATCH($B986,Customers!$A$2:$A$101,0))</f>
        <v>Emir Gokhale</v>
      </c>
      <c r="R986" s="79" t="n">
        <f aca="false">MONTH($E986)</f>
        <v>10</v>
      </c>
      <c r="S986" s="79" t="str">
        <f aca="false">INDEX(Lists!$B$2:$B$13,$R986)</f>
        <v>October</v>
      </c>
      <c r="T986" s="79" t="n">
        <f aca="false">HOUR($F986)</f>
        <v>11</v>
      </c>
      <c r="U986" s="79" t="n">
        <f aca="false">WEEKDAY($E986,2)</f>
        <v>4</v>
      </c>
      <c r="V986" s="79" t="str">
        <f aca="false">INDEX(Lists!$F$2:$F$8,$U986)</f>
        <v>Thursday</v>
      </c>
      <c r="W986" s="81" t="n">
        <f aca="false">($G986+$H986)-($E986+$F986)</f>
        <v>8.2265625</v>
      </c>
      <c r="X986" s="79" t="str">
        <f aca="false">LOOKUP($M986,Lists!$G$2:$G$5,Lists!$H$2:$H$5)</f>
        <v>₹1,500 - 2,000</v>
      </c>
      <c r="Y986" s="79" t="str">
        <f aca="false">LOOKUP($W986,Lists!$I$2:$I$7,Lists!$J$2:$J$7)</f>
        <v>8 - 10 days</v>
      </c>
    </row>
    <row r="987" customFormat="false" ht="15" hidden="false" customHeight="false" outlineLevel="0" collapsed="false">
      <c r="A987" s="2" t="n">
        <v>986</v>
      </c>
      <c r="B987" s="2" t="s">
        <v>355</v>
      </c>
      <c r="C987" s="2" t="n">
        <v>1</v>
      </c>
      <c r="D987" s="2" t="n">
        <v>2</v>
      </c>
      <c r="E987" s="82" t="n">
        <v>45233</v>
      </c>
      <c r="F987" s="83" t="n">
        <v>0.695763888888889</v>
      </c>
      <c r="G987" s="82" t="n">
        <v>45235</v>
      </c>
      <c r="H987" s="83" t="n">
        <v>0.946851851851852</v>
      </c>
      <c r="I987" s="2" t="s">
        <v>195</v>
      </c>
      <c r="J987" s="2" t="s">
        <v>165</v>
      </c>
      <c r="K987" s="46" t="str">
        <f aca="false">INDEX(Products!$B$2:$B$71,MATCH($C987,Products!$A$2:$A$71,0))</f>
        <v>Magnam Set</v>
      </c>
      <c r="L987" s="46" t="str">
        <f aca="false">INDEX(Products!$C$2:$C$71,MATCH($C987,Products!$A$2:$A$71,0))</f>
        <v>Soft Toys</v>
      </c>
      <c r="M987" s="84" t="n">
        <f aca="false">INDEX(Products!$D$2:$D$71,MATCH($C987,Products!$A$2:$A$71,0))</f>
        <v>1935</v>
      </c>
      <c r="N987" s="84" t="n">
        <f aca="false">$D987*$M987</f>
        <v>3870</v>
      </c>
      <c r="O987" s="46" t="str">
        <f aca="false">INDEX(Customers!$C$2:$C$101,MATCH($B987,Customers!$A$2:$A$101,0))</f>
        <v>Purnia</v>
      </c>
      <c r="P987" s="46" t="str">
        <f aca="false">INDEX(Customers!$F$2:$F$101,MATCH($B987,Customers!$A$2:$A$101,0))</f>
        <v>Female</v>
      </c>
      <c r="Q987" s="46" t="str">
        <f aca="false">INDEX(Customers!$B$2:$B$101,MATCH($B987,Customers!$A$2:$A$101,0))</f>
        <v>Ivana Amble</v>
      </c>
      <c r="R987" s="46" t="n">
        <f aca="false">MONTH($E987)</f>
        <v>11</v>
      </c>
      <c r="S987" s="46" t="str">
        <f aca="false">INDEX(Lists!$B$2:$B$13,$R987)</f>
        <v>November</v>
      </c>
      <c r="T987" s="46" t="n">
        <f aca="false">HOUR($F987)</f>
        <v>16</v>
      </c>
      <c r="U987" s="46" t="n">
        <f aca="false">WEEKDAY($E987,2)</f>
        <v>5</v>
      </c>
      <c r="V987" s="46" t="str">
        <f aca="false">INDEX(Lists!$F$2:$F$8,$U987)</f>
        <v>Friday</v>
      </c>
      <c r="W987" s="85" t="n">
        <f aca="false">($G987+$H987)-($E987+$F987)</f>
        <v>2.25108796296296</v>
      </c>
      <c r="X987" s="46" t="str">
        <f aca="false">LOOKUP($M987,Lists!$G$2:$G$5,Lists!$H$2:$H$5)</f>
        <v>₹1,500 - 2,000</v>
      </c>
      <c r="Y987" s="46" t="str">
        <f aca="false">LOOKUP($W987,Lists!$I$2:$I$7,Lists!$J$2:$J$7)</f>
        <v>2 - 4 days</v>
      </c>
    </row>
    <row r="988" customFormat="false" ht="15" hidden="false" customHeight="false" outlineLevel="0" collapsed="false">
      <c r="A988" s="7" t="n">
        <v>987</v>
      </c>
      <c r="B988" s="7" t="s">
        <v>172</v>
      </c>
      <c r="C988" s="7" t="n">
        <v>65</v>
      </c>
      <c r="D988" s="7" t="n">
        <v>3</v>
      </c>
      <c r="E988" s="77" t="n">
        <v>45280</v>
      </c>
      <c r="F988" s="78" t="n">
        <v>0.384224537037037</v>
      </c>
      <c r="G988" s="77" t="n">
        <v>45285</v>
      </c>
      <c r="H988" s="78" t="n">
        <v>0.173715277777778</v>
      </c>
      <c r="I988" s="7" t="s">
        <v>290</v>
      </c>
      <c r="J988" s="7" t="s">
        <v>165</v>
      </c>
      <c r="K988" s="79" t="str">
        <f aca="false">INDEX(Products!$B$2:$B$71,MATCH($C988,Products!$A$2:$A$71,0))</f>
        <v>Error Gift</v>
      </c>
      <c r="L988" s="79" t="str">
        <f aca="false">INDEX(Products!$C$2:$C$71,MATCH($C988,Products!$A$2:$A$71,0))</f>
        <v>Raksha Bandhan</v>
      </c>
      <c r="M988" s="80" t="n">
        <f aca="false">INDEX(Products!$D$2:$D$71,MATCH($C988,Products!$A$2:$A$71,0))</f>
        <v>1895</v>
      </c>
      <c r="N988" s="80" t="n">
        <f aca="false">$D988*$M988</f>
        <v>5685</v>
      </c>
      <c r="O988" s="79" t="str">
        <f aca="false">INDEX(Customers!$C$2:$C$101,MATCH($B988,Customers!$A$2:$A$101,0))</f>
        <v>Nizamabad</v>
      </c>
      <c r="P988" s="79" t="str">
        <f aca="false">INDEX(Customers!$F$2:$F$101,MATCH($B988,Customers!$A$2:$A$101,0))</f>
        <v>Male</v>
      </c>
      <c r="Q988" s="79" t="str">
        <f aca="false">INDEX(Customers!$B$2:$B$101,MATCH($B988,Customers!$A$2:$A$101,0))</f>
        <v>Eva Vaidya</v>
      </c>
      <c r="R988" s="79" t="n">
        <f aca="false">MONTH($E988)</f>
        <v>12</v>
      </c>
      <c r="S988" s="79" t="str">
        <f aca="false">INDEX(Lists!$B$2:$B$13,$R988)</f>
        <v>December</v>
      </c>
      <c r="T988" s="79" t="n">
        <f aca="false">HOUR($F988)</f>
        <v>9</v>
      </c>
      <c r="U988" s="79" t="n">
        <f aca="false">WEEKDAY($E988,2)</f>
        <v>3</v>
      </c>
      <c r="V988" s="79" t="str">
        <f aca="false">INDEX(Lists!$F$2:$F$8,$U988)</f>
        <v>Wednesday</v>
      </c>
      <c r="W988" s="81" t="n">
        <f aca="false">($G988+$H988)-($E988+$F988)</f>
        <v>4.78949074074074</v>
      </c>
      <c r="X988" s="79" t="str">
        <f aca="false">LOOKUP($M988,Lists!$G$2:$G$5,Lists!$H$2:$H$5)</f>
        <v>₹1,500 - 2,000</v>
      </c>
      <c r="Y988" s="79" t="str">
        <f aca="false">LOOKUP($W988,Lists!$I$2:$I$7,Lists!$J$2:$J$7)</f>
        <v>4 - 6 days</v>
      </c>
    </row>
    <row r="989" customFormat="false" ht="15" hidden="false" customHeight="false" outlineLevel="0" collapsed="false">
      <c r="A989" s="2" t="n">
        <v>988</v>
      </c>
      <c r="B989" s="2" t="s">
        <v>176</v>
      </c>
      <c r="C989" s="2" t="n">
        <v>4</v>
      </c>
      <c r="D989" s="2" t="n">
        <v>3</v>
      </c>
      <c r="E989" s="82" t="n">
        <v>45240</v>
      </c>
      <c r="F989" s="83" t="n">
        <v>0.407835648148148</v>
      </c>
      <c r="G989" s="82" t="n">
        <v>45245</v>
      </c>
      <c r="H989" s="83" t="n">
        <v>0.437025462962963</v>
      </c>
      <c r="I989" s="2" t="s">
        <v>485</v>
      </c>
      <c r="J989" s="2" t="s">
        <v>32</v>
      </c>
      <c r="K989" s="46" t="str">
        <f aca="false">INDEX(Products!$B$2:$B$71,MATCH($C989,Products!$A$2:$A$71,0))</f>
        <v>Accusantium Set</v>
      </c>
      <c r="L989" s="46" t="str">
        <f aca="false">INDEX(Products!$C$2:$C$71,MATCH($C989,Products!$A$2:$A$71,0))</f>
        <v>Sweets</v>
      </c>
      <c r="M989" s="84" t="n">
        <f aca="false">INDEX(Products!$D$2:$D$71,MATCH($C989,Products!$A$2:$A$71,0))</f>
        <v>1199</v>
      </c>
      <c r="N989" s="84" t="n">
        <f aca="false">$D989*$M989</f>
        <v>3597</v>
      </c>
      <c r="O989" s="46" t="str">
        <f aca="false">INDEX(Customers!$C$2:$C$101,MATCH($B989,Customers!$A$2:$A$101,0))</f>
        <v>Machilipatnam</v>
      </c>
      <c r="P989" s="46" t="str">
        <f aca="false">INDEX(Customers!$F$2:$F$101,MATCH($B989,Customers!$A$2:$A$101,0))</f>
        <v>Male</v>
      </c>
      <c r="Q989" s="46" t="str">
        <f aca="false">INDEX(Customers!$B$2:$B$101,MATCH($B989,Customers!$A$2:$A$101,0))</f>
        <v>Samaira Ganesh</v>
      </c>
      <c r="R989" s="46" t="n">
        <f aca="false">MONTH($E989)</f>
        <v>11</v>
      </c>
      <c r="S989" s="46" t="str">
        <f aca="false">INDEX(Lists!$B$2:$B$13,$R989)</f>
        <v>November</v>
      </c>
      <c r="T989" s="46" t="n">
        <f aca="false">HOUR($F989)</f>
        <v>9</v>
      </c>
      <c r="U989" s="46" t="n">
        <f aca="false">WEEKDAY($E989,2)</f>
        <v>5</v>
      </c>
      <c r="V989" s="46" t="str">
        <f aca="false">INDEX(Lists!$F$2:$F$8,$U989)</f>
        <v>Friday</v>
      </c>
      <c r="W989" s="85" t="n">
        <f aca="false">($G989+$H989)-($E989+$F989)</f>
        <v>5.02918981481481</v>
      </c>
      <c r="X989" s="46" t="str">
        <f aca="false">LOOKUP($M989,Lists!$G$2:$G$5,Lists!$H$2:$H$5)</f>
        <v>₹1,000 - 1,499</v>
      </c>
      <c r="Y989" s="46" t="str">
        <f aca="false">LOOKUP($W989,Lists!$I$2:$I$7,Lists!$J$2:$J$7)</f>
        <v>4 - 6 days</v>
      </c>
    </row>
    <row r="990" customFormat="false" ht="15" hidden="false" customHeight="false" outlineLevel="0" collapsed="false">
      <c r="A990" s="7" t="n">
        <v>989</v>
      </c>
      <c r="B990" s="7" t="s">
        <v>170</v>
      </c>
      <c r="C990" s="7" t="n">
        <v>52</v>
      </c>
      <c r="D990" s="7" t="n">
        <v>3</v>
      </c>
      <c r="E990" s="77" t="n">
        <v>44963</v>
      </c>
      <c r="F990" s="78" t="n">
        <v>0.341284722222222</v>
      </c>
      <c r="G990" s="77" t="n">
        <v>44972</v>
      </c>
      <c r="H990" s="78" t="n">
        <v>0.0833796296296296</v>
      </c>
      <c r="I990" s="7" t="s">
        <v>271</v>
      </c>
      <c r="J990" s="7" t="s">
        <v>179</v>
      </c>
      <c r="K990" s="79" t="str">
        <f aca="false">INDEX(Products!$B$2:$B$71,MATCH($C990,Products!$A$2:$A$71,0))</f>
        <v>Dolorum Box</v>
      </c>
      <c r="L990" s="79" t="str">
        <f aca="false">INDEX(Products!$C$2:$C$71,MATCH($C990,Products!$A$2:$A$71,0))</f>
        <v>Raksha Bandhan</v>
      </c>
      <c r="M990" s="80" t="n">
        <f aca="false">INDEX(Products!$D$2:$D$71,MATCH($C990,Products!$A$2:$A$71,0))</f>
        <v>236</v>
      </c>
      <c r="N990" s="80" t="n">
        <f aca="false">$D990*$M990</f>
        <v>708</v>
      </c>
      <c r="O990" s="79" t="str">
        <f aca="false">INDEX(Customers!$C$2:$C$101,MATCH($B990,Customers!$A$2:$A$101,0))</f>
        <v>Gangtok</v>
      </c>
      <c r="P990" s="79" t="str">
        <f aca="false">INDEX(Customers!$F$2:$F$101,MATCH($B990,Customers!$A$2:$A$101,0))</f>
        <v>Male</v>
      </c>
      <c r="Q990" s="79" t="str">
        <f aca="false">INDEX(Customers!$B$2:$B$101,MATCH($B990,Customers!$A$2:$A$101,0))</f>
        <v>Advika Dhar</v>
      </c>
      <c r="R990" s="79" t="n">
        <f aca="false">MONTH($E990)</f>
        <v>2</v>
      </c>
      <c r="S990" s="79" t="str">
        <f aca="false">INDEX(Lists!$B$2:$B$13,$R990)</f>
        <v>February</v>
      </c>
      <c r="T990" s="79" t="n">
        <f aca="false">HOUR($F990)</f>
        <v>8</v>
      </c>
      <c r="U990" s="79" t="n">
        <f aca="false">WEEKDAY($E990,2)</f>
        <v>1</v>
      </c>
      <c r="V990" s="79" t="str">
        <f aca="false">INDEX(Lists!$F$2:$F$8,$U990)</f>
        <v>Monday</v>
      </c>
      <c r="W990" s="81" t="n">
        <f aca="false">($G990+$H990)-($E990+$F990)</f>
        <v>8.74209490740741</v>
      </c>
      <c r="X990" s="79" t="str">
        <f aca="false">LOOKUP($M990,Lists!$G$2:$G$5,Lists!$H$2:$H$5)</f>
        <v>₹0 - 499</v>
      </c>
      <c r="Y990" s="79" t="str">
        <f aca="false">LOOKUP($W990,Lists!$I$2:$I$7,Lists!$J$2:$J$7)</f>
        <v>8 - 10 days</v>
      </c>
    </row>
    <row r="991" customFormat="false" ht="15" hidden="false" customHeight="false" outlineLevel="0" collapsed="false">
      <c r="A991" s="2" t="n">
        <v>990</v>
      </c>
      <c r="B991" s="2" t="s">
        <v>178</v>
      </c>
      <c r="C991" s="2" t="n">
        <v>42</v>
      </c>
      <c r="D991" s="2" t="n">
        <v>2</v>
      </c>
      <c r="E991" s="82" t="n">
        <v>45264</v>
      </c>
      <c r="F991" s="83" t="n">
        <v>0.930555555555556</v>
      </c>
      <c r="G991" s="82" t="n">
        <v>45268</v>
      </c>
      <c r="H991" s="83" t="n">
        <v>0.998553240740741</v>
      </c>
      <c r="I991" s="2" t="s">
        <v>171</v>
      </c>
      <c r="J991" s="2" t="s">
        <v>165</v>
      </c>
      <c r="K991" s="46" t="str">
        <f aca="false">INDEX(Products!$B$2:$B$71,MATCH($C991,Products!$A$2:$A$71,0))</f>
        <v>Expedita Gift</v>
      </c>
      <c r="L991" s="46" t="str">
        <f aca="false">INDEX(Products!$C$2:$C$71,MATCH($C991,Products!$A$2:$A$71,0))</f>
        <v>Sweets</v>
      </c>
      <c r="M991" s="84" t="n">
        <f aca="false">INDEX(Products!$D$2:$D$71,MATCH($C991,Products!$A$2:$A$71,0))</f>
        <v>1744</v>
      </c>
      <c r="N991" s="84" t="n">
        <f aca="false">$D991*$M991</f>
        <v>3488</v>
      </c>
      <c r="O991" s="46" t="str">
        <f aca="false">INDEX(Customers!$C$2:$C$101,MATCH($B991,Customers!$A$2:$A$101,0))</f>
        <v>Mehsana</v>
      </c>
      <c r="P991" s="46" t="str">
        <f aca="false">INDEX(Customers!$F$2:$F$101,MATCH($B991,Customers!$A$2:$A$101,0))</f>
        <v>Male</v>
      </c>
      <c r="Q991" s="46" t="str">
        <f aca="false">INDEX(Customers!$B$2:$B$101,MATCH($B991,Customers!$A$2:$A$101,0))</f>
        <v>Siya Talwar</v>
      </c>
      <c r="R991" s="46" t="n">
        <f aca="false">MONTH($E991)</f>
        <v>12</v>
      </c>
      <c r="S991" s="46" t="str">
        <f aca="false">INDEX(Lists!$B$2:$B$13,$R991)</f>
        <v>December</v>
      </c>
      <c r="T991" s="46" t="n">
        <f aca="false">HOUR($F991)</f>
        <v>22</v>
      </c>
      <c r="U991" s="46" t="n">
        <f aca="false">WEEKDAY($E991,2)</f>
        <v>1</v>
      </c>
      <c r="V991" s="46" t="str">
        <f aca="false">INDEX(Lists!$F$2:$F$8,$U991)</f>
        <v>Monday</v>
      </c>
      <c r="W991" s="85" t="n">
        <f aca="false">($G991+$H991)-($E991+$F991)</f>
        <v>4.06799768518519</v>
      </c>
      <c r="X991" s="46" t="str">
        <f aca="false">LOOKUP($M991,Lists!$G$2:$G$5,Lists!$H$2:$H$5)</f>
        <v>₹1,500 - 2,000</v>
      </c>
      <c r="Y991" s="46" t="str">
        <f aca="false">LOOKUP($W991,Lists!$I$2:$I$7,Lists!$J$2:$J$7)</f>
        <v>4 - 6 days</v>
      </c>
    </row>
    <row r="992" customFormat="false" ht="15" hidden="false" customHeight="false" outlineLevel="0" collapsed="false">
      <c r="A992" s="7" t="n">
        <v>991</v>
      </c>
      <c r="B992" s="7" t="s">
        <v>266</v>
      </c>
      <c r="C992" s="7" t="n">
        <v>36</v>
      </c>
      <c r="D992" s="7" t="n">
        <v>5</v>
      </c>
      <c r="E992" s="77" t="n">
        <v>44966</v>
      </c>
      <c r="F992" s="78" t="n">
        <v>0.625833333333333</v>
      </c>
      <c r="G992" s="77" t="n">
        <v>44972</v>
      </c>
      <c r="H992" s="78" t="n">
        <v>0.720092592592593</v>
      </c>
      <c r="I992" s="7" t="s">
        <v>199</v>
      </c>
      <c r="J992" s="7" t="s">
        <v>31</v>
      </c>
      <c r="K992" s="79" t="str">
        <f aca="false">INDEX(Products!$B$2:$B$71,MATCH($C992,Products!$A$2:$A$71,0))</f>
        <v>Cum Gift</v>
      </c>
      <c r="L992" s="79" t="str">
        <f aca="false">INDEX(Products!$C$2:$C$71,MATCH($C992,Products!$A$2:$A$71,0))</f>
        <v>Plants</v>
      </c>
      <c r="M992" s="80" t="n">
        <f aca="false">INDEX(Products!$D$2:$D$71,MATCH($C992,Products!$A$2:$A$71,0))</f>
        <v>203</v>
      </c>
      <c r="N992" s="80" t="n">
        <f aca="false">$D992*$M992</f>
        <v>1015</v>
      </c>
      <c r="O992" s="79" t="str">
        <f aca="false">INDEX(Customers!$C$2:$C$101,MATCH($B992,Customers!$A$2:$A$101,0))</f>
        <v>Bidhannagar</v>
      </c>
      <c r="P992" s="79" t="str">
        <f aca="false">INDEX(Customers!$F$2:$F$101,MATCH($B992,Customers!$A$2:$A$101,0))</f>
        <v>Female</v>
      </c>
      <c r="Q992" s="79" t="str">
        <f aca="false">INDEX(Customers!$B$2:$B$101,MATCH($B992,Customers!$A$2:$A$101,0))</f>
        <v>Umang Ahuja</v>
      </c>
      <c r="R992" s="79" t="n">
        <f aca="false">MONTH($E992)</f>
        <v>2</v>
      </c>
      <c r="S992" s="79" t="str">
        <f aca="false">INDEX(Lists!$B$2:$B$13,$R992)</f>
        <v>February</v>
      </c>
      <c r="T992" s="79" t="n">
        <f aca="false">HOUR($F992)</f>
        <v>15</v>
      </c>
      <c r="U992" s="79" t="n">
        <f aca="false">WEEKDAY($E992,2)</f>
        <v>4</v>
      </c>
      <c r="V992" s="79" t="str">
        <f aca="false">INDEX(Lists!$F$2:$F$8,$U992)</f>
        <v>Thursday</v>
      </c>
      <c r="W992" s="81" t="n">
        <f aca="false">($G992+$H992)-($E992+$F992)</f>
        <v>6.09425925925926</v>
      </c>
      <c r="X992" s="79" t="str">
        <f aca="false">LOOKUP($M992,Lists!$G$2:$G$5,Lists!$H$2:$H$5)</f>
        <v>₹0 - 499</v>
      </c>
      <c r="Y992" s="79" t="str">
        <f aca="false">LOOKUP($W992,Lists!$I$2:$I$7,Lists!$J$2:$J$7)</f>
        <v>6 - 8 days</v>
      </c>
    </row>
    <row r="993" customFormat="false" ht="15" hidden="false" customHeight="false" outlineLevel="0" collapsed="false">
      <c r="A993" s="2" t="n">
        <v>992</v>
      </c>
      <c r="B993" s="2" t="s">
        <v>369</v>
      </c>
      <c r="C993" s="2" t="n">
        <v>43</v>
      </c>
      <c r="D993" s="2" t="n">
        <v>3</v>
      </c>
      <c r="E993" s="82" t="n">
        <v>45232</v>
      </c>
      <c r="F993" s="83" t="n">
        <v>0.58962962962963</v>
      </c>
      <c r="G993" s="82" t="n">
        <v>45233</v>
      </c>
      <c r="H993" s="83" t="n">
        <v>0.814340277777778</v>
      </c>
      <c r="I993" s="2" t="s">
        <v>312</v>
      </c>
      <c r="J993" s="2" t="s">
        <v>32</v>
      </c>
      <c r="K993" s="46" t="str">
        <f aca="false">INDEX(Products!$B$2:$B$71,MATCH($C993,Products!$A$2:$A$71,0))</f>
        <v>Quisquam Pack</v>
      </c>
      <c r="L993" s="46" t="str">
        <f aca="false">INDEX(Products!$C$2:$C$71,MATCH($C993,Products!$A$2:$A$71,0))</f>
        <v>Raksha Bandhan</v>
      </c>
      <c r="M993" s="84" t="n">
        <f aca="false">INDEX(Products!$D$2:$D$71,MATCH($C993,Products!$A$2:$A$71,0))</f>
        <v>750</v>
      </c>
      <c r="N993" s="84" t="n">
        <f aca="false">$D993*$M993</f>
        <v>2250</v>
      </c>
      <c r="O993" s="46" t="str">
        <f aca="false">INDEX(Customers!$C$2:$C$101,MATCH($B993,Customers!$A$2:$A$101,0))</f>
        <v>New Delhi</v>
      </c>
      <c r="P993" s="46" t="str">
        <f aca="false">INDEX(Customers!$F$2:$F$101,MATCH($B993,Customers!$A$2:$A$101,0))</f>
        <v>Female</v>
      </c>
      <c r="Q993" s="46" t="str">
        <f aca="false">INDEX(Customers!$B$2:$B$101,MATCH($B993,Customers!$A$2:$A$101,0))</f>
        <v>Adira Rajan</v>
      </c>
      <c r="R993" s="46" t="n">
        <f aca="false">MONTH($E993)</f>
        <v>11</v>
      </c>
      <c r="S993" s="46" t="str">
        <f aca="false">INDEX(Lists!$B$2:$B$13,$R993)</f>
        <v>November</v>
      </c>
      <c r="T993" s="46" t="n">
        <f aca="false">HOUR($F993)</f>
        <v>14</v>
      </c>
      <c r="U993" s="46" t="n">
        <f aca="false">WEEKDAY($E993,2)</f>
        <v>4</v>
      </c>
      <c r="V993" s="46" t="str">
        <f aca="false">INDEX(Lists!$F$2:$F$8,$U993)</f>
        <v>Thursday</v>
      </c>
      <c r="W993" s="85" t="n">
        <f aca="false">($G993+$H993)-($E993+$F993)</f>
        <v>1.22471064814815</v>
      </c>
      <c r="X993" s="46" t="str">
        <f aca="false">LOOKUP($M993,Lists!$G$2:$G$5,Lists!$H$2:$H$5)</f>
        <v>₹500 - 999</v>
      </c>
      <c r="Y993" s="46" t="str">
        <f aca="false">LOOKUP($W993,Lists!$I$2:$I$7,Lists!$J$2:$J$7)</f>
        <v>0 - 2 days</v>
      </c>
    </row>
    <row r="994" customFormat="false" ht="15" hidden="false" customHeight="false" outlineLevel="0" collapsed="false">
      <c r="A994" s="7" t="n">
        <v>993</v>
      </c>
      <c r="B994" s="7" t="s">
        <v>344</v>
      </c>
      <c r="C994" s="7" t="n">
        <v>61</v>
      </c>
      <c r="D994" s="7" t="n">
        <v>5</v>
      </c>
      <c r="E994" s="77" t="n">
        <v>45207</v>
      </c>
      <c r="F994" s="78" t="n">
        <v>0.898680555555556</v>
      </c>
      <c r="G994" s="77" t="n">
        <v>45213</v>
      </c>
      <c r="H994" s="78" t="n">
        <v>0.663865740740741</v>
      </c>
      <c r="I994" s="7" t="s">
        <v>459</v>
      </c>
      <c r="J994" s="7" t="s">
        <v>168</v>
      </c>
      <c r="K994" s="79" t="str">
        <f aca="false">INDEX(Products!$B$2:$B$71,MATCH($C994,Products!$A$2:$A$71,0))</f>
        <v>Iusto Box</v>
      </c>
      <c r="L994" s="79" t="str">
        <f aca="false">INDEX(Products!$C$2:$C$71,MATCH($C994,Products!$A$2:$A$71,0))</f>
        <v>Plants</v>
      </c>
      <c r="M994" s="80" t="n">
        <f aca="false">INDEX(Products!$D$2:$D$71,MATCH($C994,Products!$A$2:$A$71,0))</f>
        <v>810</v>
      </c>
      <c r="N994" s="80" t="n">
        <f aca="false">$D994*$M994</f>
        <v>4050</v>
      </c>
      <c r="O994" s="79" t="str">
        <f aca="false">INDEX(Customers!$C$2:$C$101,MATCH($B994,Customers!$A$2:$A$101,0))</f>
        <v>Ahmednagar</v>
      </c>
      <c r="P994" s="79" t="str">
        <f aca="false">INDEX(Customers!$F$2:$F$101,MATCH($B994,Customers!$A$2:$A$101,0))</f>
        <v>Female</v>
      </c>
      <c r="Q994" s="79" t="str">
        <f aca="false">INDEX(Customers!$B$2:$B$101,MATCH($B994,Customers!$A$2:$A$101,0))</f>
        <v>Anya Chaudhari</v>
      </c>
      <c r="R994" s="79" t="n">
        <f aca="false">MONTH($E994)</f>
        <v>10</v>
      </c>
      <c r="S994" s="79" t="str">
        <f aca="false">INDEX(Lists!$B$2:$B$13,$R994)</f>
        <v>October</v>
      </c>
      <c r="T994" s="79" t="n">
        <f aca="false">HOUR($F994)</f>
        <v>21</v>
      </c>
      <c r="U994" s="79" t="n">
        <f aca="false">WEEKDAY($E994,2)</f>
        <v>7</v>
      </c>
      <c r="V994" s="79" t="str">
        <f aca="false">INDEX(Lists!$F$2:$F$8,$U994)</f>
        <v>Sunday</v>
      </c>
      <c r="W994" s="81" t="n">
        <f aca="false">($G994+$H994)-($E994+$F994)</f>
        <v>5.76518518518519</v>
      </c>
      <c r="X994" s="79" t="str">
        <f aca="false">LOOKUP($M994,Lists!$G$2:$G$5,Lists!$H$2:$H$5)</f>
        <v>₹500 - 999</v>
      </c>
      <c r="Y994" s="79" t="str">
        <f aca="false">LOOKUP($W994,Lists!$I$2:$I$7,Lists!$J$2:$J$7)</f>
        <v>4 - 6 days</v>
      </c>
    </row>
    <row r="995" customFormat="false" ht="15" hidden="false" customHeight="false" outlineLevel="0" collapsed="false">
      <c r="A995" s="2" t="n">
        <v>994</v>
      </c>
      <c r="B995" s="2" t="s">
        <v>133</v>
      </c>
      <c r="C995" s="2" t="n">
        <v>68</v>
      </c>
      <c r="D995" s="2" t="n">
        <v>2</v>
      </c>
      <c r="E995" s="82" t="n">
        <v>44970</v>
      </c>
      <c r="F995" s="83" t="n">
        <v>0.947638888888889</v>
      </c>
      <c r="G995" s="82" t="n">
        <v>44978</v>
      </c>
      <c r="H995" s="83" t="n">
        <v>0.281597222222222</v>
      </c>
      <c r="I995" s="2" t="s">
        <v>299</v>
      </c>
      <c r="J995" s="2" t="s">
        <v>179</v>
      </c>
      <c r="K995" s="46" t="str">
        <f aca="false">INDEX(Products!$B$2:$B$71,MATCH($C995,Products!$A$2:$A$71,0))</f>
        <v>Quas Gift</v>
      </c>
      <c r="L995" s="46" t="str">
        <f aca="false">INDEX(Products!$C$2:$C$71,MATCH($C995,Products!$A$2:$A$71,0))</f>
        <v>Soft Toys</v>
      </c>
      <c r="M995" s="84" t="n">
        <f aca="false">INDEX(Products!$D$2:$D$71,MATCH($C995,Products!$A$2:$A$71,0))</f>
        <v>597</v>
      </c>
      <c r="N995" s="84" t="n">
        <f aca="false">$D995*$M995</f>
        <v>1194</v>
      </c>
      <c r="O995" s="46" t="str">
        <f aca="false">INDEX(Customers!$C$2:$C$101,MATCH($B995,Customers!$A$2:$A$101,0))</f>
        <v>Miryalaguda</v>
      </c>
      <c r="P995" s="46" t="str">
        <f aca="false">INDEX(Customers!$F$2:$F$101,MATCH($B995,Customers!$A$2:$A$101,0))</f>
        <v>Male</v>
      </c>
      <c r="Q995" s="46" t="str">
        <f aca="false">INDEX(Customers!$B$2:$B$101,MATCH($B995,Customers!$A$2:$A$101,0))</f>
        <v>Tarini Bava</v>
      </c>
      <c r="R995" s="46" t="n">
        <f aca="false">MONTH($E995)</f>
        <v>2</v>
      </c>
      <c r="S995" s="46" t="str">
        <f aca="false">INDEX(Lists!$B$2:$B$13,$R995)</f>
        <v>February</v>
      </c>
      <c r="T995" s="46" t="n">
        <f aca="false">HOUR($F995)</f>
        <v>22</v>
      </c>
      <c r="U995" s="46" t="n">
        <f aca="false">WEEKDAY($E995,2)</f>
        <v>1</v>
      </c>
      <c r="V995" s="46" t="str">
        <f aca="false">INDEX(Lists!$F$2:$F$8,$U995)</f>
        <v>Monday</v>
      </c>
      <c r="W995" s="85" t="n">
        <f aca="false">($G995+$H995)-($E995+$F995)</f>
        <v>7.33395833333333</v>
      </c>
      <c r="X995" s="46" t="str">
        <f aca="false">LOOKUP($M995,Lists!$G$2:$G$5,Lists!$H$2:$H$5)</f>
        <v>₹500 - 999</v>
      </c>
      <c r="Y995" s="46" t="str">
        <f aca="false">LOOKUP($W995,Lists!$I$2:$I$7,Lists!$J$2:$J$7)</f>
        <v>6 - 8 days</v>
      </c>
    </row>
    <row r="996" customFormat="false" ht="15" hidden="false" customHeight="false" outlineLevel="0" collapsed="false">
      <c r="A996" s="7" t="n">
        <v>995</v>
      </c>
      <c r="B996" s="7" t="s">
        <v>363</v>
      </c>
      <c r="C996" s="7" t="n">
        <v>57</v>
      </c>
      <c r="D996" s="7" t="n">
        <v>2</v>
      </c>
      <c r="E996" s="77" t="n">
        <v>45127</v>
      </c>
      <c r="F996" s="78" t="n">
        <v>0.0282175925925926</v>
      </c>
      <c r="G996" s="77" t="n">
        <v>45134</v>
      </c>
      <c r="H996" s="78" t="n">
        <v>0.487534722222222</v>
      </c>
      <c r="I996" s="7" t="s">
        <v>497</v>
      </c>
      <c r="J996" s="7" t="s">
        <v>31</v>
      </c>
      <c r="K996" s="79" t="str">
        <f aca="false">INDEX(Products!$B$2:$B$71,MATCH($C996,Products!$A$2:$A$71,0))</f>
        <v>Voluptatem Box</v>
      </c>
      <c r="L996" s="79" t="str">
        <f aca="false">INDEX(Products!$C$2:$C$71,MATCH($C996,Products!$A$2:$A$71,0))</f>
        <v>Colors</v>
      </c>
      <c r="M996" s="80" t="n">
        <f aca="false">INDEX(Products!$D$2:$D$71,MATCH($C996,Products!$A$2:$A$71,0))</f>
        <v>1582</v>
      </c>
      <c r="N996" s="80" t="n">
        <f aca="false">$D996*$M996</f>
        <v>3164</v>
      </c>
      <c r="O996" s="79" t="str">
        <f aca="false">INDEX(Customers!$C$2:$C$101,MATCH($B996,Customers!$A$2:$A$101,0))</f>
        <v>Nellore</v>
      </c>
      <c r="P996" s="79" t="str">
        <f aca="false">INDEX(Customers!$F$2:$F$101,MATCH($B996,Customers!$A$2:$A$101,0))</f>
        <v>Female</v>
      </c>
      <c r="Q996" s="79" t="str">
        <f aca="false">INDEX(Customers!$B$2:$B$101,MATCH($B996,Customers!$A$2:$A$101,0))</f>
        <v>Oorja Dey</v>
      </c>
      <c r="R996" s="79" t="n">
        <f aca="false">MONTH($E996)</f>
        <v>7</v>
      </c>
      <c r="S996" s="79" t="str">
        <f aca="false">INDEX(Lists!$B$2:$B$13,$R996)</f>
        <v>July</v>
      </c>
      <c r="T996" s="79" t="n">
        <f aca="false">HOUR($F996)</f>
        <v>0</v>
      </c>
      <c r="U996" s="79" t="n">
        <f aca="false">WEEKDAY($E996,2)</f>
        <v>4</v>
      </c>
      <c r="V996" s="79" t="str">
        <f aca="false">INDEX(Lists!$F$2:$F$8,$U996)</f>
        <v>Thursday</v>
      </c>
      <c r="W996" s="81" t="n">
        <f aca="false">($G996+$H996)-($E996+$F996)</f>
        <v>7.45931712962963</v>
      </c>
      <c r="X996" s="79" t="str">
        <f aca="false">LOOKUP($M996,Lists!$G$2:$G$5,Lists!$H$2:$H$5)</f>
        <v>₹1,500 - 2,000</v>
      </c>
      <c r="Y996" s="79" t="str">
        <f aca="false">LOOKUP($W996,Lists!$I$2:$I$7,Lists!$J$2:$J$7)</f>
        <v>6 - 8 days</v>
      </c>
    </row>
    <row r="997" customFormat="false" ht="15" hidden="false" customHeight="false" outlineLevel="0" collapsed="false">
      <c r="A997" s="2" t="n">
        <v>996</v>
      </c>
      <c r="B997" s="2" t="s">
        <v>331</v>
      </c>
      <c r="C997" s="2" t="n">
        <v>25</v>
      </c>
      <c r="D997" s="2" t="n">
        <v>5</v>
      </c>
      <c r="E997" s="82" t="n">
        <v>45059</v>
      </c>
      <c r="F997" s="83" t="n">
        <v>0.288298611111111</v>
      </c>
      <c r="G997" s="82" t="n">
        <v>45065</v>
      </c>
      <c r="H997" s="83" t="n">
        <v>0.237037037037037</v>
      </c>
      <c r="I997" s="2" t="s">
        <v>368</v>
      </c>
      <c r="J997" s="2" t="s">
        <v>168</v>
      </c>
      <c r="K997" s="46" t="str">
        <f aca="false">INDEX(Products!$B$2:$B$71,MATCH($C997,Products!$A$2:$A$71,0))</f>
        <v>Qui Gift</v>
      </c>
      <c r="L997" s="46" t="str">
        <f aca="false">INDEX(Products!$C$2:$C$71,MATCH($C997,Products!$A$2:$A$71,0))</f>
        <v>Plants</v>
      </c>
      <c r="M997" s="84" t="n">
        <f aca="false">INDEX(Products!$D$2:$D$71,MATCH($C997,Products!$A$2:$A$71,0))</f>
        <v>1202</v>
      </c>
      <c r="N997" s="84" t="n">
        <f aca="false">$D997*$M997</f>
        <v>6010</v>
      </c>
      <c r="O997" s="46" t="str">
        <f aca="false">INDEX(Customers!$C$2:$C$101,MATCH($B997,Customers!$A$2:$A$101,0))</f>
        <v>Panchkula</v>
      </c>
      <c r="P997" s="46" t="str">
        <f aca="false">INDEX(Customers!$F$2:$F$101,MATCH($B997,Customers!$A$2:$A$101,0))</f>
        <v>Female</v>
      </c>
      <c r="Q997" s="46" t="str">
        <f aca="false">INDEX(Customers!$B$2:$B$101,MATCH($B997,Customers!$A$2:$A$101,0))</f>
        <v>Gokul Ahluwalia</v>
      </c>
      <c r="R997" s="46" t="n">
        <f aca="false">MONTH($E997)</f>
        <v>5</v>
      </c>
      <c r="S997" s="46" t="str">
        <f aca="false">INDEX(Lists!$B$2:$B$13,$R997)</f>
        <v>May</v>
      </c>
      <c r="T997" s="46" t="n">
        <f aca="false">HOUR($F997)</f>
        <v>6</v>
      </c>
      <c r="U997" s="46" t="n">
        <f aca="false">WEEKDAY($E997,2)</f>
        <v>6</v>
      </c>
      <c r="V997" s="46" t="str">
        <f aca="false">INDEX(Lists!$F$2:$F$8,$U997)</f>
        <v>Saturday</v>
      </c>
      <c r="W997" s="85" t="n">
        <f aca="false">($G997+$H997)-($E997+$F997)</f>
        <v>5.94873842592593</v>
      </c>
      <c r="X997" s="46" t="str">
        <f aca="false">LOOKUP($M997,Lists!$G$2:$G$5,Lists!$H$2:$H$5)</f>
        <v>₹1,000 - 1,499</v>
      </c>
      <c r="Y997" s="46" t="str">
        <f aca="false">LOOKUP($W997,Lists!$I$2:$I$7,Lists!$J$2:$J$7)</f>
        <v>4 - 6 days</v>
      </c>
    </row>
    <row r="998" customFormat="false" ht="15" hidden="false" customHeight="false" outlineLevel="0" collapsed="false">
      <c r="A998" s="7" t="n">
        <v>997</v>
      </c>
      <c r="B998" s="7" t="s">
        <v>388</v>
      </c>
      <c r="C998" s="7" t="n">
        <v>19</v>
      </c>
      <c r="D998" s="7" t="n">
        <v>2</v>
      </c>
      <c r="E998" s="77" t="n">
        <v>44961</v>
      </c>
      <c r="F998" s="78" t="n">
        <v>0.186423611111111</v>
      </c>
      <c r="G998" s="77" t="n">
        <v>44967</v>
      </c>
      <c r="H998" s="78" t="n">
        <v>0.493333333333333</v>
      </c>
      <c r="I998" s="7" t="s">
        <v>604</v>
      </c>
      <c r="J998" s="7" t="s">
        <v>179</v>
      </c>
      <c r="K998" s="79" t="str">
        <f aca="false">INDEX(Products!$B$2:$B$71,MATCH($C998,Products!$A$2:$A$71,0))</f>
        <v>Iure Gift</v>
      </c>
      <c r="L998" s="79" t="str">
        <f aca="false">INDEX(Products!$C$2:$C$71,MATCH($C998,Products!$A$2:$A$71,0))</f>
        <v>Mugs</v>
      </c>
      <c r="M998" s="80" t="n">
        <f aca="false">INDEX(Products!$D$2:$D$71,MATCH($C998,Products!$A$2:$A$71,0))</f>
        <v>1234</v>
      </c>
      <c r="N998" s="80" t="n">
        <f aca="false">$D998*$M998</f>
        <v>2468</v>
      </c>
      <c r="O998" s="79" t="str">
        <f aca="false">INDEX(Customers!$C$2:$C$101,MATCH($B998,Customers!$A$2:$A$101,0))</f>
        <v>Cuttack</v>
      </c>
      <c r="P998" s="79" t="str">
        <f aca="false">INDEX(Customers!$F$2:$F$101,MATCH($B998,Customers!$A$2:$A$101,0))</f>
        <v>Male</v>
      </c>
      <c r="Q998" s="79" t="str">
        <f aca="false">INDEX(Customers!$B$2:$B$101,MATCH($B998,Customers!$A$2:$A$101,0))</f>
        <v>Navya Golla</v>
      </c>
      <c r="R998" s="79" t="n">
        <f aca="false">MONTH($E998)</f>
        <v>2</v>
      </c>
      <c r="S998" s="79" t="str">
        <f aca="false">INDEX(Lists!$B$2:$B$13,$R998)</f>
        <v>February</v>
      </c>
      <c r="T998" s="79" t="n">
        <f aca="false">HOUR($F998)</f>
        <v>4</v>
      </c>
      <c r="U998" s="79" t="n">
        <f aca="false">WEEKDAY($E998,2)</f>
        <v>6</v>
      </c>
      <c r="V998" s="79" t="str">
        <f aca="false">INDEX(Lists!$F$2:$F$8,$U998)</f>
        <v>Saturday</v>
      </c>
      <c r="W998" s="81" t="n">
        <f aca="false">($G998+$H998)-($E998+$F998)</f>
        <v>6.30690972222222</v>
      </c>
      <c r="X998" s="79" t="str">
        <f aca="false">LOOKUP($M998,Lists!$G$2:$G$5,Lists!$H$2:$H$5)</f>
        <v>₹1,000 - 1,499</v>
      </c>
      <c r="Y998" s="79" t="str">
        <f aca="false">LOOKUP($W998,Lists!$I$2:$I$7,Lists!$J$2:$J$7)</f>
        <v>6 - 8 days</v>
      </c>
    </row>
    <row r="999" customFormat="false" ht="15" hidden="false" customHeight="false" outlineLevel="0" collapsed="false">
      <c r="A999" s="2" t="n">
        <v>998</v>
      </c>
      <c r="B999" s="2" t="s">
        <v>242</v>
      </c>
      <c r="C999" s="2" t="n">
        <v>44</v>
      </c>
      <c r="D999" s="2" t="n">
        <v>1</v>
      </c>
      <c r="E999" s="82" t="n">
        <v>45236</v>
      </c>
      <c r="F999" s="83" t="n">
        <v>0.678599537037037</v>
      </c>
      <c r="G999" s="82" t="n">
        <v>45244</v>
      </c>
      <c r="H999" s="83" t="n">
        <v>0.189872685185185</v>
      </c>
      <c r="I999" s="2" t="s">
        <v>193</v>
      </c>
      <c r="J999" s="2" t="s">
        <v>32</v>
      </c>
      <c r="K999" s="46" t="str">
        <f aca="false">INDEX(Products!$B$2:$B$71,MATCH($C999,Products!$A$2:$A$71,0))</f>
        <v>Dolorum Set</v>
      </c>
      <c r="L999" s="46" t="str">
        <f aca="false">INDEX(Products!$C$2:$C$71,MATCH($C999,Products!$A$2:$A$71,0))</f>
        <v>Plants</v>
      </c>
      <c r="M999" s="84" t="n">
        <f aca="false">INDEX(Products!$D$2:$D$71,MATCH($C999,Products!$A$2:$A$71,0))</f>
        <v>794</v>
      </c>
      <c r="N999" s="84" t="n">
        <f aca="false">$D999*$M999</f>
        <v>794</v>
      </c>
      <c r="O999" s="46" t="str">
        <f aca="false">INDEX(Customers!$C$2:$C$101,MATCH($B999,Customers!$A$2:$A$101,0))</f>
        <v>Guna</v>
      </c>
      <c r="P999" s="46" t="str">
        <f aca="false">INDEX(Customers!$F$2:$F$101,MATCH($B999,Customers!$A$2:$A$101,0))</f>
        <v>Male</v>
      </c>
      <c r="Q999" s="46" t="str">
        <f aca="false">INDEX(Customers!$B$2:$B$101,MATCH($B999,Customers!$A$2:$A$101,0))</f>
        <v>Tara Kannan</v>
      </c>
      <c r="R999" s="46" t="n">
        <f aca="false">MONTH($E999)</f>
        <v>11</v>
      </c>
      <c r="S999" s="46" t="str">
        <f aca="false">INDEX(Lists!$B$2:$B$13,$R999)</f>
        <v>November</v>
      </c>
      <c r="T999" s="46" t="n">
        <f aca="false">HOUR($F999)</f>
        <v>16</v>
      </c>
      <c r="U999" s="46" t="n">
        <f aca="false">WEEKDAY($E999,2)</f>
        <v>1</v>
      </c>
      <c r="V999" s="46" t="str">
        <f aca="false">INDEX(Lists!$F$2:$F$8,$U999)</f>
        <v>Monday</v>
      </c>
      <c r="W999" s="85" t="n">
        <f aca="false">($G999+$H999)-($E999+$F999)</f>
        <v>7.51127314814815</v>
      </c>
      <c r="X999" s="46" t="str">
        <f aca="false">LOOKUP($M999,Lists!$G$2:$G$5,Lists!$H$2:$H$5)</f>
        <v>₹500 - 999</v>
      </c>
      <c r="Y999" s="46" t="str">
        <f aca="false">LOOKUP($W999,Lists!$I$2:$I$7,Lists!$J$2:$J$7)</f>
        <v>6 - 8 days</v>
      </c>
    </row>
    <row r="1000" customFormat="false" ht="15" hidden="false" customHeight="false" outlineLevel="0" collapsed="false">
      <c r="A1000" s="7" t="n">
        <v>999</v>
      </c>
      <c r="B1000" s="7" t="s">
        <v>266</v>
      </c>
      <c r="C1000" s="7" t="n">
        <v>52</v>
      </c>
      <c r="D1000" s="7" t="n">
        <v>2</v>
      </c>
      <c r="E1000" s="77" t="n">
        <v>44963</v>
      </c>
      <c r="F1000" s="78" t="n">
        <v>0.945011574074074</v>
      </c>
      <c r="G1000" s="77" t="n">
        <v>44967</v>
      </c>
      <c r="H1000" s="78" t="n">
        <v>0.520381944444444</v>
      </c>
      <c r="I1000" s="7" t="s">
        <v>490</v>
      </c>
      <c r="J1000" s="7" t="s">
        <v>179</v>
      </c>
      <c r="K1000" s="79" t="str">
        <f aca="false">INDEX(Products!$B$2:$B$71,MATCH($C1000,Products!$A$2:$A$71,0))</f>
        <v>Dolorum Box</v>
      </c>
      <c r="L1000" s="79" t="str">
        <f aca="false">INDEX(Products!$C$2:$C$71,MATCH($C1000,Products!$A$2:$A$71,0))</f>
        <v>Raksha Bandhan</v>
      </c>
      <c r="M1000" s="80" t="n">
        <f aca="false">INDEX(Products!$D$2:$D$71,MATCH($C1000,Products!$A$2:$A$71,0))</f>
        <v>236</v>
      </c>
      <c r="N1000" s="80" t="n">
        <f aca="false">$D1000*$M1000</f>
        <v>472</v>
      </c>
      <c r="O1000" s="79" t="str">
        <f aca="false">INDEX(Customers!$C$2:$C$101,MATCH($B1000,Customers!$A$2:$A$101,0))</f>
        <v>Bidhannagar</v>
      </c>
      <c r="P1000" s="79" t="str">
        <f aca="false">INDEX(Customers!$F$2:$F$101,MATCH($B1000,Customers!$A$2:$A$101,0))</f>
        <v>Female</v>
      </c>
      <c r="Q1000" s="79" t="str">
        <f aca="false">INDEX(Customers!$B$2:$B$101,MATCH($B1000,Customers!$A$2:$A$101,0))</f>
        <v>Umang Ahuja</v>
      </c>
      <c r="R1000" s="79" t="n">
        <f aca="false">MONTH($E1000)</f>
        <v>2</v>
      </c>
      <c r="S1000" s="79" t="str">
        <f aca="false">INDEX(Lists!$B$2:$B$13,$R1000)</f>
        <v>February</v>
      </c>
      <c r="T1000" s="79" t="n">
        <f aca="false">HOUR($F1000)</f>
        <v>22</v>
      </c>
      <c r="U1000" s="79" t="n">
        <f aca="false">WEEKDAY($E1000,2)</f>
        <v>1</v>
      </c>
      <c r="V1000" s="79" t="str">
        <f aca="false">INDEX(Lists!$F$2:$F$8,$U1000)</f>
        <v>Monday</v>
      </c>
      <c r="W1000" s="81" t="n">
        <f aca="false">($G1000+$H1000)-($E1000+$F1000)</f>
        <v>3.57537037037037</v>
      </c>
      <c r="X1000" s="79" t="str">
        <f aca="false">LOOKUP($M1000,Lists!$G$2:$G$5,Lists!$H$2:$H$5)</f>
        <v>₹0 - 499</v>
      </c>
      <c r="Y1000" s="79" t="str">
        <f aca="false">LOOKUP($W1000,Lists!$I$2:$I$7,Lists!$J$2:$J$7)</f>
        <v>2 - 4 days</v>
      </c>
    </row>
    <row r="1001" customFormat="false" ht="15" hidden="false" customHeight="false" outlineLevel="0" collapsed="false">
      <c r="A1001" s="2" t="n">
        <v>1000</v>
      </c>
      <c r="B1001" s="2" t="s">
        <v>157</v>
      </c>
      <c r="C1001" s="2" t="n">
        <v>27</v>
      </c>
      <c r="D1001" s="2" t="n">
        <v>4</v>
      </c>
      <c r="E1001" s="82" t="n">
        <v>45163</v>
      </c>
      <c r="F1001" s="83" t="n">
        <v>0.0574421296296296</v>
      </c>
      <c r="G1001" s="82" t="n">
        <v>45169</v>
      </c>
      <c r="H1001" s="83" t="n">
        <v>0.290266203703704</v>
      </c>
      <c r="I1001" s="2" t="s">
        <v>582</v>
      </c>
      <c r="J1001" s="2" t="s">
        <v>40</v>
      </c>
      <c r="K1001" s="46" t="str">
        <f aca="false">INDEX(Products!$B$2:$B$71,MATCH($C1001,Products!$A$2:$A$71,0))</f>
        <v>Architecto Gift</v>
      </c>
      <c r="L1001" s="46" t="str">
        <f aca="false">INDEX(Products!$C$2:$C$71,MATCH($C1001,Products!$A$2:$A$71,0))</f>
        <v>Cake</v>
      </c>
      <c r="M1001" s="84" t="n">
        <f aca="false">INDEX(Products!$D$2:$D$71,MATCH($C1001,Products!$A$2:$A$71,0))</f>
        <v>548</v>
      </c>
      <c r="N1001" s="84" t="n">
        <f aca="false">$D1001*$M1001</f>
        <v>2192</v>
      </c>
      <c r="O1001" s="46" t="str">
        <f aca="false">INDEX(Customers!$C$2:$C$101,MATCH($B1001,Customers!$A$2:$A$101,0))</f>
        <v>Bilaspur</v>
      </c>
      <c r="P1001" s="46" t="str">
        <f aca="false">INDEX(Customers!$F$2:$F$101,MATCH($B1001,Customers!$A$2:$A$101,0))</f>
        <v>Male</v>
      </c>
      <c r="Q1001" s="46" t="str">
        <f aca="false">INDEX(Customers!$B$2:$B$101,MATCH($B1001,Customers!$A$2:$A$101,0))</f>
        <v>Onkar Mangat</v>
      </c>
      <c r="R1001" s="46" t="n">
        <f aca="false">MONTH($E1001)</f>
        <v>8</v>
      </c>
      <c r="S1001" s="46" t="str">
        <f aca="false">INDEX(Lists!$B$2:$B$13,$R1001)</f>
        <v>August</v>
      </c>
      <c r="T1001" s="46" t="n">
        <f aca="false">HOUR($F1001)</f>
        <v>1</v>
      </c>
      <c r="U1001" s="46" t="n">
        <f aca="false">WEEKDAY($E1001,2)</f>
        <v>5</v>
      </c>
      <c r="V1001" s="46" t="str">
        <f aca="false">INDEX(Lists!$F$2:$F$8,$U1001)</f>
        <v>Friday</v>
      </c>
      <c r="W1001" s="85" t="n">
        <f aca="false">($G1001+$H1001)-($E1001+$F1001)</f>
        <v>6.23282407407407</v>
      </c>
      <c r="X1001" s="46" t="str">
        <f aca="false">LOOKUP($M1001,Lists!$G$2:$G$5,Lists!$H$2:$H$5)</f>
        <v>₹500 - 999</v>
      </c>
      <c r="Y1001" s="46" t="str">
        <f aca="false">LOOKUP($W1001,Lists!$I$2:$I$7,Lists!$J$2:$J$7)</f>
        <v>6 - 8 days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8"/>
    <col collapsed="false" customWidth="true" hidden="false" outlineLevel="0" max="10" min="10" style="0" width="17"/>
  </cols>
  <sheetData>
    <row r="1" customFormat="false" ht="19.5" hidden="false" customHeight="true" outlineLevel="0" collapsed="false">
      <c r="A1" s="76" t="s">
        <v>51</v>
      </c>
      <c r="B1" s="76" t="s">
        <v>55</v>
      </c>
      <c r="C1" s="76" t="s">
        <v>59</v>
      </c>
      <c r="D1" s="76" t="s">
        <v>61</v>
      </c>
      <c r="E1" s="76" t="s">
        <v>63</v>
      </c>
      <c r="F1" s="76" t="s">
        <v>66</v>
      </c>
      <c r="G1" s="76" t="s">
        <v>69</v>
      </c>
      <c r="H1" s="76" t="s">
        <v>71</v>
      </c>
      <c r="I1" s="76" t="s">
        <v>73</v>
      </c>
      <c r="J1" s="76" t="s">
        <v>75</v>
      </c>
    </row>
    <row r="2" customFormat="false" ht="15" hidden="false" customHeight="false" outlineLevel="0" collapsed="false">
      <c r="A2" s="7" t="n">
        <v>1</v>
      </c>
      <c r="B2" s="7" t="s">
        <v>215</v>
      </c>
      <c r="C2" s="7" t="n">
        <v>67</v>
      </c>
      <c r="D2" s="7" t="n">
        <v>5</v>
      </c>
      <c r="E2" s="77" t="n">
        <v>44981</v>
      </c>
      <c r="F2" s="86" t="n">
        <v>0.99181712962963</v>
      </c>
      <c r="G2" s="77" t="n">
        <v>44990</v>
      </c>
      <c r="H2" s="86" t="n">
        <v>0.310532407407407</v>
      </c>
      <c r="I2" s="7" t="s">
        <v>201</v>
      </c>
      <c r="J2" s="7" t="s">
        <v>168</v>
      </c>
    </row>
    <row r="3" customFormat="false" ht="15" hidden="false" customHeight="false" outlineLevel="0" collapsed="false">
      <c r="A3" s="2" t="n">
        <v>2</v>
      </c>
      <c r="B3" s="2" t="s">
        <v>174</v>
      </c>
      <c r="C3" s="2" t="n">
        <v>41</v>
      </c>
      <c r="D3" s="2" t="n">
        <v>2</v>
      </c>
      <c r="E3" s="82" t="n">
        <v>45237</v>
      </c>
      <c r="F3" s="87" t="n">
        <v>0.979375</v>
      </c>
      <c r="G3" s="82" t="n">
        <v>45243</v>
      </c>
      <c r="H3" s="87" t="n">
        <v>0.302974537037037</v>
      </c>
      <c r="I3" s="2" t="s">
        <v>428</v>
      </c>
      <c r="J3" s="2" t="s">
        <v>32</v>
      </c>
    </row>
    <row r="4" customFormat="false" ht="15" hidden="false" customHeight="false" outlineLevel="0" collapsed="false">
      <c r="A4" s="7" t="n">
        <v>3</v>
      </c>
      <c r="B4" s="7" t="s">
        <v>196</v>
      </c>
      <c r="C4" s="7" t="n">
        <v>67</v>
      </c>
      <c r="D4" s="7" t="n">
        <v>5</v>
      </c>
      <c r="E4" s="77" t="n">
        <v>45121</v>
      </c>
      <c r="F4" s="86" t="n">
        <v>0.800034722222222</v>
      </c>
      <c r="G4" s="77" t="n">
        <v>45126</v>
      </c>
      <c r="H4" s="86" t="n">
        <v>0.735416666666667</v>
      </c>
      <c r="I4" s="7" t="s">
        <v>282</v>
      </c>
      <c r="J4" s="7" t="s">
        <v>168</v>
      </c>
    </row>
    <row r="5" customFormat="false" ht="15" hidden="false" customHeight="false" outlineLevel="0" collapsed="false">
      <c r="A5" s="2" t="n">
        <v>4</v>
      </c>
      <c r="B5" s="2" t="s">
        <v>157</v>
      </c>
      <c r="C5" s="2" t="n">
        <v>14</v>
      </c>
      <c r="D5" s="2" t="n">
        <v>5</v>
      </c>
      <c r="E5" s="82" t="n">
        <v>45117</v>
      </c>
      <c r="F5" s="87" t="n">
        <v>0.19755787037037</v>
      </c>
      <c r="G5" s="82" t="n">
        <v>45126</v>
      </c>
      <c r="H5" s="87" t="n">
        <v>0.27318287037037</v>
      </c>
      <c r="I5" s="2" t="s">
        <v>401</v>
      </c>
      <c r="J5" s="2" t="s">
        <v>31</v>
      </c>
    </row>
    <row r="6" customFormat="false" ht="15" hidden="false" customHeight="false" outlineLevel="0" collapsed="false">
      <c r="A6" s="7" t="n">
        <v>5</v>
      </c>
      <c r="B6" s="7" t="s">
        <v>334</v>
      </c>
      <c r="C6" s="7" t="n">
        <v>58</v>
      </c>
      <c r="D6" s="7" t="n">
        <v>2</v>
      </c>
      <c r="E6" s="77" t="n">
        <v>44968</v>
      </c>
      <c r="F6" s="86" t="n">
        <v>0.822777777777778</v>
      </c>
      <c r="G6" s="77" t="n">
        <v>44975</v>
      </c>
      <c r="H6" s="86" t="n">
        <v>0.464490740740741</v>
      </c>
      <c r="I6" s="7" t="s">
        <v>539</v>
      </c>
      <c r="J6" s="7" t="s">
        <v>179</v>
      </c>
    </row>
    <row r="7" customFormat="false" ht="15" hidden="false" customHeight="false" outlineLevel="0" collapsed="false">
      <c r="A7" s="2" t="n">
        <v>6</v>
      </c>
      <c r="B7" s="2" t="s">
        <v>224</v>
      </c>
      <c r="C7" s="2" t="n">
        <v>28</v>
      </c>
      <c r="D7" s="2" t="n">
        <v>4</v>
      </c>
      <c r="E7" s="82" t="n">
        <v>45158</v>
      </c>
      <c r="F7" s="87" t="n">
        <v>0.924710648148148</v>
      </c>
      <c r="G7" s="82" t="n">
        <v>45164</v>
      </c>
      <c r="H7" s="87" t="n">
        <v>0.796365740740741</v>
      </c>
      <c r="I7" s="2" t="s">
        <v>570</v>
      </c>
      <c r="J7" s="2" t="s">
        <v>40</v>
      </c>
    </row>
    <row r="8" customFormat="false" ht="15" hidden="false" customHeight="false" outlineLevel="0" collapsed="false">
      <c r="A8" s="7" t="n">
        <v>7</v>
      </c>
      <c r="B8" s="7" t="s">
        <v>148</v>
      </c>
      <c r="C8" s="7" t="n">
        <v>45</v>
      </c>
      <c r="D8" s="7" t="n">
        <v>2</v>
      </c>
      <c r="E8" s="77" t="n">
        <v>45054</v>
      </c>
      <c r="F8" s="86" t="n">
        <v>0.0730671296296296</v>
      </c>
      <c r="G8" s="77" t="n">
        <v>45059</v>
      </c>
      <c r="H8" s="86" t="n">
        <v>0.421724537037037</v>
      </c>
      <c r="I8" s="7" t="s">
        <v>503</v>
      </c>
      <c r="J8" s="7" t="s">
        <v>31</v>
      </c>
    </row>
    <row r="9" customFormat="false" ht="15" hidden="false" customHeight="false" outlineLevel="0" collapsed="false">
      <c r="A9" s="2" t="n">
        <v>8</v>
      </c>
      <c r="B9" s="2" t="s">
        <v>385</v>
      </c>
      <c r="C9" s="2" t="n">
        <v>43</v>
      </c>
      <c r="D9" s="2" t="n">
        <v>3</v>
      </c>
      <c r="E9" s="82" t="n">
        <v>45238</v>
      </c>
      <c r="F9" s="87" t="n">
        <v>0.805578703703704</v>
      </c>
      <c r="G9" s="82" t="n">
        <v>45244</v>
      </c>
      <c r="H9" s="87" t="n">
        <v>0.364409722222222</v>
      </c>
      <c r="I9" s="2" t="s">
        <v>494</v>
      </c>
      <c r="J9" s="2" t="s">
        <v>32</v>
      </c>
    </row>
    <row r="10" customFormat="false" ht="15" hidden="false" customHeight="false" outlineLevel="0" collapsed="false">
      <c r="A10" s="7" t="n">
        <v>9</v>
      </c>
      <c r="B10" s="7" t="s">
        <v>236</v>
      </c>
      <c r="C10" s="7" t="n">
        <v>27</v>
      </c>
      <c r="D10" s="7" t="n">
        <v>4</v>
      </c>
      <c r="E10" s="77" t="n">
        <v>45158</v>
      </c>
      <c r="F10" s="86" t="n">
        <v>0.986006944444445</v>
      </c>
      <c r="G10" s="77" t="n">
        <v>45167</v>
      </c>
      <c r="H10" s="86" t="n">
        <v>0.999930555555556</v>
      </c>
      <c r="I10" s="7" t="s">
        <v>539</v>
      </c>
      <c r="J10" s="7" t="s">
        <v>40</v>
      </c>
    </row>
    <row r="11" customFormat="false" ht="15" hidden="false" customHeight="false" outlineLevel="0" collapsed="false">
      <c r="A11" s="2" t="n">
        <v>10</v>
      </c>
      <c r="B11" s="2" t="s">
        <v>390</v>
      </c>
      <c r="C11" s="2" t="n">
        <v>56</v>
      </c>
      <c r="D11" s="2" t="n">
        <v>3</v>
      </c>
      <c r="E11" s="82" t="n">
        <v>44983</v>
      </c>
      <c r="F11" s="87" t="n">
        <v>0.0121064814814815</v>
      </c>
      <c r="G11" s="82" t="n">
        <v>44993</v>
      </c>
      <c r="H11" s="87" t="n">
        <v>0.866469907407407</v>
      </c>
      <c r="I11" s="2" t="s">
        <v>160</v>
      </c>
      <c r="J11" s="2" t="s">
        <v>168</v>
      </c>
    </row>
    <row r="12" customFormat="false" ht="15" hidden="false" customHeight="false" outlineLevel="0" collapsed="false">
      <c r="A12" s="7" t="n">
        <v>11</v>
      </c>
      <c r="B12" s="7" t="s">
        <v>297</v>
      </c>
      <c r="C12" s="7" t="n">
        <v>16</v>
      </c>
      <c r="D12" s="7" t="n">
        <v>4</v>
      </c>
      <c r="E12" s="77" t="n">
        <v>44987</v>
      </c>
      <c r="F12" s="86" t="n">
        <v>0.84369212962963</v>
      </c>
      <c r="G12" s="77" t="n">
        <v>44988</v>
      </c>
      <c r="H12" s="86" t="n">
        <v>0.972071759259259</v>
      </c>
      <c r="I12" s="7" t="s">
        <v>211</v>
      </c>
      <c r="J12" s="7" t="s">
        <v>33</v>
      </c>
    </row>
    <row r="13" customFormat="false" ht="15" hidden="false" customHeight="false" outlineLevel="0" collapsed="false">
      <c r="A13" s="2" t="n">
        <v>12</v>
      </c>
      <c r="B13" s="2" t="s">
        <v>385</v>
      </c>
      <c r="C13" s="2" t="n">
        <v>38</v>
      </c>
      <c r="D13" s="2" t="n">
        <v>3</v>
      </c>
      <c r="E13" s="82" t="n">
        <v>45119</v>
      </c>
      <c r="F13" s="87" t="n">
        <v>0.353425925925926</v>
      </c>
      <c r="G13" s="82" t="n">
        <v>45127</v>
      </c>
      <c r="H13" s="87" t="n">
        <v>0.982604166666667</v>
      </c>
      <c r="I13" s="2" t="s">
        <v>451</v>
      </c>
      <c r="J13" s="2" t="s">
        <v>31</v>
      </c>
    </row>
    <row r="14" customFormat="false" ht="15" hidden="false" customHeight="false" outlineLevel="0" collapsed="false">
      <c r="A14" s="7" t="n">
        <v>13</v>
      </c>
      <c r="B14" s="7" t="s">
        <v>185</v>
      </c>
      <c r="C14" s="7" t="n">
        <v>20</v>
      </c>
      <c r="D14" s="7" t="n">
        <v>3</v>
      </c>
      <c r="E14" s="77" t="n">
        <v>44981</v>
      </c>
      <c r="F14" s="86" t="n">
        <v>0.699490740740741</v>
      </c>
      <c r="G14" s="77" t="n">
        <v>44989</v>
      </c>
      <c r="H14" s="86" t="n">
        <v>0.102511574074074</v>
      </c>
      <c r="I14" s="7" t="s">
        <v>376</v>
      </c>
      <c r="J14" s="7" t="s">
        <v>168</v>
      </c>
    </row>
    <row r="15" customFormat="false" ht="15" hidden="false" customHeight="false" outlineLevel="0" collapsed="false">
      <c r="A15" s="2" t="n">
        <v>14</v>
      </c>
      <c r="B15" s="2" t="s">
        <v>230</v>
      </c>
      <c r="C15" s="2" t="n">
        <v>60</v>
      </c>
      <c r="D15" s="2" t="n">
        <v>1</v>
      </c>
      <c r="E15" s="82" t="n">
        <v>45238</v>
      </c>
      <c r="F15" s="87" t="n">
        <v>0.157013888888889</v>
      </c>
      <c r="G15" s="82" t="n">
        <v>45245</v>
      </c>
      <c r="H15" s="87" t="n">
        <v>0.505578703703704</v>
      </c>
      <c r="I15" s="2" t="s">
        <v>282</v>
      </c>
      <c r="J15" s="2" t="s">
        <v>32</v>
      </c>
    </row>
    <row r="16" customFormat="false" ht="15" hidden="false" customHeight="false" outlineLevel="0" collapsed="false">
      <c r="A16" s="7" t="n">
        <v>15</v>
      </c>
      <c r="B16" s="7" t="s">
        <v>309</v>
      </c>
      <c r="C16" s="7" t="n">
        <v>21</v>
      </c>
      <c r="D16" s="7" t="n">
        <v>5</v>
      </c>
      <c r="E16" s="77" t="n">
        <v>45164</v>
      </c>
      <c r="F16" s="86" t="n">
        <v>0.119895833333333</v>
      </c>
      <c r="G16" s="77" t="n">
        <v>45168</v>
      </c>
      <c r="H16" s="86" t="n">
        <v>0.560243055555556</v>
      </c>
      <c r="I16" s="7" t="s">
        <v>532</v>
      </c>
      <c r="J16" s="7" t="s">
        <v>40</v>
      </c>
    </row>
    <row r="17" customFormat="false" ht="15" hidden="false" customHeight="false" outlineLevel="0" collapsed="false">
      <c r="A17" s="2" t="n">
        <v>16</v>
      </c>
      <c r="B17" s="2" t="s">
        <v>159</v>
      </c>
      <c r="C17" s="2" t="n">
        <v>20</v>
      </c>
      <c r="D17" s="2" t="n">
        <v>3</v>
      </c>
      <c r="E17" s="82" t="n">
        <v>44973</v>
      </c>
      <c r="F17" s="87" t="n">
        <v>0.629293981481482</v>
      </c>
      <c r="G17" s="82" t="n">
        <v>44977</v>
      </c>
      <c r="H17" s="87" t="n">
        <v>0.926631944444444</v>
      </c>
      <c r="I17" s="2" t="s">
        <v>454</v>
      </c>
      <c r="J17" s="2" t="s">
        <v>168</v>
      </c>
    </row>
    <row r="18" customFormat="false" ht="15" hidden="false" customHeight="false" outlineLevel="0" collapsed="false">
      <c r="A18" s="7" t="n">
        <v>17</v>
      </c>
      <c r="B18" s="7" t="s">
        <v>272</v>
      </c>
      <c r="C18" s="7" t="n">
        <v>60</v>
      </c>
      <c r="D18" s="7" t="n">
        <v>2</v>
      </c>
      <c r="E18" s="77" t="n">
        <v>45234</v>
      </c>
      <c r="F18" s="86" t="n">
        <v>0.480243055555556</v>
      </c>
      <c r="G18" s="77" t="n">
        <v>45243</v>
      </c>
      <c r="H18" s="86" t="n">
        <v>0.777928240740741</v>
      </c>
      <c r="I18" s="7" t="s">
        <v>465</v>
      </c>
      <c r="J18" s="7" t="s">
        <v>32</v>
      </c>
    </row>
    <row r="19" customFormat="false" ht="15" hidden="false" customHeight="false" outlineLevel="0" collapsed="false">
      <c r="A19" s="2" t="n">
        <v>18</v>
      </c>
      <c r="B19" s="2" t="s">
        <v>316</v>
      </c>
      <c r="C19" s="2" t="n">
        <v>23</v>
      </c>
      <c r="D19" s="2" t="n">
        <v>4</v>
      </c>
      <c r="E19" s="82" t="n">
        <v>45270</v>
      </c>
      <c r="F19" s="87" t="n">
        <v>0.448784722222222</v>
      </c>
      <c r="G19" s="82" t="n">
        <v>45271</v>
      </c>
      <c r="H19" s="87" t="n">
        <v>0.014224537037037</v>
      </c>
      <c r="I19" s="2" t="s">
        <v>492</v>
      </c>
      <c r="J19" s="2" t="s">
        <v>168</v>
      </c>
    </row>
    <row r="20" customFormat="false" ht="15" hidden="false" customHeight="false" outlineLevel="0" collapsed="false">
      <c r="A20" s="7" t="n">
        <v>19</v>
      </c>
      <c r="B20" s="7" t="s">
        <v>316</v>
      </c>
      <c r="C20" s="7" t="n">
        <v>62</v>
      </c>
      <c r="D20" s="7" t="n">
        <v>4</v>
      </c>
      <c r="E20" s="77" t="n">
        <v>44992</v>
      </c>
      <c r="F20" s="86" t="n">
        <v>0.333194444444445</v>
      </c>
      <c r="G20" s="77" t="n">
        <v>44993</v>
      </c>
      <c r="H20" s="86" t="n">
        <v>0.128171296296296</v>
      </c>
      <c r="I20" s="7" t="s">
        <v>606</v>
      </c>
      <c r="J20" s="7" t="s">
        <v>33</v>
      </c>
    </row>
    <row r="21" customFormat="false" ht="15" hidden="false" customHeight="false" outlineLevel="0" collapsed="false">
      <c r="A21" s="2" t="n">
        <v>20</v>
      </c>
      <c r="B21" s="2" t="s">
        <v>154</v>
      </c>
      <c r="C21" s="2" t="n">
        <v>52</v>
      </c>
      <c r="D21" s="2" t="n">
        <v>1</v>
      </c>
      <c r="E21" s="82" t="n">
        <v>44968</v>
      </c>
      <c r="F21" s="87" t="n">
        <v>0.608993055555556</v>
      </c>
      <c r="G21" s="82" t="n">
        <v>44971</v>
      </c>
      <c r="H21" s="87" t="n">
        <v>0.065462962962963</v>
      </c>
      <c r="I21" s="2" t="s">
        <v>477</v>
      </c>
      <c r="J21" s="2" t="s">
        <v>179</v>
      </c>
    </row>
    <row r="22" customFormat="false" ht="15" hidden="false" customHeight="false" outlineLevel="0" collapsed="false">
      <c r="A22" s="7" t="n">
        <v>21</v>
      </c>
      <c r="B22" s="7" t="s">
        <v>366</v>
      </c>
      <c r="C22" s="7" t="n">
        <v>32</v>
      </c>
      <c r="D22" s="7" t="n">
        <v>1</v>
      </c>
      <c r="E22" s="77" t="n">
        <v>44966</v>
      </c>
      <c r="F22" s="86" t="n">
        <v>0.472824074074074</v>
      </c>
      <c r="G22" s="77" t="n">
        <v>44969</v>
      </c>
      <c r="H22" s="86" t="n">
        <v>0.483634259259259</v>
      </c>
      <c r="I22" s="7" t="s">
        <v>205</v>
      </c>
      <c r="J22" s="7" t="s">
        <v>31</v>
      </c>
    </row>
    <row r="23" customFormat="false" ht="15" hidden="false" customHeight="false" outlineLevel="0" collapsed="false">
      <c r="A23" s="2" t="n">
        <v>22</v>
      </c>
      <c r="B23" s="2" t="s">
        <v>266</v>
      </c>
      <c r="C23" s="2" t="n">
        <v>43</v>
      </c>
      <c r="D23" s="2" t="n">
        <v>1</v>
      </c>
      <c r="E23" s="82" t="n">
        <v>45239</v>
      </c>
      <c r="F23" s="87" t="n">
        <v>0.045462962962963</v>
      </c>
      <c r="G23" s="82" t="n">
        <v>45244</v>
      </c>
      <c r="H23" s="87" t="n">
        <v>0.409571759259259</v>
      </c>
      <c r="I23" s="2" t="s">
        <v>584</v>
      </c>
      <c r="J23" s="2" t="s">
        <v>32</v>
      </c>
    </row>
    <row r="24" customFormat="false" ht="15" hidden="false" customHeight="false" outlineLevel="0" collapsed="false">
      <c r="A24" s="7" t="n">
        <v>23</v>
      </c>
      <c r="B24" s="7" t="s">
        <v>227</v>
      </c>
      <c r="C24" s="7" t="n">
        <v>12</v>
      </c>
      <c r="D24" s="7" t="n">
        <v>3</v>
      </c>
      <c r="E24" s="77" t="n">
        <v>45051</v>
      </c>
      <c r="F24" s="86" t="n">
        <v>0.228159722222222</v>
      </c>
      <c r="G24" s="77" t="n">
        <v>45052</v>
      </c>
      <c r="H24" s="86" t="n">
        <v>0.508611111111111</v>
      </c>
      <c r="I24" s="7" t="s">
        <v>474</v>
      </c>
      <c r="J24" s="7" t="s">
        <v>168</v>
      </c>
    </row>
    <row r="25" customFormat="false" ht="15" hidden="false" customHeight="false" outlineLevel="0" collapsed="false">
      <c r="A25" s="2" t="n">
        <v>24</v>
      </c>
      <c r="B25" s="2" t="s">
        <v>172</v>
      </c>
      <c r="C25" s="2" t="n">
        <v>42</v>
      </c>
      <c r="D25" s="2" t="n">
        <v>3</v>
      </c>
      <c r="E25" s="82" t="n">
        <v>45132</v>
      </c>
      <c r="F25" s="87" t="n">
        <v>0.215763888888889</v>
      </c>
      <c r="G25" s="82" t="n">
        <v>45141</v>
      </c>
      <c r="H25" s="87" t="n">
        <v>0.331655092592593</v>
      </c>
      <c r="I25" s="2" t="s">
        <v>354</v>
      </c>
      <c r="J25" s="2" t="s">
        <v>165</v>
      </c>
    </row>
    <row r="26" customFormat="false" ht="15" hidden="false" customHeight="false" outlineLevel="0" collapsed="false">
      <c r="A26" s="7" t="n">
        <v>25</v>
      </c>
      <c r="B26" s="7" t="s">
        <v>369</v>
      </c>
      <c r="C26" s="7" t="n">
        <v>30</v>
      </c>
      <c r="D26" s="7" t="n">
        <v>3</v>
      </c>
      <c r="E26" s="77" t="n">
        <v>45128</v>
      </c>
      <c r="F26" s="86" t="n">
        <v>0.449270833333333</v>
      </c>
      <c r="G26" s="77" t="n">
        <v>45131</v>
      </c>
      <c r="H26" s="86" t="n">
        <v>0.603263888888889</v>
      </c>
      <c r="I26" s="7" t="s">
        <v>521</v>
      </c>
      <c r="J26" s="7" t="s">
        <v>168</v>
      </c>
    </row>
    <row r="27" customFormat="false" ht="15" hidden="false" customHeight="false" outlineLevel="0" collapsed="false">
      <c r="A27" s="2" t="n">
        <v>26</v>
      </c>
      <c r="B27" s="2" t="s">
        <v>224</v>
      </c>
      <c r="C27" s="2" t="n">
        <v>6</v>
      </c>
      <c r="D27" s="2" t="n">
        <v>3</v>
      </c>
      <c r="E27" s="82" t="n">
        <v>44991</v>
      </c>
      <c r="F27" s="87" t="n">
        <v>0.210486111111111</v>
      </c>
      <c r="G27" s="82" t="n">
        <v>44997</v>
      </c>
      <c r="H27" s="87" t="n">
        <v>0.254293981481482</v>
      </c>
      <c r="I27" s="2" t="s">
        <v>173</v>
      </c>
      <c r="J27" s="2" t="s">
        <v>33</v>
      </c>
    </row>
    <row r="28" customFormat="false" ht="15" hidden="false" customHeight="false" outlineLevel="0" collapsed="false">
      <c r="A28" s="7" t="n">
        <v>27</v>
      </c>
      <c r="B28" s="7" t="s">
        <v>291</v>
      </c>
      <c r="C28" s="7" t="n">
        <v>9</v>
      </c>
      <c r="D28" s="7" t="n">
        <v>2</v>
      </c>
      <c r="E28" s="77" t="n">
        <v>45160</v>
      </c>
      <c r="F28" s="86" t="n">
        <v>0.469768518518519</v>
      </c>
      <c r="G28" s="77" t="n">
        <v>45168</v>
      </c>
      <c r="H28" s="86" t="n">
        <v>0.332777777777778</v>
      </c>
      <c r="I28" s="7" t="s">
        <v>537</v>
      </c>
      <c r="J28" s="7" t="s">
        <v>40</v>
      </c>
    </row>
    <row r="29" customFormat="false" ht="15" hidden="false" customHeight="false" outlineLevel="0" collapsed="false">
      <c r="A29" s="2" t="n">
        <v>28</v>
      </c>
      <c r="B29" s="2" t="s">
        <v>360</v>
      </c>
      <c r="C29" s="2" t="n">
        <v>42</v>
      </c>
      <c r="D29" s="2" t="n">
        <v>3</v>
      </c>
      <c r="E29" s="82" t="n">
        <v>45051</v>
      </c>
      <c r="F29" s="87" t="n">
        <v>0.142650462962963</v>
      </c>
      <c r="G29" s="82" t="n">
        <v>45056</v>
      </c>
      <c r="H29" s="87" t="n">
        <v>0.329907407407407</v>
      </c>
      <c r="I29" s="2" t="s">
        <v>401</v>
      </c>
      <c r="J29" s="2" t="s">
        <v>165</v>
      </c>
    </row>
    <row r="30" customFormat="false" ht="15" hidden="false" customHeight="false" outlineLevel="0" collapsed="false">
      <c r="A30" s="7" t="n">
        <v>29</v>
      </c>
      <c r="B30" s="7" t="s">
        <v>294</v>
      </c>
      <c r="C30" s="7" t="n">
        <v>10</v>
      </c>
      <c r="D30" s="7" t="n">
        <v>5</v>
      </c>
      <c r="E30" s="77" t="n">
        <v>45191</v>
      </c>
      <c r="F30" s="86" t="n">
        <v>0.046087962962963</v>
      </c>
      <c r="G30" s="77" t="n">
        <v>45200</v>
      </c>
      <c r="H30" s="86" t="n">
        <v>0.603657407407407</v>
      </c>
      <c r="I30" s="7" t="s">
        <v>463</v>
      </c>
      <c r="J30" s="7" t="s">
        <v>31</v>
      </c>
    </row>
    <row r="31" customFormat="false" ht="15" hidden="false" customHeight="false" outlineLevel="0" collapsed="false">
      <c r="A31" s="2" t="n">
        <v>30</v>
      </c>
      <c r="B31" s="2" t="s">
        <v>236</v>
      </c>
      <c r="C31" s="2" t="n">
        <v>23</v>
      </c>
      <c r="D31" s="2" t="n">
        <v>4</v>
      </c>
      <c r="E31" s="82" t="n">
        <v>44939</v>
      </c>
      <c r="F31" s="87" t="n">
        <v>0.391354166666667</v>
      </c>
      <c r="G31" s="82" t="n">
        <v>44941</v>
      </c>
      <c r="H31" s="87" t="n">
        <v>0.567337962962963</v>
      </c>
      <c r="I31" s="2" t="s">
        <v>290</v>
      </c>
      <c r="J31" s="2" t="s">
        <v>168</v>
      </c>
    </row>
    <row r="32" customFormat="false" ht="15" hidden="false" customHeight="false" outlineLevel="0" collapsed="false">
      <c r="A32" s="7" t="n">
        <v>31</v>
      </c>
      <c r="B32" s="7" t="s">
        <v>196</v>
      </c>
      <c r="C32" s="7" t="n">
        <v>7</v>
      </c>
      <c r="D32" s="7" t="n">
        <v>5</v>
      </c>
      <c r="E32" s="77" t="n">
        <v>44985</v>
      </c>
      <c r="F32" s="86" t="n">
        <v>0.550949074074074</v>
      </c>
      <c r="G32" s="77" t="n">
        <v>44988</v>
      </c>
      <c r="H32" s="86" t="n">
        <v>0.983206018518519</v>
      </c>
      <c r="I32" s="7" t="s">
        <v>504</v>
      </c>
      <c r="J32" s="7" t="s">
        <v>33</v>
      </c>
    </row>
    <row r="33" customFormat="false" ht="15" hidden="false" customHeight="false" outlineLevel="0" collapsed="false">
      <c r="A33" s="2" t="n">
        <v>32</v>
      </c>
      <c r="B33" s="2" t="s">
        <v>297</v>
      </c>
      <c r="C33" s="2" t="n">
        <v>7</v>
      </c>
      <c r="D33" s="2" t="n">
        <v>5</v>
      </c>
      <c r="E33" s="82" t="n">
        <v>44989</v>
      </c>
      <c r="F33" s="87" t="n">
        <v>0.650474537037037</v>
      </c>
      <c r="G33" s="82" t="n">
        <v>44990</v>
      </c>
      <c r="H33" s="87" t="n">
        <v>0.662615740740741</v>
      </c>
      <c r="I33" s="2" t="s">
        <v>531</v>
      </c>
      <c r="J33" s="2" t="s">
        <v>33</v>
      </c>
    </row>
    <row r="34" customFormat="false" ht="15" hidden="false" customHeight="false" outlineLevel="0" collapsed="false">
      <c r="A34" s="7" t="n">
        <v>33</v>
      </c>
      <c r="B34" s="7" t="s">
        <v>245</v>
      </c>
      <c r="C34" s="7" t="n">
        <v>8</v>
      </c>
      <c r="D34" s="7" t="n">
        <v>3</v>
      </c>
      <c r="E34" s="77" t="n">
        <v>45031</v>
      </c>
      <c r="F34" s="86" t="n">
        <v>0.0676736111111111</v>
      </c>
      <c r="G34" s="77" t="n">
        <v>45041</v>
      </c>
      <c r="H34" s="86" t="n">
        <v>0.0926736111111111</v>
      </c>
      <c r="I34" s="7" t="s">
        <v>173</v>
      </c>
      <c r="J34" s="7" t="s">
        <v>168</v>
      </c>
    </row>
    <row r="35" customFormat="false" ht="15" hidden="false" customHeight="false" outlineLevel="0" collapsed="false">
      <c r="A35" s="2" t="n">
        <v>34</v>
      </c>
      <c r="B35" s="2" t="s">
        <v>313</v>
      </c>
      <c r="C35" s="2" t="n">
        <v>17</v>
      </c>
      <c r="D35" s="2" t="n">
        <v>2</v>
      </c>
      <c r="E35" s="82" t="n">
        <v>45200</v>
      </c>
      <c r="F35" s="87" t="n">
        <v>0.957118055555556</v>
      </c>
      <c r="G35" s="82" t="n">
        <v>45204</v>
      </c>
      <c r="H35" s="87" t="n">
        <v>0.233865740740741</v>
      </c>
      <c r="I35" s="2" t="s">
        <v>593</v>
      </c>
      <c r="J35" s="2" t="s">
        <v>168</v>
      </c>
    </row>
    <row r="36" customFormat="false" ht="15" hidden="false" customHeight="false" outlineLevel="0" collapsed="false">
      <c r="A36" s="7" t="n">
        <v>35</v>
      </c>
      <c r="B36" s="7" t="s">
        <v>269</v>
      </c>
      <c r="C36" s="7" t="n">
        <v>7</v>
      </c>
      <c r="D36" s="7" t="n">
        <v>5</v>
      </c>
      <c r="E36" s="77" t="n">
        <v>44987</v>
      </c>
      <c r="F36" s="86" t="n">
        <v>0.673912037037037</v>
      </c>
      <c r="G36" s="77" t="n">
        <v>44990</v>
      </c>
      <c r="H36" s="86" t="n">
        <v>0.625462962962963</v>
      </c>
      <c r="I36" s="7" t="s">
        <v>184</v>
      </c>
      <c r="J36" s="7" t="s">
        <v>33</v>
      </c>
    </row>
    <row r="37" customFormat="false" ht="15" hidden="false" customHeight="false" outlineLevel="0" collapsed="false">
      <c r="A37" s="2" t="n">
        <v>36</v>
      </c>
      <c r="B37" s="2" t="s">
        <v>196</v>
      </c>
      <c r="C37" s="2" t="n">
        <v>66</v>
      </c>
      <c r="D37" s="2" t="n">
        <v>1</v>
      </c>
      <c r="E37" s="82" t="n">
        <v>44989</v>
      </c>
      <c r="F37" s="87" t="n">
        <v>0.436724537037037</v>
      </c>
      <c r="G37" s="82" t="n">
        <v>44999</v>
      </c>
      <c r="H37" s="87" t="n">
        <v>0.343622685185185</v>
      </c>
      <c r="I37" s="2" t="s">
        <v>510</v>
      </c>
      <c r="J37" s="2" t="s">
        <v>33</v>
      </c>
    </row>
    <row r="38" customFormat="false" ht="15" hidden="false" customHeight="false" outlineLevel="0" collapsed="false">
      <c r="A38" s="7" t="n">
        <v>37</v>
      </c>
      <c r="B38" s="7" t="s">
        <v>382</v>
      </c>
      <c r="C38" s="7" t="n">
        <v>19</v>
      </c>
      <c r="D38" s="7" t="n">
        <v>5</v>
      </c>
      <c r="E38" s="77" t="n">
        <v>44967</v>
      </c>
      <c r="F38" s="86" t="n">
        <v>0.459074074074074</v>
      </c>
      <c r="G38" s="77" t="n">
        <v>44972</v>
      </c>
      <c r="H38" s="86" t="n">
        <v>0.888611111111111</v>
      </c>
      <c r="I38" s="7" t="s">
        <v>452</v>
      </c>
      <c r="J38" s="7" t="s">
        <v>179</v>
      </c>
    </row>
    <row r="39" customFormat="false" ht="15" hidden="false" customHeight="false" outlineLevel="0" collapsed="false">
      <c r="A39" s="2" t="n">
        <v>38</v>
      </c>
      <c r="B39" s="2" t="s">
        <v>303</v>
      </c>
      <c r="C39" s="2" t="n">
        <v>37</v>
      </c>
      <c r="D39" s="2" t="n">
        <v>3</v>
      </c>
      <c r="E39" s="82" t="n">
        <v>45241</v>
      </c>
      <c r="F39" s="87" t="n">
        <v>0.521157407407408</v>
      </c>
      <c r="G39" s="82" t="n">
        <v>45244</v>
      </c>
      <c r="H39" s="87" t="n">
        <v>0.517256944444445</v>
      </c>
      <c r="I39" s="2" t="s">
        <v>424</v>
      </c>
      <c r="J39" s="2" t="s">
        <v>32</v>
      </c>
    </row>
    <row r="40" customFormat="false" ht="15" hidden="false" customHeight="false" outlineLevel="0" collapsed="false">
      <c r="A40" s="7" t="n">
        <v>39</v>
      </c>
      <c r="B40" s="7" t="s">
        <v>266</v>
      </c>
      <c r="C40" s="7" t="n">
        <v>43</v>
      </c>
      <c r="D40" s="7" t="n">
        <v>2</v>
      </c>
      <c r="E40" s="77" t="n">
        <v>45232</v>
      </c>
      <c r="F40" s="86" t="n">
        <v>0.809699074074074</v>
      </c>
      <c r="G40" s="77" t="n">
        <v>45234</v>
      </c>
      <c r="H40" s="86" t="n">
        <v>0.561597222222222</v>
      </c>
      <c r="I40" s="7" t="s">
        <v>605</v>
      </c>
      <c r="J40" s="7" t="s">
        <v>32</v>
      </c>
    </row>
    <row r="41" customFormat="false" ht="15" hidden="false" customHeight="false" outlineLevel="0" collapsed="false">
      <c r="A41" s="2" t="n">
        <v>40</v>
      </c>
      <c r="B41" s="2" t="s">
        <v>300</v>
      </c>
      <c r="C41" s="2" t="n">
        <v>48</v>
      </c>
      <c r="D41" s="2" t="n">
        <v>4</v>
      </c>
      <c r="E41" s="82" t="n">
        <v>45232</v>
      </c>
      <c r="F41" s="87" t="n">
        <v>0.593865740740741</v>
      </c>
      <c r="G41" s="82" t="n">
        <v>45235</v>
      </c>
      <c r="H41" s="87" t="n">
        <v>0.187430555555556</v>
      </c>
      <c r="I41" s="2" t="s">
        <v>536</v>
      </c>
      <c r="J41" s="2" t="s">
        <v>32</v>
      </c>
    </row>
    <row r="42" customFormat="false" ht="15" hidden="false" customHeight="false" outlineLevel="0" collapsed="false">
      <c r="A42" s="7" t="n">
        <v>41</v>
      </c>
      <c r="B42" s="7" t="s">
        <v>245</v>
      </c>
      <c r="C42" s="7" t="n">
        <v>54</v>
      </c>
      <c r="D42" s="7" t="n">
        <v>4</v>
      </c>
      <c r="E42" s="77" t="n">
        <v>45085</v>
      </c>
      <c r="F42" s="86" t="n">
        <v>0.805439814814815</v>
      </c>
      <c r="G42" s="77" t="n">
        <v>45087</v>
      </c>
      <c r="H42" s="86" t="n">
        <v>0.603958333333333</v>
      </c>
      <c r="I42" s="7" t="s">
        <v>552</v>
      </c>
      <c r="J42" s="7" t="s">
        <v>168</v>
      </c>
    </row>
    <row r="43" customFormat="false" ht="15" hidden="false" customHeight="false" outlineLevel="0" collapsed="false">
      <c r="A43" s="2" t="n">
        <v>42</v>
      </c>
      <c r="B43" s="2" t="s">
        <v>338</v>
      </c>
      <c r="C43" s="2" t="n">
        <v>35</v>
      </c>
      <c r="D43" s="2" t="n">
        <v>1</v>
      </c>
      <c r="E43" s="82" t="n">
        <v>44983</v>
      </c>
      <c r="F43" s="87" t="n">
        <v>0.00599537037037037</v>
      </c>
      <c r="G43" s="82" t="n">
        <v>44992</v>
      </c>
      <c r="H43" s="87" t="n">
        <v>0.721157407407407</v>
      </c>
      <c r="I43" s="2" t="s">
        <v>368</v>
      </c>
      <c r="J43" s="2" t="s">
        <v>33</v>
      </c>
    </row>
    <row r="44" customFormat="false" ht="15" hidden="false" customHeight="false" outlineLevel="0" collapsed="false">
      <c r="A44" s="7" t="n">
        <v>43</v>
      </c>
      <c r="B44" s="7" t="s">
        <v>242</v>
      </c>
      <c r="C44" s="7" t="n">
        <v>49</v>
      </c>
      <c r="D44" s="7" t="n">
        <v>3</v>
      </c>
      <c r="E44" s="77" t="n">
        <v>44969</v>
      </c>
      <c r="F44" s="86" t="n">
        <v>0.93837962962963</v>
      </c>
      <c r="G44" s="77" t="n">
        <v>44973</v>
      </c>
      <c r="H44" s="86" t="n">
        <v>0.116516203703704</v>
      </c>
      <c r="I44" s="7" t="s">
        <v>554</v>
      </c>
      <c r="J44" s="7" t="s">
        <v>179</v>
      </c>
    </row>
    <row r="45" customFormat="false" ht="15" hidden="false" customHeight="false" outlineLevel="0" collapsed="false">
      <c r="A45" s="2" t="n">
        <v>44</v>
      </c>
      <c r="B45" s="2" t="s">
        <v>139</v>
      </c>
      <c r="C45" s="2" t="n">
        <v>14</v>
      </c>
      <c r="D45" s="2" t="n">
        <v>1</v>
      </c>
      <c r="E45" s="82" t="n">
        <v>45124</v>
      </c>
      <c r="F45" s="87" t="n">
        <v>0.915231481481482</v>
      </c>
      <c r="G45" s="82" t="n">
        <v>45134</v>
      </c>
      <c r="H45" s="87" t="n">
        <v>0.450104166666667</v>
      </c>
      <c r="I45" s="2" t="s">
        <v>238</v>
      </c>
      <c r="J45" s="2" t="s">
        <v>31</v>
      </c>
    </row>
    <row r="46" customFormat="false" ht="15" hidden="false" customHeight="false" outlineLevel="0" collapsed="false">
      <c r="A46" s="7" t="n">
        <v>45</v>
      </c>
      <c r="B46" s="7" t="s">
        <v>385</v>
      </c>
      <c r="C46" s="7" t="n">
        <v>61</v>
      </c>
      <c r="D46" s="7" t="n">
        <v>5</v>
      </c>
      <c r="E46" s="77" t="n">
        <v>45044</v>
      </c>
      <c r="F46" s="86" t="n">
        <v>0.601689814814815</v>
      </c>
      <c r="G46" s="77" t="n">
        <v>45045</v>
      </c>
      <c r="H46" s="86" t="n">
        <v>0.261527777777778</v>
      </c>
      <c r="I46" s="7" t="s">
        <v>404</v>
      </c>
      <c r="J46" s="7" t="s">
        <v>168</v>
      </c>
    </row>
    <row r="47" customFormat="false" ht="15" hidden="false" customHeight="false" outlineLevel="0" collapsed="false">
      <c r="A47" s="2" t="n">
        <v>46</v>
      </c>
      <c r="B47" s="2" t="s">
        <v>281</v>
      </c>
      <c r="C47" s="2" t="n">
        <v>22</v>
      </c>
      <c r="D47" s="2" t="n">
        <v>4</v>
      </c>
      <c r="E47" s="82" t="n">
        <v>45034</v>
      </c>
      <c r="F47" s="87" t="n">
        <v>0.139710648148148</v>
      </c>
      <c r="G47" s="82" t="n">
        <v>45039</v>
      </c>
      <c r="H47" s="87" t="n">
        <v>0.335243055555556</v>
      </c>
      <c r="I47" s="2" t="s">
        <v>397</v>
      </c>
      <c r="J47" s="2" t="s">
        <v>165</v>
      </c>
    </row>
    <row r="48" customFormat="false" ht="15" hidden="false" customHeight="false" outlineLevel="0" collapsed="false">
      <c r="A48" s="7" t="n">
        <v>47</v>
      </c>
      <c r="B48" s="7" t="s">
        <v>159</v>
      </c>
      <c r="C48" s="7" t="n">
        <v>7</v>
      </c>
      <c r="D48" s="7" t="n">
        <v>5</v>
      </c>
      <c r="E48" s="77" t="n">
        <v>44983</v>
      </c>
      <c r="F48" s="86" t="n">
        <v>0.544768518518519</v>
      </c>
      <c r="G48" s="77" t="n">
        <v>44985</v>
      </c>
      <c r="H48" s="86" t="n">
        <v>0.250231481481482</v>
      </c>
      <c r="I48" s="7" t="s">
        <v>428</v>
      </c>
      <c r="J48" s="7" t="s">
        <v>33</v>
      </c>
    </row>
    <row r="49" customFormat="false" ht="15" hidden="false" customHeight="false" outlineLevel="0" collapsed="false">
      <c r="A49" s="2" t="n">
        <v>48</v>
      </c>
      <c r="B49" s="2" t="s">
        <v>200</v>
      </c>
      <c r="C49" s="2" t="n">
        <v>65</v>
      </c>
      <c r="D49" s="2" t="n">
        <v>4</v>
      </c>
      <c r="E49" s="82" t="n">
        <v>45242</v>
      </c>
      <c r="F49" s="87" t="n">
        <v>0.833680555555556</v>
      </c>
      <c r="G49" s="82" t="n">
        <v>45246</v>
      </c>
      <c r="H49" s="87" t="n">
        <v>0.230347222222222</v>
      </c>
      <c r="I49" s="2" t="s">
        <v>333</v>
      </c>
      <c r="J49" s="2" t="s">
        <v>165</v>
      </c>
    </row>
    <row r="50" customFormat="false" ht="15" hidden="false" customHeight="false" outlineLevel="0" collapsed="false">
      <c r="A50" s="7" t="n">
        <v>49</v>
      </c>
      <c r="B50" s="7" t="s">
        <v>176</v>
      </c>
      <c r="C50" s="7" t="n">
        <v>43</v>
      </c>
      <c r="D50" s="7" t="n">
        <v>1</v>
      </c>
      <c r="E50" s="77" t="n">
        <v>45241</v>
      </c>
      <c r="F50" s="86" t="n">
        <v>0.739236111111111</v>
      </c>
      <c r="G50" s="77" t="n">
        <v>45248</v>
      </c>
      <c r="H50" s="86" t="n">
        <v>0.576296296296296</v>
      </c>
      <c r="I50" s="7" t="s">
        <v>505</v>
      </c>
      <c r="J50" s="7" t="s">
        <v>32</v>
      </c>
    </row>
    <row r="51" customFormat="false" ht="15" hidden="false" customHeight="false" outlineLevel="0" collapsed="false">
      <c r="A51" s="2" t="n">
        <v>50</v>
      </c>
      <c r="B51" s="2" t="s">
        <v>161</v>
      </c>
      <c r="C51" s="2" t="n">
        <v>41</v>
      </c>
      <c r="D51" s="2" t="n">
        <v>4</v>
      </c>
      <c r="E51" s="82" t="n">
        <v>45239</v>
      </c>
      <c r="F51" s="87" t="n">
        <v>0.289270833333333</v>
      </c>
      <c r="G51" s="82" t="n">
        <v>45246</v>
      </c>
      <c r="H51" s="87" t="n">
        <v>0.430115740740741</v>
      </c>
      <c r="I51" s="2" t="s">
        <v>436</v>
      </c>
      <c r="J51" s="2" t="s">
        <v>32</v>
      </c>
    </row>
    <row r="52" customFormat="false" ht="15" hidden="false" customHeight="false" outlineLevel="0" collapsed="false">
      <c r="A52" s="7" t="n">
        <v>51</v>
      </c>
      <c r="B52" s="7" t="s">
        <v>212</v>
      </c>
      <c r="C52" s="7" t="n">
        <v>10</v>
      </c>
      <c r="D52" s="7" t="n">
        <v>1</v>
      </c>
      <c r="E52" s="77" t="n">
        <v>45000</v>
      </c>
      <c r="F52" s="86" t="n">
        <v>0.391539351851852</v>
      </c>
      <c r="G52" s="77" t="n">
        <v>45004</v>
      </c>
      <c r="H52" s="86" t="n">
        <v>0.699074074074074</v>
      </c>
      <c r="I52" s="7" t="s">
        <v>126</v>
      </c>
      <c r="J52" s="7" t="s">
        <v>31</v>
      </c>
    </row>
    <row r="53" customFormat="false" ht="15" hidden="false" customHeight="false" outlineLevel="0" collapsed="false">
      <c r="A53" s="2" t="n">
        <v>52</v>
      </c>
      <c r="B53" s="2" t="s">
        <v>183</v>
      </c>
      <c r="C53" s="2" t="n">
        <v>9</v>
      </c>
      <c r="D53" s="2" t="n">
        <v>1</v>
      </c>
      <c r="E53" s="82" t="n">
        <v>45167</v>
      </c>
      <c r="F53" s="87" t="n">
        <v>0.830115740740741</v>
      </c>
      <c r="G53" s="82" t="n">
        <v>45176</v>
      </c>
      <c r="H53" s="87" t="n">
        <v>0.181967592592593</v>
      </c>
      <c r="I53" s="2" t="s">
        <v>412</v>
      </c>
      <c r="J53" s="2" t="s">
        <v>40</v>
      </c>
    </row>
    <row r="54" customFormat="false" ht="15" hidden="false" customHeight="false" outlineLevel="0" collapsed="false">
      <c r="A54" s="7" t="n">
        <v>53</v>
      </c>
      <c r="B54" s="7" t="s">
        <v>239</v>
      </c>
      <c r="C54" s="7" t="n">
        <v>9</v>
      </c>
      <c r="D54" s="7" t="n">
        <v>5</v>
      </c>
      <c r="E54" s="77" t="n">
        <v>45158</v>
      </c>
      <c r="F54" s="86" t="n">
        <v>0.351215277777778</v>
      </c>
      <c r="G54" s="77" t="n">
        <v>45165</v>
      </c>
      <c r="H54" s="86" t="n">
        <v>0.249664351851852</v>
      </c>
      <c r="I54" s="7" t="s">
        <v>467</v>
      </c>
      <c r="J54" s="7" t="s">
        <v>40</v>
      </c>
    </row>
    <row r="55" customFormat="false" ht="15" hidden="false" customHeight="false" outlineLevel="0" collapsed="false">
      <c r="A55" s="2" t="n">
        <v>54</v>
      </c>
      <c r="B55" s="2" t="s">
        <v>281</v>
      </c>
      <c r="C55" s="2" t="n">
        <v>30</v>
      </c>
      <c r="D55" s="2" t="n">
        <v>1</v>
      </c>
      <c r="E55" s="82" t="n">
        <v>45029</v>
      </c>
      <c r="F55" s="87" t="n">
        <v>0.413206018518519</v>
      </c>
      <c r="G55" s="82" t="n">
        <v>45039</v>
      </c>
      <c r="H55" s="87" t="n">
        <v>0.604849537037037</v>
      </c>
      <c r="I55" s="2" t="s">
        <v>545</v>
      </c>
      <c r="J55" s="2" t="s">
        <v>168</v>
      </c>
    </row>
    <row r="56" customFormat="false" ht="15" hidden="false" customHeight="false" outlineLevel="0" collapsed="false">
      <c r="A56" s="7" t="n">
        <v>55</v>
      </c>
      <c r="B56" s="7" t="s">
        <v>224</v>
      </c>
      <c r="C56" s="7" t="n">
        <v>5</v>
      </c>
      <c r="D56" s="7" t="n">
        <v>1</v>
      </c>
      <c r="E56" s="77" t="n">
        <v>44965</v>
      </c>
      <c r="F56" s="86" t="n">
        <v>0.334108796296296</v>
      </c>
      <c r="G56" s="77" t="n">
        <v>44970</v>
      </c>
      <c r="H56" s="86" t="n">
        <v>0.32150462962963</v>
      </c>
      <c r="I56" s="7" t="s">
        <v>466</v>
      </c>
      <c r="J56" s="7" t="s">
        <v>165</v>
      </c>
    </row>
    <row r="57" customFormat="false" ht="15" hidden="false" customHeight="false" outlineLevel="0" collapsed="false">
      <c r="A57" s="2" t="n">
        <v>56</v>
      </c>
      <c r="B57" s="2" t="s">
        <v>379</v>
      </c>
      <c r="C57" s="2" t="n">
        <v>58</v>
      </c>
      <c r="D57" s="2" t="n">
        <v>5</v>
      </c>
      <c r="E57" s="82" t="n">
        <v>44965</v>
      </c>
      <c r="F57" s="87" t="n">
        <v>0.508194444444444</v>
      </c>
      <c r="G57" s="82" t="n">
        <v>44970</v>
      </c>
      <c r="H57" s="87" t="n">
        <v>0.786099537037037</v>
      </c>
      <c r="I57" s="2" t="s">
        <v>318</v>
      </c>
      <c r="J57" s="2" t="s">
        <v>179</v>
      </c>
    </row>
    <row r="58" customFormat="false" ht="15" hidden="false" customHeight="false" outlineLevel="0" collapsed="false">
      <c r="A58" s="7" t="n">
        <v>57</v>
      </c>
      <c r="B58" s="7" t="s">
        <v>366</v>
      </c>
      <c r="C58" s="7" t="n">
        <v>35</v>
      </c>
      <c r="D58" s="7" t="n">
        <v>5</v>
      </c>
      <c r="E58" s="77" t="n">
        <v>44983</v>
      </c>
      <c r="F58" s="86" t="n">
        <v>0.333506944444445</v>
      </c>
      <c r="G58" s="77" t="n">
        <v>44991</v>
      </c>
      <c r="H58" s="86" t="n">
        <v>0.51912037037037</v>
      </c>
      <c r="I58" s="7" t="s">
        <v>132</v>
      </c>
      <c r="J58" s="7" t="s">
        <v>33</v>
      </c>
    </row>
    <row r="59" customFormat="false" ht="15" hidden="false" customHeight="false" outlineLevel="0" collapsed="false">
      <c r="A59" s="2" t="n">
        <v>58</v>
      </c>
      <c r="B59" s="2" t="s">
        <v>331</v>
      </c>
      <c r="C59" s="2" t="n">
        <v>36</v>
      </c>
      <c r="D59" s="2" t="n">
        <v>1</v>
      </c>
      <c r="E59" s="82" t="n">
        <v>44932</v>
      </c>
      <c r="F59" s="87" t="n">
        <v>0.119097222222222</v>
      </c>
      <c r="G59" s="82" t="n">
        <v>44941</v>
      </c>
      <c r="H59" s="87" t="n">
        <v>0.351597222222222</v>
      </c>
      <c r="I59" s="2" t="s">
        <v>169</v>
      </c>
      <c r="J59" s="2" t="s">
        <v>31</v>
      </c>
    </row>
    <row r="60" customFormat="false" ht="15" hidden="false" customHeight="false" outlineLevel="0" collapsed="false">
      <c r="A60" s="7" t="n">
        <v>59</v>
      </c>
      <c r="B60" s="7" t="s">
        <v>227</v>
      </c>
      <c r="C60" s="7" t="n">
        <v>51</v>
      </c>
      <c r="D60" s="7" t="n">
        <v>5</v>
      </c>
      <c r="E60" s="77" t="n">
        <v>45103</v>
      </c>
      <c r="F60" s="86" t="n">
        <v>0.1640625</v>
      </c>
      <c r="G60" s="77" t="n">
        <v>45105</v>
      </c>
      <c r="H60" s="86" t="n">
        <v>0.840324074074074</v>
      </c>
      <c r="I60" s="7" t="s">
        <v>587</v>
      </c>
      <c r="J60" s="7" t="s">
        <v>165</v>
      </c>
    </row>
    <row r="61" customFormat="false" ht="15" hidden="false" customHeight="false" outlineLevel="0" collapsed="false">
      <c r="A61" s="2" t="n">
        <v>60</v>
      </c>
      <c r="B61" s="2" t="s">
        <v>183</v>
      </c>
      <c r="C61" s="2" t="n">
        <v>5</v>
      </c>
      <c r="D61" s="2" t="n">
        <v>2</v>
      </c>
      <c r="E61" s="82" t="n">
        <v>45273</v>
      </c>
      <c r="F61" s="87" t="n">
        <v>0.282465277777778</v>
      </c>
      <c r="G61" s="82" t="n">
        <v>45275</v>
      </c>
      <c r="H61" s="87" t="n">
        <v>0.544398148148148</v>
      </c>
      <c r="I61" s="2" t="s">
        <v>321</v>
      </c>
      <c r="J61" s="2" t="s">
        <v>165</v>
      </c>
    </row>
    <row r="62" customFormat="false" ht="15" hidden="false" customHeight="false" outlineLevel="0" collapsed="false">
      <c r="A62" s="7" t="n">
        <v>61</v>
      </c>
      <c r="B62" s="7" t="s">
        <v>278</v>
      </c>
      <c r="C62" s="7" t="n">
        <v>44</v>
      </c>
      <c r="D62" s="7" t="n">
        <v>2</v>
      </c>
      <c r="E62" s="77" t="n">
        <v>45238</v>
      </c>
      <c r="F62" s="86" t="n">
        <v>0.935011574074074</v>
      </c>
      <c r="G62" s="77" t="n">
        <v>45240</v>
      </c>
      <c r="H62" s="86" t="n">
        <v>0.339247685185185</v>
      </c>
      <c r="I62" s="7" t="s">
        <v>520</v>
      </c>
      <c r="J62" s="7" t="s">
        <v>32</v>
      </c>
    </row>
    <row r="63" customFormat="false" ht="15" hidden="false" customHeight="false" outlineLevel="0" collapsed="false">
      <c r="A63" s="2" t="n">
        <v>62</v>
      </c>
      <c r="B63" s="2" t="s">
        <v>322</v>
      </c>
      <c r="C63" s="2" t="n">
        <v>6</v>
      </c>
      <c r="D63" s="2" t="n">
        <v>4</v>
      </c>
      <c r="E63" s="82" t="n">
        <v>44987</v>
      </c>
      <c r="F63" s="87" t="n">
        <v>0.646423611111111</v>
      </c>
      <c r="G63" s="82" t="n">
        <v>44991</v>
      </c>
      <c r="H63" s="87" t="n">
        <v>0.994212962962963</v>
      </c>
      <c r="I63" s="2" t="s">
        <v>442</v>
      </c>
      <c r="J63" s="2" t="s">
        <v>33</v>
      </c>
    </row>
    <row r="64" customFormat="false" ht="15" hidden="false" customHeight="false" outlineLevel="0" collapsed="false">
      <c r="A64" s="7" t="n">
        <v>63</v>
      </c>
      <c r="B64" s="7" t="s">
        <v>272</v>
      </c>
      <c r="C64" s="7" t="n">
        <v>42</v>
      </c>
      <c r="D64" s="7" t="n">
        <v>3</v>
      </c>
      <c r="E64" s="77" t="n">
        <v>45102</v>
      </c>
      <c r="F64" s="86" t="n">
        <v>0.265717592592593</v>
      </c>
      <c r="G64" s="77" t="n">
        <v>45103</v>
      </c>
      <c r="H64" s="86" t="n">
        <v>0.652824074074074</v>
      </c>
      <c r="I64" s="7" t="s">
        <v>496</v>
      </c>
      <c r="J64" s="7" t="s">
        <v>165</v>
      </c>
    </row>
    <row r="65" customFormat="false" ht="15" hidden="false" customHeight="false" outlineLevel="0" collapsed="false">
      <c r="A65" s="2" t="n">
        <v>64</v>
      </c>
      <c r="B65" s="2" t="s">
        <v>164</v>
      </c>
      <c r="C65" s="2" t="n">
        <v>25</v>
      </c>
      <c r="D65" s="2" t="n">
        <v>1</v>
      </c>
      <c r="E65" s="82" t="n">
        <v>45089</v>
      </c>
      <c r="F65" s="87" t="n">
        <v>0.117118055555556</v>
      </c>
      <c r="G65" s="82" t="n">
        <v>45092</v>
      </c>
      <c r="H65" s="87" t="n">
        <v>0.920613425925926</v>
      </c>
      <c r="I65" s="2" t="s">
        <v>312</v>
      </c>
      <c r="J65" s="2" t="s">
        <v>168</v>
      </c>
    </row>
    <row r="66" customFormat="false" ht="15" hidden="false" customHeight="false" outlineLevel="0" collapsed="false">
      <c r="A66" s="7" t="n">
        <v>65</v>
      </c>
      <c r="B66" s="7" t="s">
        <v>204</v>
      </c>
      <c r="C66" s="7" t="n">
        <v>54</v>
      </c>
      <c r="D66" s="7" t="n">
        <v>2</v>
      </c>
      <c r="E66" s="77" t="n">
        <v>45170</v>
      </c>
      <c r="F66" s="86" t="n">
        <v>0.54337962962963</v>
      </c>
      <c r="G66" s="77" t="n">
        <v>45180</v>
      </c>
      <c r="H66" s="86" t="n">
        <v>0.273518518518519</v>
      </c>
      <c r="I66" s="7" t="s">
        <v>220</v>
      </c>
      <c r="J66" s="7" t="s">
        <v>168</v>
      </c>
    </row>
    <row r="67" customFormat="false" ht="15" hidden="false" customHeight="false" outlineLevel="0" collapsed="false">
      <c r="A67" s="2" t="n">
        <v>66</v>
      </c>
      <c r="B67" s="2" t="s">
        <v>170</v>
      </c>
      <c r="C67" s="2" t="n">
        <v>35</v>
      </c>
      <c r="D67" s="2" t="n">
        <v>5</v>
      </c>
      <c r="E67" s="82" t="n">
        <v>44983</v>
      </c>
      <c r="F67" s="87" t="n">
        <v>0.875509259259259</v>
      </c>
      <c r="G67" s="82" t="n">
        <v>44984</v>
      </c>
      <c r="H67" s="87" t="n">
        <v>0.268032407407407</v>
      </c>
      <c r="I67" s="2" t="s">
        <v>496</v>
      </c>
      <c r="J67" s="2" t="s">
        <v>33</v>
      </c>
    </row>
    <row r="68" customFormat="false" ht="15" hidden="false" customHeight="false" outlineLevel="0" collapsed="false">
      <c r="A68" s="7" t="n">
        <v>67</v>
      </c>
      <c r="B68" s="7" t="s">
        <v>245</v>
      </c>
      <c r="C68" s="7" t="n">
        <v>10</v>
      </c>
      <c r="D68" s="7" t="n">
        <v>2</v>
      </c>
      <c r="E68" s="77" t="n">
        <v>45113</v>
      </c>
      <c r="F68" s="86" t="n">
        <v>0.728020833333333</v>
      </c>
      <c r="G68" s="77" t="n">
        <v>45121</v>
      </c>
      <c r="H68" s="86" t="n">
        <v>0.882650462962963</v>
      </c>
      <c r="I68" s="7" t="s">
        <v>589</v>
      </c>
      <c r="J68" s="7" t="s">
        <v>31</v>
      </c>
    </row>
    <row r="69" customFormat="false" ht="15" hidden="false" customHeight="false" outlineLevel="0" collapsed="false">
      <c r="A69" s="2" t="n">
        <v>68</v>
      </c>
      <c r="B69" s="2" t="s">
        <v>254</v>
      </c>
      <c r="C69" s="2" t="n">
        <v>34</v>
      </c>
      <c r="D69" s="2" t="n">
        <v>4</v>
      </c>
      <c r="E69" s="82" t="n">
        <v>45163</v>
      </c>
      <c r="F69" s="87" t="n">
        <v>0.947199074074074</v>
      </c>
      <c r="G69" s="82" t="n">
        <v>45169</v>
      </c>
      <c r="H69" s="87" t="n">
        <v>0.896689814814815</v>
      </c>
      <c r="I69" s="2" t="s">
        <v>132</v>
      </c>
      <c r="J69" s="2" t="s">
        <v>40</v>
      </c>
    </row>
    <row r="70" customFormat="false" ht="15" hidden="false" customHeight="false" outlineLevel="0" collapsed="false">
      <c r="A70" s="7" t="n">
        <v>69</v>
      </c>
      <c r="B70" s="7" t="s">
        <v>369</v>
      </c>
      <c r="C70" s="7" t="n">
        <v>12</v>
      </c>
      <c r="D70" s="7" t="n">
        <v>4</v>
      </c>
      <c r="E70" s="77" t="n">
        <v>45171</v>
      </c>
      <c r="F70" s="86" t="n">
        <v>0.806724537037037</v>
      </c>
      <c r="G70" s="77" t="n">
        <v>45177</v>
      </c>
      <c r="H70" s="86" t="n">
        <v>0.395856481481482</v>
      </c>
      <c r="I70" s="7" t="s">
        <v>418</v>
      </c>
      <c r="J70" s="7" t="s">
        <v>168</v>
      </c>
    </row>
    <row r="71" customFormat="false" ht="15" hidden="false" customHeight="false" outlineLevel="0" collapsed="false">
      <c r="A71" s="2" t="n">
        <v>70</v>
      </c>
      <c r="B71" s="2" t="s">
        <v>215</v>
      </c>
      <c r="C71" s="2" t="n">
        <v>17</v>
      </c>
      <c r="D71" s="2" t="n">
        <v>1</v>
      </c>
      <c r="E71" s="82" t="n">
        <v>45197</v>
      </c>
      <c r="F71" s="87" t="n">
        <v>0.181354166666667</v>
      </c>
      <c r="G71" s="82" t="n">
        <v>45202</v>
      </c>
      <c r="H71" s="87" t="n">
        <v>0.489270833333333</v>
      </c>
      <c r="I71" s="2" t="s">
        <v>606</v>
      </c>
      <c r="J71" s="2" t="s">
        <v>168</v>
      </c>
    </row>
    <row r="72" customFormat="false" ht="15" hidden="false" customHeight="false" outlineLevel="0" collapsed="false">
      <c r="A72" s="7" t="n">
        <v>71</v>
      </c>
      <c r="B72" s="7" t="s">
        <v>159</v>
      </c>
      <c r="C72" s="7" t="n">
        <v>9</v>
      </c>
      <c r="D72" s="7" t="n">
        <v>5</v>
      </c>
      <c r="E72" s="77" t="n">
        <v>45158</v>
      </c>
      <c r="F72" s="86" t="n">
        <v>0.688958333333333</v>
      </c>
      <c r="G72" s="77" t="n">
        <v>45166</v>
      </c>
      <c r="H72" s="86" t="n">
        <v>0.563564814814815</v>
      </c>
      <c r="I72" s="7" t="s">
        <v>451</v>
      </c>
      <c r="J72" s="7" t="s">
        <v>40</v>
      </c>
    </row>
    <row r="73" customFormat="false" ht="15" hidden="false" customHeight="false" outlineLevel="0" collapsed="false">
      <c r="A73" s="2" t="n">
        <v>72</v>
      </c>
      <c r="B73" s="2" t="s">
        <v>278</v>
      </c>
      <c r="C73" s="2" t="n">
        <v>26</v>
      </c>
      <c r="D73" s="2" t="n">
        <v>3</v>
      </c>
      <c r="E73" s="82" t="n">
        <v>44988</v>
      </c>
      <c r="F73" s="87" t="n">
        <v>0.659328703703704</v>
      </c>
      <c r="G73" s="82" t="n">
        <v>44997</v>
      </c>
      <c r="H73" s="87" t="n">
        <v>0.732060185185185</v>
      </c>
      <c r="I73" s="2" t="s">
        <v>195</v>
      </c>
      <c r="J73" s="2" t="s">
        <v>33</v>
      </c>
    </row>
    <row r="74" customFormat="false" ht="15" hidden="false" customHeight="false" outlineLevel="0" collapsed="false">
      <c r="A74" s="7" t="n">
        <v>73</v>
      </c>
      <c r="B74" s="7" t="s">
        <v>275</v>
      </c>
      <c r="C74" s="7" t="n">
        <v>26</v>
      </c>
      <c r="D74" s="7" t="n">
        <v>1</v>
      </c>
      <c r="E74" s="77" t="n">
        <v>44988</v>
      </c>
      <c r="F74" s="86" t="n">
        <v>0.536527777777778</v>
      </c>
      <c r="G74" s="77" t="n">
        <v>44996</v>
      </c>
      <c r="H74" s="86" t="n">
        <v>0.0615277777777778</v>
      </c>
      <c r="I74" s="7" t="s">
        <v>371</v>
      </c>
      <c r="J74" s="7" t="s">
        <v>33</v>
      </c>
    </row>
    <row r="75" customFormat="false" ht="15" hidden="false" customHeight="false" outlineLevel="0" collapsed="false">
      <c r="A75" s="2" t="n">
        <v>74</v>
      </c>
      <c r="B75" s="2" t="s">
        <v>185</v>
      </c>
      <c r="C75" s="2" t="n">
        <v>31</v>
      </c>
      <c r="D75" s="2" t="n">
        <v>3</v>
      </c>
      <c r="E75" s="82" t="n">
        <v>44927</v>
      </c>
      <c r="F75" s="87" t="n">
        <v>0.871782407407407</v>
      </c>
      <c r="G75" s="82" t="n">
        <v>44933</v>
      </c>
      <c r="H75" s="87" t="n">
        <v>0.376423611111111</v>
      </c>
      <c r="I75" s="2" t="s">
        <v>565</v>
      </c>
      <c r="J75" s="2" t="s">
        <v>165</v>
      </c>
    </row>
    <row r="76" customFormat="false" ht="15" hidden="false" customHeight="false" outlineLevel="0" collapsed="false">
      <c r="A76" s="7" t="n">
        <v>75</v>
      </c>
      <c r="B76" s="7" t="s">
        <v>148</v>
      </c>
      <c r="C76" s="7" t="n">
        <v>65</v>
      </c>
      <c r="D76" s="7" t="n">
        <v>2</v>
      </c>
      <c r="E76" s="77" t="n">
        <v>45022</v>
      </c>
      <c r="F76" s="86" t="n">
        <v>0.465555555555556</v>
      </c>
      <c r="G76" s="77" t="n">
        <v>45025</v>
      </c>
      <c r="H76" s="86" t="n">
        <v>0.958726851851852</v>
      </c>
      <c r="I76" s="7" t="s">
        <v>195</v>
      </c>
      <c r="J76" s="7" t="s">
        <v>165</v>
      </c>
    </row>
    <row r="77" customFormat="false" ht="15" hidden="false" customHeight="false" outlineLevel="0" collapsed="false">
      <c r="A77" s="2" t="n">
        <v>76</v>
      </c>
      <c r="B77" s="2" t="s">
        <v>266</v>
      </c>
      <c r="C77" s="2" t="n">
        <v>4</v>
      </c>
      <c r="D77" s="2" t="n">
        <v>1</v>
      </c>
      <c r="E77" s="82" t="n">
        <v>45239</v>
      </c>
      <c r="F77" s="87" t="n">
        <v>0.217488425925926</v>
      </c>
      <c r="G77" s="82" t="n">
        <v>45242</v>
      </c>
      <c r="H77" s="87" t="n">
        <v>0.0241898148148148</v>
      </c>
      <c r="I77" s="2" t="s">
        <v>175</v>
      </c>
      <c r="J77" s="2" t="s">
        <v>32</v>
      </c>
    </row>
    <row r="78" customFormat="false" ht="15" hidden="false" customHeight="false" outlineLevel="0" collapsed="false">
      <c r="A78" s="7" t="n">
        <v>77</v>
      </c>
      <c r="B78" s="7" t="s">
        <v>194</v>
      </c>
      <c r="C78" s="7" t="n">
        <v>42</v>
      </c>
      <c r="D78" s="7" t="n">
        <v>3</v>
      </c>
      <c r="E78" s="77" t="n">
        <v>45143</v>
      </c>
      <c r="F78" s="86" t="n">
        <v>0.0466550925925926</v>
      </c>
      <c r="G78" s="77" t="n">
        <v>45151</v>
      </c>
      <c r="H78" s="86" t="n">
        <v>0.681157407407407</v>
      </c>
      <c r="I78" s="7" t="s">
        <v>448</v>
      </c>
      <c r="J78" s="7" t="s">
        <v>165</v>
      </c>
    </row>
    <row r="79" customFormat="false" ht="15" hidden="false" customHeight="false" outlineLevel="0" collapsed="false">
      <c r="A79" s="2" t="n">
        <v>78</v>
      </c>
      <c r="B79" s="2" t="s">
        <v>288</v>
      </c>
      <c r="C79" s="2" t="n">
        <v>11</v>
      </c>
      <c r="D79" s="2" t="n">
        <v>2</v>
      </c>
      <c r="E79" s="82" t="n">
        <v>44961</v>
      </c>
      <c r="F79" s="87" t="n">
        <v>0.541770833333333</v>
      </c>
      <c r="G79" s="82" t="n">
        <v>44965</v>
      </c>
      <c r="H79" s="87" t="n">
        <v>0.855034722222222</v>
      </c>
      <c r="I79" s="2" t="s">
        <v>518</v>
      </c>
      <c r="J79" s="2" t="s">
        <v>179</v>
      </c>
    </row>
    <row r="80" customFormat="false" ht="15" hidden="false" customHeight="false" outlineLevel="0" collapsed="false">
      <c r="A80" s="7" t="n">
        <v>79</v>
      </c>
      <c r="B80" s="7" t="s">
        <v>151</v>
      </c>
      <c r="C80" s="7" t="n">
        <v>40</v>
      </c>
      <c r="D80" s="7" t="n">
        <v>2</v>
      </c>
      <c r="E80" s="77" t="n">
        <v>45078</v>
      </c>
      <c r="F80" s="86" t="n">
        <v>0.728819444444445</v>
      </c>
      <c r="G80" s="77" t="n">
        <v>45088</v>
      </c>
      <c r="H80" s="86" t="n">
        <v>0.315891203703704</v>
      </c>
      <c r="I80" s="7" t="s">
        <v>603</v>
      </c>
      <c r="J80" s="7" t="s">
        <v>168</v>
      </c>
    </row>
    <row r="81" customFormat="false" ht="15" hidden="false" customHeight="false" outlineLevel="0" collapsed="false">
      <c r="A81" s="2" t="n">
        <v>80</v>
      </c>
      <c r="B81" s="2" t="s">
        <v>145</v>
      </c>
      <c r="C81" s="2" t="n">
        <v>39</v>
      </c>
      <c r="D81" s="2" t="n">
        <v>4</v>
      </c>
      <c r="E81" s="82" t="n">
        <v>44928</v>
      </c>
      <c r="F81" s="87" t="n">
        <v>0.463217592592593</v>
      </c>
      <c r="G81" s="82" t="n">
        <v>44937</v>
      </c>
      <c r="H81" s="87" t="n">
        <v>0.0873842592592593</v>
      </c>
      <c r="I81" s="2" t="s">
        <v>553</v>
      </c>
      <c r="J81" s="2" t="s">
        <v>165</v>
      </c>
    </row>
    <row r="82" customFormat="false" ht="15" hidden="false" customHeight="false" outlineLevel="0" collapsed="false">
      <c r="A82" s="7" t="n">
        <v>81</v>
      </c>
      <c r="B82" s="7" t="s">
        <v>263</v>
      </c>
      <c r="C82" s="7" t="n">
        <v>1</v>
      </c>
      <c r="D82" s="7" t="n">
        <v>5</v>
      </c>
      <c r="E82" s="77" t="n">
        <v>44979</v>
      </c>
      <c r="F82" s="86" t="n">
        <v>0.770381944444444</v>
      </c>
      <c r="G82" s="77" t="n">
        <v>44988</v>
      </c>
      <c r="H82" s="86" t="n">
        <v>0.298287037037037</v>
      </c>
      <c r="I82" s="7" t="s">
        <v>446</v>
      </c>
      <c r="J82" s="7" t="s">
        <v>165</v>
      </c>
    </row>
    <row r="83" customFormat="false" ht="15" hidden="false" customHeight="false" outlineLevel="0" collapsed="false">
      <c r="A83" s="2" t="n">
        <v>82</v>
      </c>
      <c r="B83" s="2" t="s">
        <v>218</v>
      </c>
      <c r="C83" s="2" t="n">
        <v>70</v>
      </c>
      <c r="D83" s="2" t="n">
        <v>3</v>
      </c>
      <c r="E83" s="82" t="n">
        <v>45142</v>
      </c>
      <c r="F83" s="87" t="n">
        <v>0.918113425925926</v>
      </c>
      <c r="G83" s="82" t="n">
        <v>45143</v>
      </c>
      <c r="H83" s="87" t="n">
        <v>0.589039351851852</v>
      </c>
      <c r="I83" s="2" t="s">
        <v>402</v>
      </c>
      <c r="J83" s="2" t="s">
        <v>31</v>
      </c>
    </row>
    <row r="84" customFormat="false" ht="15" hidden="false" customHeight="false" outlineLevel="0" collapsed="false">
      <c r="A84" s="7" t="n">
        <v>83</v>
      </c>
      <c r="B84" s="7" t="s">
        <v>212</v>
      </c>
      <c r="C84" s="7" t="n">
        <v>27</v>
      </c>
      <c r="D84" s="7" t="n">
        <v>4</v>
      </c>
      <c r="E84" s="77" t="n">
        <v>45161</v>
      </c>
      <c r="F84" s="86" t="n">
        <v>0.800011574074074</v>
      </c>
      <c r="G84" s="77" t="n">
        <v>45171</v>
      </c>
      <c r="H84" s="86" t="n">
        <v>0.613888888888889</v>
      </c>
      <c r="I84" s="7" t="s">
        <v>184</v>
      </c>
      <c r="J84" s="7" t="s">
        <v>40</v>
      </c>
    </row>
    <row r="85" customFormat="false" ht="15" hidden="false" customHeight="false" outlineLevel="0" collapsed="false">
      <c r="A85" s="2" t="n">
        <v>84</v>
      </c>
      <c r="B85" s="2" t="s">
        <v>202</v>
      </c>
      <c r="C85" s="2" t="n">
        <v>47</v>
      </c>
      <c r="D85" s="2" t="n">
        <v>1</v>
      </c>
      <c r="E85" s="82" t="n">
        <v>44989</v>
      </c>
      <c r="F85" s="87" t="n">
        <v>0.147106481481482</v>
      </c>
      <c r="G85" s="82" t="n">
        <v>44991</v>
      </c>
      <c r="H85" s="87" t="n">
        <v>0.293287037037037</v>
      </c>
      <c r="I85" s="2" t="s">
        <v>593</v>
      </c>
      <c r="J85" s="2" t="s">
        <v>33</v>
      </c>
    </row>
    <row r="86" customFormat="false" ht="15" hidden="false" customHeight="false" outlineLevel="0" collapsed="false">
      <c r="A86" s="7" t="n">
        <v>85</v>
      </c>
      <c r="B86" s="7" t="s">
        <v>227</v>
      </c>
      <c r="C86" s="7" t="n">
        <v>26</v>
      </c>
      <c r="D86" s="7" t="n">
        <v>2</v>
      </c>
      <c r="E86" s="77" t="n">
        <v>44989</v>
      </c>
      <c r="F86" s="86" t="n">
        <v>0.899537037037037</v>
      </c>
      <c r="G86" s="77" t="n">
        <v>44999</v>
      </c>
      <c r="H86" s="86" t="n">
        <v>0.616921296296296</v>
      </c>
      <c r="I86" s="7" t="s">
        <v>129</v>
      </c>
      <c r="J86" s="7" t="s">
        <v>33</v>
      </c>
    </row>
    <row r="87" customFormat="false" ht="15" hidden="false" customHeight="false" outlineLevel="0" collapsed="false">
      <c r="A87" s="2" t="n">
        <v>86</v>
      </c>
      <c r="B87" s="2" t="s">
        <v>242</v>
      </c>
      <c r="C87" s="2" t="n">
        <v>39</v>
      </c>
      <c r="D87" s="2" t="n">
        <v>4</v>
      </c>
      <c r="E87" s="82" t="n">
        <v>45182</v>
      </c>
      <c r="F87" s="87" t="n">
        <v>0.477650462962963</v>
      </c>
      <c r="G87" s="82" t="n">
        <v>45191</v>
      </c>
      <c r="H87" s="87" t="n">
        <v>0.589930555555556</v>
      </c>
      <c r="I87" s="2" t="s">
        <v>570</v>
      </c>
      <c r="J87" s="2" t="s">
        <v>165</v>
      </c>
    </row>
    <row r="88" customFormat="false" ht="15" hidden="false" customHeight="false" outlineLevel="0" collapsed="false">
      <c r="A88" s="7" t="n">
        <v>87</v>
      </c>
      <c r="B88" s="7" t="s">
        <v>269</v>
      </c>
      <c r="C88" s="7" t="n">
        <v>2</v>
      </c>
      <c r="D88" s="7" t="n">
        <v>5</v>
      </c>
      <c r="E88" s="77" t="n">
        <v>44961</v>
      </c>
      <c r="F88" s="86" t="n">
        <v>0.553715277777778</v>
      </c>
      <c r="G88" s="77" t="n">
        <v>44968</v>
      </c>
      <c r="H88" s="86" t="n">
        <v>0.962916666666667</v>
      </c>
      <c r="I88" s="7" t="s">
        <v>480</v>
      </c>
      <c r="J88" s="7" t="s">
        <v>179</v>
      </c>
    </row>
    <row r="89" customFormat="false" ht="15" hidden="false" customHeight="false" outlineLevel="0" collapsed="false">
      <c r="A89" s="2" t="n">
        <v>88</v>
      </c>
      <c r="B89" s="2" t="s">
        <v>145</v>
      </c>
      <c r="C89" s="2" t="n">
        <v>15</v>
      </c>
      <c r="D89" s="2" t="n">
        <v>4</v>
      </c>
      <c r="E89" s="82" t="n">
        <v>45282</v>
      </c>
      <c r="F89" s="87" t="n">
        <v>0.418414351851852</v>
      </c>
      <c r="G89" s="82" t="n">
        <v>45292</v>
      </c>
      <c r="H89" s="87" t="n">
        <v>0.51244212962963</v>
      </c>
      <c r="I89" s="2" t="s">
        <v>189</v>
      </c>
      <c r="J89" s="2" t="s">
        <v>168</v>
      </c>
    </row>
    <row r="90" customFormat="false" ht="15" hidden="false" customHeight="false" outlineLevel="0" collapsed="false">
      <c r="A90" s="7" t="n">
        <v>89</v>
      </c>
      <c r="B90" s="7" t="s">
        <v>283</v>
      </c>
      <c r="C90" s="7" t="n">
        <v>3</v>
      </c>
      <c r="D90" s="7" t="n">
        <v>5</v>
      </c>
      <c r="E90" s="77" t="n">
        <v>44969</v>
      </c>
      <c r="F90" s="86" t="n">
        <v>0.956157407407407</v>
      </c>
      <c r="G90" s="77" t="n">
        <v>44970</v>
      </c>
      <c r="H90" s="86" t="n">
        <v>0.612280092592593</v>
      </c>
      <c r="I90" s="7" t="s">
        <v>187</v>
      </c>
      <c r="J90" s="7" t="s">
        <v>179</v>
      </c>
    </row>
    <row r="91" customFormat="false" ht="15" hidden="false" customHeight="false" outlineLevel="0" collapsed="false">
      <c r="A91" s="2" t="n">
        <v>90</v>
      </c>
      <c r="B91" s="2" t="s">
        <v>360</v>
      </c>
      <c r="C91" s="2" t="n">
        <v>41</v>
      </c>
      <c r="D91" s="2" t="n">
        <v>3</v>
      </c>
      <c r="E91" s="82" t="n">
        <v>45239</v>
      </c>
      <c r="F91" s="87" t="n">
        <v>0.871018518518519</v>
      </c>
      <c r="G91" s="82" t="n">
        <v>45248</v>
      </c>
      <c r="H91" s="87" t="n">
        <v>0.742071759259259</v>
      </c>
      <c r="I91" s="2" t="s">
        <v>562</v>
      </c>
      <c r="J91" s="2" t="s">
        <v>32</v>
      </c>
    </row>
    <row r="92" customFormat="false" ht="15" hidden="false" customHeight="false" outlineLevel="0" collapsed="false">
      <c r="A92" s="7" t="n">
        <v>91</v>
      </c>
      <c r="B92" s="7" t="s">
        <v>285</v>
      </c>
      <c r="C92" s="7" t="n">
        <v>6</v>
      </c>
      <c r="D92" s="7" t="n">
        <v>2</v>
      </c>
      <c r="E92" s="77" t="n">
        <v>44984</v>
      </c>
      <c r="F92" s="86" t="n">
        <v>0.578425925925926</v>
      </c>
      <c r="G92" s="77" t="n">
        <v>44990</v>
      </c>
      <c r="H92" s="86" t="n">
        <v>0.557928240740741</v>
      </c>
      <c r="I92" s="7" t="s">
        <v>478</v>
      </c>
      <c r="J92" s="7" t="s">
        <v>33</v>
      </c>
    </row>
    <row r="93" customFormat="false" ht="15" hidden="false" customHeight="false" outlineLevel="0" collapsed="false">
      <c r="A93" s="2" t="n">
        <v>92</v>
      </c>
      <c r="B93" s="2" t="s">
        <v>392</v>
      </c>
      <c r="C93" s="2" t="n">
        <v>18</v>
      </c>
      <c r="D93" s="2" t="n">
        <v>5</v>
      </c>
      <c r="E93" s="82" t="n">
        <v>45061</v>
      </c>
      <c r="F93" s="87" t="n">
        <v>0.00784722222222222</v>
      </c>
      <c r="G93" s="82" t="n">
        <v>45071</v>
      </c>
      <c r="H93" s="87" t="n">
        <v>0.470775462962963</v>
      </c>
      <c r="I93" s="2" t="s">
        <v>548</v>
      </c>
      <c r="J93" s="2" t="s">
        <v>31</v>
      </c>
    </row>
    <row r="94" customFormat="false" ht="15" hidden="false" customHeight="false" outlineLevel="0" collapsed="false">
      <c r="A94" s="7" t="n">
        <v>93</v>
      </c>
      <c r="B94" s="7" t="s">
        <v>245</v>
      </c>
      <c r="C94" s="7" t="n">
        <v>24</v>
      </c>
      <c r="D94" s="7" t="n">
        <v>4</v>
      </c>
      <c r="E94" s="77" t="n">
        <v>45047</v>
      </c>
      <c r="F94" s="86" t="n">
        <v>0.743738425925926</v>
      </c>
      <c r="G94" s="77" t="n">
        <v>45049</v>
      </c>
      <c r="H94" s="86" t="n">
        <v>0.774953703703704</v>
      </c>
      <c r="I94" s="7" t="s">
        <v>609</v>
      </c>
      <c r="J94" s="7" t="s">
        <v>31</v>
      </c>
    </row>
    <row r="95" customFormat="false" ht="15" hidden="false" customHeight="false" outlineLevel="0" collapsed="false">
      <c r="A95" s="2" t="n">
        <v>94</v>
      </c>
      <c r="B95" s="2" t="s">
        <v>390</v>
      </c>
      <c r="C95" s="2" t="n">
        <v>69</v>
      </c>
      <c r="D95" s="2" t="n">
        <v>5</v>
      </c>
      <c r="E95" s="82" t="n">
        <v>44987</v>
      </c>
      <c r="F95" s="87" t="n">
        <v>0.618842592592593</v>
      </c>
      <c r="G95" s="82" t="n">
        <v>44996</v>
      </c>
      <c r="H95" s="87" t="n">
        <v>0.343622685185185</v>
      </c>
      <c r="I95" s="2" t="s">
        <v>533</v>
      </c>
      <c r="J95" s="2" t="s">
        <v>33</v>
      </c>
    </row>
    <row r="96" customFormat="false" ht="15" hidden="false" customHeight="false" outlineLevel="0" collapsed="false">
      <c r="A96" s="7" t="n">
        <v>95</v>
      </c>
      <c r="B96" s="7" t="s">
        <v>221</v>
      </c>
      <c r="C96" s="7" t="n">
        <v>70</v>
      </c>
      <c r="D96" s="7" t="n">
        <v>4</v>
      </c>
      <c r="E96" s="77" t="n">
        <v>45075</v>
      </c>
      <c r="F96" s="86" t="n">
        <v>0.329641203703704</v>
      </c>
      <c r="G96" s="77" t="n">
        <v>45080</v>
      </c>
      <c r="H96" s="86" t="n">
        <v>0.303159722222222</v>
      </c>
      <c r="I96" s="7" t="s">
        <v>506</v>
      </c>
      <c r="J96" s="7" t="s">
        <v>31</v>
      </c>
    </row>
    <row r="97" customFormat="false" ht="15" hidden="false" customHeight="false" outlineLevel="0" collapsed="false">
      <c r="A97" s="2" t="n">
        <v>96</v>
      </c>
      <c r="B97" s="2" t="s">
        <v>390</v>
      </c>
      <c r="C97" s="2" t="n">
        <v>25</v>
      </c>
      <c r="D97" s="2" t="n">
        <v>3</v>
      </c>
      <c r="E97" s="82" t="n">
        <v>44999</v>
      </c>
      <c r="F97" s="87" t="n">
        <v>0.625243055555556</v>
      </c>
      <c r="G97" s="82" t="n">
        <v>45008</v>
      </c>
      <c r="H97" s="87" t="n">
        <v>0.372291666666667</v>
      </c>
      <c r="I97" s="2" t="s">
        <v>471</v>
      </c>
      <c r="J97" s="2" t="s">
        <v>168</v>
      </c>
    </row>
    <row r="98" customFormat="false" ht="15" hidden="false" customHeight="false" outlineLevel="0" collapsed="false">
      <c r="A98" s="7" t="n">
        <v>97</v>
      </c>
      <c r="B98" s="7" t="s">
        <v>227</v>
      </c>
      <c r="C98" s="7" t="n">
        <v>41</v>
      </c>
      <c r="D98" s="7" t="n">
        <v>1</v>
      </c>
      <c r="E98" s="77" t="n">
        <v>45233</v>
      </c>
      <c r="F98" s="86" t="n">
        <v>0.841342592592593</v>
      </c>
      <c r="G98" s="77" t="n">
        <v>45238</v>
      </c>
      <c r="H98" s="86" t="n">
        <v>0.0662615740740741</v>
      </c>
      <c r="I98" s="7" t="s">
        <v>238</v>
      </c>
      <c r="J98" s="7" t="s">
        <v>32</v>
      </c>
    </row>
    <row r="99" customFormat="false" ht="15" hidden="false" customHeight="false" outlineLevel="0" collapsed="false">
      <c r="A99" s="2" t="n">
        <v>98</v>
      </c>
      <c r="B99" s="2" t="s">
        <v>200</v>
      </c>
      <c r="C99" s="2" t="n">
        <v>8</v>
      </c>
      <c r="D99" s="2" t="n">
        <v>1</v>
      </c>
      <c r="E99" s="82" t="n">
        <v>45229</v>
      </c>
      <c r="F99" s="87" t="n">
        <v>0.643055555555556</v>
      </c>
      <c r="G99" s="82" t="n">
        <v>45231</v>
      </c>
      <c r="H99" s="87" t="n">
        <v>0.690601851851852</v>
      </c>
      <c r="I99" s="2" t="s">
        <v>290</v>
      </c>
      <c r="J99" s="2" t="s">
        <v>168</v>
      </c>
    </row>
    <row r="100" customFormat="false" ht="15" hidden="false" customHeight="false" outlineLevel="0" collapsed="false">
      <c r="A100" s="7" t="n">
        <v>99</v>
      </c>
      <c r="B100" s="7" t="s">
        <v>254</v>
      </c>
      <c r="C100" s="7" t="n">
        <v>38</v>
      </c>
      <c r="D100" s="7" t="n">
        <v>3</v>
      </c>
      <c r="E100" s="77" t="n">
        <v>45234</v>
      </c>
      <c r="F100" s="86" t="n">
        <v>0.583865740740741</v>
      </c>
      <c r="G100" s="77" t="n">
        <v>45235</v>
      </c>
      <c r="H100" s="86" t="n">
        <v>0.65599537037037</v>
      </c>
      <c r="I100" s="7" t="s">
        <v>293</v>
      </c>
      <c r="J100" s="7" t="s">
        <v>31</v>
      </c>
    </row>
    <row r="101" customFormat="false" ht="15" hidden="false" customHeight="false" outlineLevel="0" collapsed="false">
      <c r="A101" s="2" t="n">
        <v>100</v>
      </c>
      <c r="B101" s="2" t="s">
        <v>269</v>
      </c>
      <c r="C101" s="2" t="n">
        <v>42</v>
      </c>
      <c r="D101" s="2" t="n">
        <v>5</v>
      </c>
      <c r="E101" s="82" t="n">
        <v>45055</v>
      </c>
      <c r="F101" s="87" t="n">
        <v>0.243136574074074</v>
      </c>
      <c r="G101" s="82" t="n">
        <v>45063</v>
      </c>
      <c r="H101" s="87" t="n">
        <v>0.229467592592593</v>
      </c>
      <c r="I101" s="2" t="s">
        <v>256</v>
      </c>
      <c r="J101" s="2" t="s">
        <v>165</v>
      </c>
    </row>
    <row r="102" customFormat="false" ht="15" hidden="false" customHeight="false" outlineLevel="0" collapsed="false">
      <c r="A102" s="7" t="n">
        <v>101</v>
      </c>
      <c r="B102" s="7" t="s">
        <v>294</v>
      </c>
      <c r="C102" s="7" t="n">
        <v>70</v>
      </c>
      <c r="D102" s="7" t="n">
        <v>4</v>
      </c>
      <c r="E102" s="77" t="n">
        <v>45096</v>
      </c>
      <c r="F102" s="86" t="n">
        <v>0.164490740740741</v>
      </c>
      <c r="G102" s="77" t="n">
        <v>45098</v>
      </c>
      <c r="H102" s="86" t="n">
        <v>0.262928240740741</v>
      </c>
      <c r="I102" s="7" t="s">
        <v>211</v>
      </c>
      <c r="J102" s="7" t="s">
        <v>31</v>
      </c>
    </row>
    <row r="103" customFormat="false" ht="15" hidden="false" customHeight="false" outlineLevel="0" collapsed="false">
      <c r="A103" s="2" t="n">
        <v>102</v>
      </c>
      <c r="B103" s="2" t="s">
        <v>341</v>
      </c>
      <c r="C103" s="2" t="n">
        <v>10</v>
      </c>
      <c r="D103" s="2" t="n">
        <v>3</v>
      </c>
      <c r="E103" s="82" t="n">
        <v>45227</v>
      </c>
      <c r="F103" s="87" t="n">
        <v>0.815439814814815</v>
      </c>
      <c r="G103" s="82" t="n">
        <v>45236</v>
      </c>
      <c r="H103" s="87" t="n">
        <v>0.296238425925926</v>
      </c>
      <c r="I103" s="2" t="s">
        <v>516</v>
      </c>
      <c r="J103" s="2" t="s">
        <v>31</v>
      </c>
    </row>
    <row r="104" customFormat="false" ht="15" hidden="false" customHeight="false" outlineLevel="0" collapsed="false">
      <c r="A104" s="7" t="n">
        <v>103</v>
      </c>
      <c r="B104" s="7" t="s">
        <v>385</v>
      </c>
      <c r="C104" s="7" t="n">
        <v>18</v>
      </c>
      <c r="D104" s="7" t="n">
        <v>3</v>
      </c>
      <c r="E104" s="77" t="n">
        <v>44958</v>
      </c>
      <c r="F104" s="86" t="n">
        <v>0.517349537037037</v>
      </c>
      <c r="G104" s="77" t="n">
        <v>44965</v>
      </c>
      <c r="H104" s="86" t="n">
        <v>0.952534722222222</v>
      </c>
      <c r="I104" s="7" t="s">
        <v>420</v>
      </c>
      <c r="J104" s="7" t="s">
        <v>31</v>
      </c>
    </row>
    <row r="105" customFormat="false" ht="15" hidden="false" customHeight="false" outlineLevel="0" collapsed="false">
      <c r="A105" s="2" t="n">
        <v>104</v>
      </c>
      <c r="B105" s="2" t="s">
        <v>344</v>
      </c>
      <c r="C105" s="2" t="n">
        <v>51</v>
      </c>
      <c r="D105" s="2" t="n">
        <v>3</v>
      </c>
      <c r="E105" s="82" t="n">
        <v>45289</v>
      </c>
      <c r="F105" s="87" t="n">
        <v>0.0732523148148148</v>
      </c>
      <c r="G105" s="82" t="n">
        <v>45296</v>
      </c>
      <c r="H105" s="87" t="n">
        <v>0.0107407407407407</v>
      </c>
      <c r="I105" s="2" t="s">
        <v>135</v>
      </c>
      <c r="J105" s="2" t="s">
        <v>165</v>
      </c>
    </row>
    <row r="106" customFormat="false" ht="15" hidden="false" customHeight="false" outlineLevel="0" collapsed="false">
      <c r="A106" s="7" t="n">
        <v>105</v>
      </c>
      <c r="B106" s="7" t="s">
        <v>291</v>
      </c>
      <c r="C106" s="7" t="n">
        <v>36</v>
      </c>
      <c r="D106" s="7" t="n">
        <v>2</v>
      </c>
      <c r="E106" s="77" t="n">
        <v>44968</v>
      </c>
      <c r="F106" s="86" t="n">
        <v>0.123333333333333</v>
      </c>
      <c r="G106" s="77" t="n">
        <v>44978</v>
      </c>
      <c r="H106" s="86" t="n">
        <v>0.0653935185185185</v>
      </c>
      <c r="I106" s="7" t="s">
        <v>397</v>
      </c>
      <c r="J106" s="7" t="s">
        <v>31</v>
      </c>
    </row>
    <row r="107" customFormat="false" ht="15" hidden="false" customHeight="false" outlineLevel="0" collapsed="false">
      <c r="A107" s="2" t="n">
        <v>106</v>
      </c>
      <c r="B107" s="2" t="s">
        <v>379</v>
      </c>
      <c r="C107" s="2" t="n">
        <v>41</v>
      </c>
      <c r="D107" s="2" t="n">
        <v>2</v>
      </c>
      <c r="E107" s="82" t="n">
        <v>45236</v>
      </c>
      <c r="F107" s="87" t="n">
        <v>0.747060185185185</v>
      </c>
      <c r="G107" s="82" t="n">
        <v>45238</v>
      </c>
      <c r="H107" s="87" t="n">
        <v>0.958657407407408</v>
      </c>
      <c r="I107" s="2" t="s">
        <v>310</v>
      </c>
      <c r="J107" s="2" t="s">
        <v>32</v>
      </c>
    </row>
    <row r="108" customFormat="false" ht="15" hidden="false" customHeight="false" outlineLevel="0" collapsed="false">
      <c r="A108" s="7" t="n">
        <v>107</v>
      </c>
      <c r="B108" s="7" t="s">
        <v>227</v>
      </c>
      <c r="C108" s="7" t="n">
        <v>4</v>
      </c>
      <c r="D108" s="7" t="n">
        <v>3</v>
      </c>
      <c r="E108" s="77" t="n">
        <v>45236</v>
      </c>
      <c r="F108" s="86" t="n">
        <v>0.429247685185185</v>
      </c>
      <c r="G108" s="77" t="n">
        <v>45242</v>
      </c>
      <c r="H108" s="86" t="n">
        <v>0.597465277777778</v>
      </c>
      <c r="I108" s="7" t="s">
        <v>394</v>
      </c>
      <c r="J108" s="7" t="s">
        <v>32</v>
      </c>
    </row>
    <row r="109" customFormat="false" ht="15" hidden="false" customHeight="false" outlineLevel="0" collapsed="false">
      <c r="A109" s="2" t="n">
        <v>108</v>
      </c>
      <c r="B109" s="2" t="s">
        <v>157</v>
      </c>
      <c r="C109" s="2" t="n">
        <v>26</v>
      </c>
      <c r="D109" s="2" t="n">
        <v>4</v>
      </c>
      <c r="E109" s="82" t="n">
        <v>44984</v>
      </c>
      <c r="F109" s="87" t="n">
        <v>0.377384259259259</v>
      </c>
      <c r="G109" s="82" t="n">
        <v>44990</v>
      </c>
      <c r="H109" s="87" t="n">
        <v>0.335474537037037</v>
      </c>
      <c r="I109" s="2" t="s">
        <v>217</v>
      </c>
      <c r="J109" s="2" t="s">
        <v>33</v>
      </c>
    </row>
    <row r="110" customFormat="false" ht="15" hidden="false" customHeight="false" outlineLevel="0" collapsed="false">
      <c r="A110" s="7" t="n">
        <v>109</v>
      </c>
      <c r="B110" s="7" t="s">
        <v>322</v>
      </c>
      <c r="C110" s="7" t="n">
        <v>50</v>
      </c>
      <c r="D110" s="7" t="n">
        <v>5</v>
      </c>
      <c r="E110" s="77" t="n">
        <v>44984</v>
      </c>
      <c r="F110" s="86" t="n">
        <v>0.649861111111111</v>
      </c>
      <c r="G110" s="77" t="n">
        <v>44986</v>
      </c>
      <c r="H110" s="86" t="n">
        <v>0.36037037037037</v>
      </c>
      <c r="I110" s="7" t="s">
        <v>376</v>
      </c>
      <c r="J110" s="7" t="s">
        <v>33</v>
      </c>
    </row>
    <row r="111" customFormat="false" ht="15" hidden="false" customHeight="false" outlineLevel="0" collapsed="false">
      <c r="A111" s="2" t="n">
        <v>110</v>
      </c>
      <c r="B111" s="2" t="s">
        <v>325</v>
      </c>
      <c r="C111" s="2" t="n">
        <v>26</v>
      </c>
      <c r="D111" s="2" t="n">
        <v>2</v>
      </c>
      <c r="E111" s="82" t="n">
        <v>44989</v>
      </c>
      <c r="F111" s="87" t="n">
        <v>0.474814814814815</v>
      </c>
      <c r="G111" s="82" t="n">
        <v>44998</v>
      </c>
      <c r="H111" s="87" t="n">
        <v>0.35244212962963</v>
      </c>
      <c r="I111" s="2" t="s">
        <v>459</v>
      </c>
      <c r="J111" s="2" t="s">
        <v>33</v>
      </c>
    </row>
    <row r="112" customFormat="false" ht="15" hidden="false" customHeight="false" outlineLevel="0" collapsed="false">
      <c r="A112" s="7" t="n">
        <v>111</v>
      </c>
      <c r="B112" s="7" t="s">
        <v>148</v>
      </c>
      <c r="C112" s="7" t="n">
        <v>8</v>
      </c>
      <c r="D112" s="7" t="n">
        <v>3</v>
      </c>
      <c r="E112" s="77" t="n">
        <v>45098</v>
      </c>
      <c r="F112" s="86" t="n">
        <v>0.596493055555556</v>
      </c>
      <c r="G112" s="77" t="n">
        <v>45102</v>
      </c>
      <c r="H112" s="86" t="n">
        <v>0.877743055555556</v>
      </c>
      <c r="I112" s="7" t="s">
        <v>542</v>
      </c>
      <c r="J112" s="7" t="s">
        <v>168</v>
      </c>
    </row>
    <row r="113" customFormat="false" ht="15" hidden="false" customHeight="false" outlineLevel="0" collapsed="false">
      <c r="A113" s="2" t="n">
        <v>112</v>
      </c>
      <c r="B113" s="2" t="s">
        <v>183</v>
      </c>
      <c r="C113" s="2" t="n">
        <v>37</v>
      </c>
      <c r="D113" s="2" t="n">
        <v>3</v>
      </c>
      <c r="E113" s="82" t="n">
        <v>45241</v>
      </c>
      <c r="F113" s="87" t="n">
        <v>0.275046296296296</v>
      </c>
      <c r="G113" s="82" t="n">
        <v>45244</v>
      </c>
      <c r="H113" s="87" t="n">
        <v>0.660405092592593</v>
      </c>
      <c r="I113" s="2" t="s">
        <v>460</v>
      </c>
      <c r="J113" s="2" t="s">
        <v>32</v>
      </c>
    </row>
    <row r="114" customFormat="false" ht="15" hidden="false" customHeight="false" outlineLevel="0" collapsed="false">
      <c r="A114" s="7" t="n">
        <v>113</v>
      </c>
      <c r="B114" s="7" t="s">
        <v>202</v>
      </c>
      <c r="C114" s="7" t="n">
        <v>1</v>
      </c>
      <c r="D114" s="7" t="n">
        <v>3</v>
      </c>
      <c r="E114" s="77" t="n">
        <v>45244</v>
      </c>
      <c r="F114" s="86" t="n">
        <v>0.646180555555556</v>
      </c>
      <c r="G114" s="77" t="n">
        <v>45253</v>
      </c>
      <c r="H114" s="86" t="n">
        <v>0.185266203703704</v>
      </c>
      <c r="I114" s="7" t="s">
        <v>290</v>
      </c>
      <c r="J114" s="7" t="s">
        <v>165</v>
      </c>
    </row>
    <row r="115" customFormat="false" ht="15" hidden="false" customHeight="false" outlineLevel="0" collapsed="false">
      <c r="A115" s="2" t="n">
        <v>114</v>
      </c>
      <c r="B115" s="2" t="s">
        <v>148</v>
      </c>
      <c r="C115" s="2" t="n">
        <v>40</v>
      </c>
      <c r="D115" s="2" t="n">
        <v>4</v>
      </c>
      <c r="E115" s="82" t="n">
        <v>44960</v>
      </c>
      <c r="F115" s="87" t="n">
        <v>0.668923611111111</v>
      </c>
      <c r="G115" s="82" t="n">
        <v>44964</v>
      </c>
      <c r="H115" s="87" t="n">
        <v>0.0991666666666667</v>
      </c>
      <c r="I115" s="2" t="s">
        <v>458</v>
      </c>
      <c r="J115" s="2" t="s">
        <v>168</v>
      </c>
    </row>
    <row r="116" customFormat="false" ht="15" hidden="false" customHeight="false" outlineLevel="0" collapsed="false">
      <c r="A116" s="7" t="n">
        <v>115</v>
      </c>
      <c r="B116" s="7" t="s">
        <v>379</v>
      </c>
      <c r="C116" s="7" t="n">
        <v>57</v>
      </c>
      <c r="D116" s="7" t="n">
        <v>1</v>
      </c>
      <c r="E116" s="77" t="n">
        <v>45044</v>
      </c>
      <c r="F116" s="86" t="n">
        <v>0.757893518518519</v>
      </c>
      <c r="G116" s="77" t="n">
        <v>45051</v>
      </c>
      <c r="H116" s="86" t="n">
        <v>0.48369212962963</v>
      </c>
      <c r="I116" s="7" t="s">
        <v>440</v>
      </c>
      <c r="J116" s="7" t="s">
        <v>31</v>
      </c>
    </row>
    <row r="117" customFormat="false" ht="15" hidden="false" customHeight="false" outlineLevel="0" collapsed="false">
      <c r="A117" s="2" t="n">
        <v>116</v>
      </c>
      <c r="B117" s="2" t="s">
        <v>148</v>
      </c>
      <c r="C117" s="2" t="n">
        <v>4</v>
      </c>
      <c r="D117" s="2" t="n">
        <v>3</v>
      </c>
      <c r="E117" s="82" t="n">
        <v>45241</v>
      </c>
      <c r="F117" s="87" t="n">
        <v>0.602835648148148</v>
      </c>
      <c r="G117" s="82" t="n">
        <v>45250</v>
      </c>
      <c r="H117" s="87" t="n">
        <v>0.22599537037037</v>
      </c>
      <c r="I117" s="2" t="s">
        <v>416</v>
      </c>
      <c r="J117" s="2" t="s">
        <v>32</v>
      </c>
    </row>
    <row r="118" customFormat="false" ht="15" hidden="false" customHeight="false" outlineLevel="0" collapsed="false">
      <c r="A118" s="7" t="n">
        <v>117</v>
      </c>
      <c r="B118" s="7" t="s">
        <v>204</v>
      </c>
      <c r="C118" s="7" t="n">
        <v>59</v>
      </c>
      <c r="D118" s="7" t="n">
        <v>3</v>
      </c>
      <c r="E118" s="77" t="n">
        <v>45158</v>
      </c>
      <c r="F118" s="86" t="n">
        <v>0.784780092592593</v>
      </c>
      <c r="G118" s="77" t="n">
        <v>45160</v>
      </c>
      <c r="H118" s="86" t="n">
        <v>0.154872685185185</v>
      </c>
      <c r="I118" s="7" t="s">
        <v>472</v>
      </c>
      <c r="J118" s="7" t="s">
        <v>40</v>
      </c>
    </row>
    <row r="119" customFormat="false" ht="15" hidden="false" customHeight="false" outlineLevel="0" collapsed="false">
      <c r="A119" s="2" t="n">
        <v>118</v>
      </c>
      <c r="B119" s="2" t="s">
        <v>209</v>
      </c>
      <c r="C119" s="2" t="n">
        <v>62</v>
      </c>
      <c r="D119" s="2" t="n">
        <v>1</v>
      </c>
      <c r="E119" s="82" t="n">
        <v>44984</v>
      </c>
      <c r="F119" s="87" t="n">
        <v>0.604849537037037</v>
      </c>
      <c r="G119" s="82" t="n">
        <v>44990</v>
      </c>
      <c r="H119" s="87" t="n">
        <v>0.439490740740741</v>
      </c>
      <c r="I119" s="2" t="s">
        <v>238</v>
      </c>
      <c r="J119" s="2" t="s">
        <v>33</v>
      </c>
    </row>
    <row r="120" customFormat="false" ht="15" hidden="false" customHeight="false" outlineLevel="0" collapsed="false">
      <c r="A120" s="7" t="n">
        <v>119</v>
      </c>
      <c r="B120" s="7" t="s">
        <v>151</v>
      </c>
      <c r="C120" s="7" t="n">
        <v>6</v>
      </c>
      <c r="D120" s="7" t="n">
        <v>4</v>
      </c>
      <c r="E120" s="77" t="n">
        <v>44989</v>
      </c>
      <c r="F120" s="86" t="n">
        <v>0.459837962962963</v>
      </c>
      <c r="G120" s="77" t="n">
        <v>44997</v>
      </c>
      <c r="H120" s="86" t="n">
        <v>0.515486111111111</v>
      </c>
      <c r="I120" s="7" t="s">
        <v>374</v>
      </c>
      <c r="J120" s="7" t="s">
        <v>33</v>
      </c>
    </row>
    <row r="121" customFormat="false" ht="15" hidden="false" customHeight="false" outlineLevel="0" collapsed="false">
      <c r="A121" s="2" t="n">
        <v>120</v>
      </c>
      <c r="B121" s="2" t="s">
        <v>254</v>
      </c>
      <c r="C121" s="2" t="n">
        <v>61</v>
      </c>
      <c r="D121" s="2" t="n">
        <v>1</v>
      </c>
      <c r="E121" s="82" t="n">
        <v>45285</v>
      </c>
      <c r="F121" s="87" t="n">
        <v>0.935150462962963</v>
      </c>
      <c r="G121" s="82" t="n">
        <v>45291</v>
      </c>
      <c r="H121" s="87" t="n">
        <v>0.414861111111111</v>
      </c>
      <c r="I121" s="2" t="s">
        <v>446</v>
      </c>
      <c r="J121" s="2" t="s">
        <v>168</v>
      </c>
    </row>
    <row r="122" customFormat="false" ht="15" hidden="false" customHeight="false" outlineLevel="0" collapsed="false">
      <c r="A122" s="7" t="n">
        <v>121</v>
      </c>
      <c r="B122" s="7" t="s">
        <v>248</v>
      </c>
      <c r="C122" s="7" t="n">
        <v>33</v>
      </c>
      <c r="D122" s="7" t="n">
        <v>3</v>
      </c>
      <c r="E122" s="77" t="n">
        <v>44962</v>
      </c>
      <c r="F122" s="86" t="n">
        <v>0.0964699074074074</v>
      </c>
      <c r="G122" s="77" t="n">
        <v>44966</v>
      </c>
      <c r="H122" s="86" t="n">
        <v>0.312164351851852</v>
      </c>
      <c r="I122" s="7" t="s">
        <v>399</v>
      </c>
      <c r="J122" s="7" t="s">
        <v>179</v>
      </c>
    </row>
    <row r="123" customFormat="false" ht="15" hidden="false" customHeight="false" outlineLevel="0" collapsed="false">
      <c r="A123" s="2" t="n">
        <v>122</v>
      </c>
      <c r="B123" s="2" t="s">
        <v>347</v>
      </c>
      <c r="C123" s="2" t="n">
        <v>24</v>
      </c>
      <c r="D123" s="2" t="n">
        <v>5</v>
      </c>
      <c r="E123" s="82" t="n">
        <v>45202</v>
      </c>
      <c r="F123" s="87" t="n">
        <v>0.378043981481482</v>
      </c>
      <c r="G123" s="82" t="n">
        <v>45212</v>
      </c>
      <c r="H123" s="87" t="n">
        <v>0.135578703703704</v>
      </c>
      <c r="I123" s="2" t="s">
        <v>396</v>
      </c>
      <c r="J123" s="2" t="s">
        <v>31</v>
      </c>
    </row>
    <row r="124" customFormat="false" ht="15" hidden="false" customHeight="false" outlineLevel="0" collapsed="false">
      <c r="A124" s="7" t="n">
        <v>123</v>
      </c>
      <c r="B124" s="7" t="s">
        <v>190</v>
      </c>
      <c r="C124" s="7" t="n">
        <v>38</v>
      </c>
      <c r="D124" s="7" t="n">
        <v>1</v>
      </c>
      <c r="E124" s="77" t="n">
        <v>44941</v>
      </c>
      <c r="F124" s="86" t="n">
        <v>0.0216319444444444</v>
      </c>
      <c r="G124" s="77" t="n">
        <v>44951</v>
      </c>
      <c r="H124" s="86" t="n">
        <v>0.20744212962963</v>
      </c>
      <c r="I124" s="7" t="s">
        <v>481</v>
      </c>
      <c r="J124" s="7" t="s">
        <v>31</v>
      </c>
    </row>
    <row r="125" customFormat="false" ht="15" hidden="false" customHeight="false" outlineLevel="0" collapsed="false">
      <c r="A125" s="2" t="n">
        <v>124</v>
      </c>
      <c r="B125" s="2" t="s">
        <v>198</v>
      </c>
      <c r="C125" s="2" t="n">
        <v>67</v>
      </c>
      <c r="D125" s="2" t="n">
        <v>4</v>
      </c>
      <c r="E125" s="82" t="n">
        <v>45128</v>
      </c>
      <c r="F125" s="87" t="n">
        <v>0.364525462962963</v>
      </c>
      <c r="G125" s="82" t="n">
        <v>45130</v>
      </c>
      <c r="H125" s="87" t="n">
        <v>0.224814814814815</v>
      </c>
      <c r="I125" s="2" t="s">
        <v>244</v>
      </c>
      <c r="J125" s="2" t="s">
        <v>168</v>
      </c>
    </row>
    <row r="126" customFormat="false" ht="15" hidden="false" customHeight="false" outlineLevel="0" collapsed="false">
      <c r="A126" s="7" t="n">
        <v>125</v>
      </c>
      <c r="B126" s="7" t="s">
        <v>176</v>
      </c>
      <c r="C126" s="7" t="n">
        <v>31</v>
      </c>
      <c r="D126" s="7" t="n">
        <v>2</v>
      </c>
      <c r="E126" s="77" t="n">
        <v>45004</v>
      </c>
      <c r="F126" s="86" t="n">
        <v>0.383460648148148</v>
      </c>
      <c r="G126" s="77" t="n">
        <v>45010</v>
      </c>
      <c r="H126" s="86" t="n">
        <v>0.608460648148148</v>
      </c>
      <c r="I126" s="7" t="s">
        <v>462</v>
      </c>
      <c r="J126" s="7" t="s">
        <v>165</v>
      </c>
    </row>
    <row r="127" customFormat="false" ht="15" hidden="false" customHeight="false" outlineLevel="0" collapsed="false">
      <c r="A127" s="2" t="n">
        <v>126</v>
      </c>
      <c r="B127" s="2" t="s">
        <v>224</v>
      </c>
      <c r="C127" s="2" t="n">
        <v>19</v>
      </c>
      <c r="D127" s="2" t="n">
        <v>5</v>
      </c>
      <c r="E127" s="82" t="n">
        <v>44961</v>
      </c>
      <c r="F127" s="87" t="n">
        <v>0.103055555555556</v>
      </c>
      <c r="G127" s="82" t="n">
        <v>44970</v>
      </c>
      <c r="H127" s="87" t="n">
        <v>0.553217592592593</v>
      </c>
      <c r="I127" s="2" t="s">
        <v>343</v>
      </c>
      <c r="J127" s="2" t="s">
        <v>179</v>
      </c>
    </row>
    <row r="128" customFormat="false" ht="15" hidden="false" customHeight="false" outlineLevel="0" collapsed="false">
      <c r="A128" s="7" t="n">
        <v>127</v>
      </c>
      <c r="B128" s="7" t="s">
        <v>257</v>
      </c>
      <c r="C128" s="7" t="n">
        <v>60</v>
      </c>
      <c r="D128" s="7" t="n">
        <v>4</v>
      </c>
      <c r="E128" s="77" t="n">
        <v>45232</v>
      </c>
      <c r="F128" s="86" t="n">
        <v>0.586550925925926</v>
      </c>
      <c r="G128" s="77" t="n">
        <v>45233</v>
      </c>
      <c r="H128" s="86" t="n">
        <v>0.809039351851852</v>
      </c>
      <c r="I128" s="7" t="s">
        <v>340</v>
      </c>
      <c r="J128" s="7" t="s">
        <v>32</v>
      </c>
    </row>
    <row r="129" customFormat="false" ht="15" hidden="false" customHeight="false" outlineLevel="0" collapsed="false">
      <c r="A129" s="2" t="n">
        <v>128</v>
      </c>
      <c r="B129" s="2" t="s">
        <v>297</v>
      </c>
      <c r="C129" s="2" t="n">
        <v>12</v>
      </c>
      <c r="D129" s="2" t="n">
        <v>3</v>
      </c>
      <c r="E129" s="82" t="n">
        <v>44991</v>
      </c>
      <c r="F129" s="87" t="n">
        <v>0.701712962962963</v>
      </c>
      <c r="G129" s="82" t="n">
        <v>44998</v>
      </c>
      <c r="H129" s="87" t="n">
        <v>0.632858796296296</v>
      </c>
      <c r="I129" s="2" t="s">
        <v>460</v>
      </c>
      <c r="J129" s="2" t="s">
        <v>168</v>
      </c>
    </row>
    <row r="130" customFormat="false" ht="15" hidden="false" customHeight="false" outlineLevel="0" collapsed="false">
      <c r="A130" s="7" t="n">
        <v>129</v>
      </c>
      <c r="B130" s="7" t="s">
        <v>257</v>
      </c>
      <c r="C130" s="7" t="n">
        <v>67</v>
      </c>
      <c r="D130" s="7" t="n">
        <v>2</v>
      </c>
      <c r="E130" s="77" t="n">
        <v>44974</v>
      </c>
      <c r="F130" s="86" t="n">
        <v>0.223263888888889</v>
      </c>
      <c r="G130" s="77" t="n">
        <v>44977</v>
      </c>
      <c r="H130" s="86" t="n">
        <v>0.345509259259259</v>
      </c>
      <c r="I130" s="7" t="s">
        <v>542</v>
      </c>
      <c r="J130" s="7" t="s">
        <v>168</v>
      </c>
    </row>
    <row r="131" customFormat="false" ht="15" hidden="false" customHeight="false" outlineLevel="0" collapsed="false">
      <c r="A131" s="2" t="n">
        <v>130</v>
      </c>
      <c r="B131" s="2" t="s">
        <v>311</v>
      </c>
      <c r="C131" s="2" t="n">
        <v>10</v>
      </c>
      <c r="D131" s="2" t="n">
        <v>5</v>
      </c>
      <c r="E131" s="82" t="n">
        <v>45038</v>
      </c>
      <c r="F131" s="87" t="n">
        <v>0.564363425925926</v>
      </c>
      <c r="G131" s="82" t="n">
        <v>45043</v>
      </c>
      <c r="H131" s="87" t="n">
        <v>0.917986111111111</v>
      </c>
      <c r="I131" s="2" t="s">
        <v>321</v>
      </c>
      <c r="J131" s="2" t="s">
        <v>31</v>
      </c>
    </row>
    <row r="132" customFormat="false" ht="15" hidden="false" customHeight="false" outlineLevel="0" collapsed="false">
      <c r="A132" s="7" t="n">
        <v>131</v>
      </c>
      <c r="B132" s="7" t="s">
        <v>334</v>
      </c>
      <c r="C132" s="7" t="n">
        <v>3</v>
      </c>
      <c r="D132" s="7" t="n">
        <v>5</v>
      </c>
      <c r="E132" s="77" t="n">
        <v>44961</v>
      </c>
      <c r="F132" s="86" t="n">
        <v>0.85474537037037</v>
      </c>
      <c r="G132" s="77" t="n">
        <v>44968</v>
      </c>
      <c r="H132" s="86" t="n">
        <v>0.353506944444445</v>
      </c>
      <c r="I132" s="7" t="s">
        <v>558</v>
      </c>
      <c r="J132" s="7" t="s">
        <v>179</v>
      </c>
    </row>
    <row r="133" customFormat="false" ht="15" hidden="false" customHeight="false" outlineLevel="0" collapsed="false">
      <c r="A133" s="2" t="n">
        <v>132</v>
      </c>
      <c r="B133" s="2" t="s">
        <v>239</v>
      </c>
      <c r="C133" s="2" t="n">
        <v>49</v>
      </c>
      <c r="D133" s="2" t="n">
        <v>4</v>
      </c>
      <c r="E133" s="82" t="n">
        <v>44961</v>
      </c>
      <c r="F133" s="87" t="n">
        <v>0.974780092592593</v>
      </c>
      <c r="G133" s="82" t="n">
        <v>44970</v>
      </c>
      <c r="H133" s="87" t="n">
        <v>0.830416666666667</v>
      </c>
      <c r="I133" s="2" t="s">
        <v>588</v>
      </c>
      <c r="J133" s="2" t="s">
        <v>179</v>
      </c>
    </row>
    <row r="134" customFormat="false" ht="15" hidden="false" customHeight="false" outlineLevel="0" collapsed="false">
      <c r="A134" s="7" t="n">
        <v>133</v>
      </c>
      <c r="B134" s="7" t="s">
        <v>172</v>
      </c>
      <c r="C134" s="7" t="n">
        <v>43</v>
      </c>
      <c r="D134" s="7" t="n">
        <v>5</v>
      </c>
      <c r="E134" s="77" t="n">
        <v>45240</v>
      </c>
      <c r="F134" s="86" t="n">
        <v>0.661041666666667</v>
      </c>
      <c r="G134" s="77" t="n">
        <v>45246</v>
      </c>
      <c r="H134" s="86" t="n">
        <v>0.474201388888889</v>
      </c>
      <c r="I134" s="7" t="s">
        <v>594</v>
      </c>
      <c r="J134" s="7" t="s">
        <v>32</v>
      </c>
    </row>
    <row r="135" customFormat="false" ht="15" hidden="false" customHeight="false" outlineLevel="0" collapsed="false">
      <c r="A135" s="2" t="n">
        <v>134</v>
      </c>
      <c r="B135" s="2" t="s">
        <v>212</v>
      </c>
      <c r="C135" s="2" t="n">
        <v>69</v>
      </c>
      <c r="D135" s="2" t="n">
        <v>5</v>
      </c>
      <c r="E135" s="82" t="n">
        <v>44990</v>
      </c>
      <c r="F135" s="87" t="n">
        <v>0.800532407407407</v>
      </c>
      <c r="G135" s="82" t="n">
        <v>44999</v>
      </c>
      <c r="H135" s="87" t="n">
        <v>0.207280092592593</v>
      </c>
      <c r="I135" s="2" t="s">
        <v>480</v>
      </c>
      <c r="J135" s="2" t="s">
        <v>33</v>
      </c>
    </row>
    <row r="136" customFormat="false" ht="15" hidden="false" customHeight="false" outlineLevel="0" collapsed="false">
      <c r="A136" s="7" t="n">
        <v>135</v>
      </c>
      <c r="B136" s="7" t="s">
        <v>357</v>
      </c>
      <c r="C136" s="7" t="n">
        <v>30</v>
      </c>
      <c r="D136" s="7" t="n">
        <v>2</v>
      </c>
      <c r="E136" s="77" t="n">
        <v>45273</v>
      </c>
      <c r="F136" s="86" t="n">
        <v>0.430659722222222</v>
      </c>
      <c r="G136" s="77" t="n">
        <v>45274</v>
      </c>
      <c r="H136" s="86" t="n">
        <v>0.655092592592593</v>
      </c>
      <c r="I136" s="7" t="s">
        <v>284</v>
      </c>
      <c r="J136" s="7" t="s">
        <v>168</v>
      </c>
    </row>
    <row r="137" customFormat="false" ht="15" hidden="false" customHeight="false" outlineLevel="0" collapsed="false">
      <c r="A137" s="2" t="n">
        <v>136</v>
      </c>
      <c r="B137" s="2" t="s">
        <v>212</v>
      </c>
      <c r="C137" s="2" t="n">
        <v>56</v>
      </c>
      <c r="D137" s="2" t="n">
        <v>1</v>
      </c>
      <c r="E137" s="82" t="n">
        <v>45174</v>
      </c>
      <c r="F137" s="87" t="n">
        <v>0.672905092592593</v>
      </c>
      <c r="G137" s="82" t="n">
        <v>45178</v>
      </c>
      <c r="H137" s="87" t="n">
        <v>0.925208333333333</v>
      </c>
      <c r="I137" s="2" t="s">
        <v>397</v>
      </c>
      <c r="J137" s="2" t="s">
        <v>168</v>
      </c>
    </row>
    <row r="138" customFormat="false" ht="15" hidden="false" customHeight="false" outlineLevel="0" collapsed="false">
      <c r="A138" s="7" t="n">
        <v>137</v>
      </c>
      <c r="B138" s="7" t="s">
        <v>311</v>
      </c>
      <c r="C138" s="7" t="n">
        <v>47</v>
      </c>
      <c r="D138" s="7" t="n">
        <v>2</v>
      </c>
      <c r="E138" s="77" t="n">
        <v>44990</v>
      </c>
      <c r="F138" s="86" t="n">
        <v>0.671111111111111</v>
      </c>
      <c r="G138" s="77" t="n">
        <v>44996</v>
      </c>
      <c r="H138" s="86" t="n">
        <v>0.312048611111111</v>
      </c>
      <c r="I138" s="7" t="s">
        <v>609</v>
      </c>
      <c r="J138" s="7" t="s">
        <v>33</v>
      </c>
    </row>
    <row r="139" customFormat="false" ht="15" hidden="false" customHeight="false" outlineLevel="0" collapsed="false">
      <c r="A139" s="2" t="n">
        <v>138</v>
      </c>
      <c r="B139" s="2" t="s">
        <v>181</v>
      </c>
      <c r="C139" s="2" t="n">
        <v>57</v>
      </c>
      <c r="D139" s="2" t="n">
        <v>4</v>
      </c>
      <c r="E139" s="82" t="n">
        <v>44996</v>
      </c>
      <c r="F139" s="87" t="n">
        <v>0.398564814814815</v>
      </c>
      <c r="G139" s="82" t="n">
        <v>45003</v>
      </c>
      <c r="H139" s="87" t="n">
        <v>0.251851851851852</v>
      </c>
      <c r="I139" s="2" t="s">
        <v>568</v>
      </c>
      <c r="J139" s="2" t="s">
        <v>31</v>
      </c>
    </row>
    <row r="140" customFormat="false" ht="15" hidden="false" customHeight="false" outlineLevel="0" collapsed="false">
      <c r="A140" s="7" t="n">
        <v>139</v>
      </c>
      <c r="B140" s="7" t="s">
        <v>269</v>
      </c>
      <c r="C140" s="7" t="n">
        <v>54</v>
      </c>
      <c r="D140" s="7" t="n">
        <v>4</v>
      </c>
      <c r="E140" s="77" t="n">
        <v>45057</v>
      </c>
      <c r="F140" s="86" t="n">
        <v>0.176909722222222</v>
      </c>
      <c r="G140" s="77" t="n">
        <v>45062</v>
      </c>
      <c r="H140" s="86" t="n">
        <v>0.758842592592593</v>
      </c>
      <c r="I140" s="7" t="s">
        <v>171</v>
      </c>
      <c r="J140" s="7" t="s">
        <v>168</v>
      </c>
    </row>
    <row r="141" customFormat="false" ht="15" hidden="false" customHeight="false" outlineLevel="0" collapsed="false">
      <c r="A141" s="2" t="n">
        <v>140</v>
      </c>
      <c r="B141" s="2" t="s">
        <v>164</v>
      </c>
      <c r="C141" s="2" t="n">
        <v>47</v>
      </c>
      <c r="D141" s="2" t="n">
        <v>1</v>
      </c>
      <c r="E141" s="82" t="n">
        <v>44989</v>
      </c>
      <c r="F141" s="87" t="n">
        <v>0.263599537037037</v>
      </c>
      <c r="G141" s="82" t="n">
        <v>44998</v>
      </c>
      <c r="H141" s="87" t="n">
        <v>0.895543981481482</v>
      </c>
      <c r="I141" s="2" t="s">
        <v>232</v>
      </c>
      <c r="J141" s="2" t="s">
        <v>33</v>
      </c>
    </row>
    <row r="142" customFormat="false" ht="15" hidden="false" customHeight="false" outlineLevel="0" collapsed="false">
      <c r="A142" s="7" t="n">
        <v>141</v>
      </c>
      <c r="B142" s="7" t="s">
        <v>288</v>
      </c>
      <c r="C142" s="7" t="n">
        <v>35</v>
      </c>
      <c r="D142" s="7" t="n">
        <v>4</v>
      </c>
      <c r="E142" s="77" t="n">
        <v>44985</v>
      </c>
      <c r="F142" s="86" t="n">
        <v>0.163263888888889</v>
      </c>
      <c r="G142" s="77" t="n">
        <v>44995</v>
      </c>
      <c r="H142" s="86" t="n">
        <v>0.105509259259259</v>
      </c>
      <c r="I142" s="7" t="s">
        <v>153</v>
      </c>
      <c r="J142" s="7" t="s">
        <v>33</v>
      </c>
    </row>
    <row r="143" customFormat="false" ht="15" hidden="false" customHeight="false" outlineLevel="0" collapsed="false">
      <c r="A143" s="2" t="n">
        <v>142</v>
      </c>
      <c r="B143" s="2" t="s">
        <v>196</v>
      </c>
      <c r="C143" s="2" t="n">
        <v>23</v>
      </c>
      <c r="D143" s="2" t="n">
        <v>2</v>
      </c>
      <c r="E143" s="82" t="n">
        <v>45222</v>
      </c>
      <c r="F143" s="87" t="n">
        <v>0.105011574074074</v>
      </c>
      <c r="G143" s="82" t="n">
        <v>45226</v>
      </c>
      <c r="H143" s="87" t="n">
        <v>0.183518518518519</v>
      </c>
      <c r="I143" s="2" t="s">
        <v>232</v>
      </c>
      <c r="J143" s="2" t="s">
        <v>168</v>
      </c>
    </row>
    <row r="144" customFormat="false" ht="15" hidden="false" customHeight="false" outlineLevel="0" collapsed="false">
      <c r="A144" s="7" t="n">
        <v>143</v>
      </c>
      <c r="B144" s="7" t="s">
        <v>357</v>
      </c>
      <c r="C144" s="7" t="n">
        <v>66</v>
      </c>
      <c r="D144" s="7" t="n">
        <v>2</v>
      </c>
      <c r="E144" s="77" t="n">
        <v>44985</v>
      </c>
      <c r="F144" s="86" t="n">
        <v>0.317569444444445</v>
      </c>
      <c r="G144" s="77" t="n">
        <v>44995</v>
      </c>
      <c r="H144" s="86" t="n">
        <v>0.617986111111111</v>
      </c>
      <c r="I144" s="7" t="s">
        <v>541</v>
      </c>
      <c r="J144" s="7" t="s">
        <v>33</v>
      </c>
    </row>
    <row r="145" customFormat="false" ht="15" hidden="false" customHeight="false" outlineLevel="0" collapsed="false">
      <c r="A145" s="2" t="n">
        <v>144</v>
      </c>
      <c r="B145" s="2" t="s">
        <v>366</v>
      </c>
      <c r="C145" s="2" t="n">
        <v>51</v>
      </c>
      <c r="D145" s="2" t="n">
        <v>5</v>
      </c>
      <c r="E145" s="82" t="n">
        <v>44944</v>
      </c>
      <c r="F145" s="87" t="n">
        <v>0.375729166666667</v>
      </c>
      <c r="G145" s="82" t="n">
        <v>44949</v>
      </c>
      <c r="H145" s="87" t="n">
        <v>0.141145833333333</v>
      </c>
      <c r="I145" s="2" t="s">
        <v>577</v>
      </c>
      <c r="J145" s="2" t="s">
        <v>165</v>
      </c>
    </row>
    <row r="146" customFormat="false" ht="15" hidden="false" customHeight="false" outlineLevel="0" collapsed="false">
      <c r="A146" s="7" t="n">
        <v>145</v>
      </c>
      <c r="B146" s="7" t="s">
        <v>269</v>
      </c>
      <c r="C146" s="7" t="n">
        <v>59</v>
      </c>
      <c r="D146" s="7" t="n">
        <v>5</v>
      </c>
      <c r="E146" s="77" t="n">
        <v>45167</v>
      </c>
      <c r="F146" s="86" t="n">
        <v>0.703425925925926</v>
      </c>
      <c r="G146" s="77" t="n">
        <v>45172</v>
      </c>
      <c r="H146" s="86" t="n">
        <v>0.544733796296296</v>
      </c>
      <c r="I146" s="7" t="s">
        <v>469</v>
      </c>
      <c r="J146" s="7" t="s">
        <v>40</v>
      </c>
    </row>
    <row r="147" customFormat="false" ht="15" hidden="false" customHeight="false" outlineLevel="0" collapsed="false">
      <c r="A147" s="2" t="n">
        <v>146</v>
      </c>
      <c r="B147" s="2" t="s">
        <v>198</v>
      </c>
      <c r="C147" s="2" t="n">
        <v>52</v>
      </c>
      <c r="D147" s="2" t="n">
        <v>5</v>
      </c>
      <c r="E147" s="82" t="n">
        <v>44970</v>
      </c>
      <c r="F147" s="87" t="n">
        <v>0.766608796296296</v>
      </c>
      <c r="G147" s="82" t="n">
        <v>44973</v>
      </c>
      <c r="H147" s="87" t="n">
        <v>0.171956018518519</v>
      </c>
      <c r="I147" s="2" t="s">
        <v>607</v>
      </c>
      <c r="J147" s="2" t="s">
        <v>179</v>
      </c>
    </row>
    <row r="148" customFormat="false" ht="15" hidden="false" customHeight="false" outlineLevel="0" collapsed="false">
      <c r="A148" s="7" t="n">
        <v>147</v>
      </c>
      <c r="B148" s="7" t="s">
        <v>338</v>
      </c>
      <c r="C148" s="7" t="n">
        <v>8</v>
      </c>
      <c r="D148" s="7" t="n">
        <v>4</v>
      </c>
      <c r="E148" s="77" t="n">
        <v>45002</v>
      </c>
      <c r="F148" s="86" t="n">
        <v>0.811284722222222</v>
      </c>
      <c r="G148" s="77" t="n">
        <v>45008</v>
      </c>
      <c r="H148" s="86" t="n">
        <v>0.577210648148148</v>
      </c>
      <c r="I148" s="7" t="s">
        <v>441</v>
      </c>
      <c r="J148" s="7" t="s">
        <v>168</v>
      </c>
    </row>
    <row r="149" customFormat="false" ht="15" hidden="false" customHeight="false" outlineLevel="0" collapsed="false">
      <c r="A149" s="2" t="n">
        <v>148</v>
      </c>
      <c r="B149" s="2" t="s">
        <v>242</v>
      </c>
      <c r="C149" s="2" t="n">
        <v>24</v>
      </c>
      <c r="D149" s="2" t="n">
        <v>3</v>
      </c>
      <c r="E149" s="82" t="n">
        <v>45265</v>
      </c>
      <c r="F149" s="87" t="n">
        <v>0.0896759259259259</v>
      </c>
      <c r="G149" s="82" t="n">
        <v>45267</v>
      </c>
      <c r="H149" s="87" t="n">
        <v>0.373356481481482</v>
      </c>
      <c r="I149" s="2" t="s">
        <v>391</v>
      </c>
      <c r="J149" s="2" t="s">
        <v>31</v>
      </c>
    </row>
    <row r="150" customFormat="false" ht="15" hidden="false" customHeight="false" outlineLevel="0" collapsed="false">
      <c r="A150" s="7" t="n">
        <v>149</v>
      </c>
      <c r="B150" s="7" t="s">
        <v>145</v>
      </c>
      <c r="C150" s="7" t="n">
        <v>5</v>
      </c>
      <c r="D150" s="7" t="n">
        <v>3</v>
      </c>
      <c r="E150" s="77" t="n">
        <v>45205</v>
      </c>
      <c r="F150" s="86" t="n">
        <v>0.974409722222222</v>
      </c>
      <c r="G150" s="77" t="n">
        <v>45208</v>
      </c>
      <c r="H150" s="86" t="n">
        <v>0.839722222222222</v>
      </c>
      <c r="I150" s="7" t="s">
        <v>482</v>
      </c>
      <c r="J150" s="7" t="s">
        <v>165</v>
      </c>
    </row>
    <row r="151" customFormat="false" ht="15" hidden="false" customHeight="false" outlineLevel="0" collapsed="false">
      <c r="A151" s="2" t="n">
        <v>150</v>
      </c>
      <c r="B151" s="2" t="s">
        <v>372</v>
      </c>
      <c r="C151" s="2" t="n">
        <v>27</v>
      </c>
      <c r="D151" s="2" t="n">
        <v>5</v>
      </c>
      <c r="E151" s="82" t="n">
        <v>45164</v>
      </c>
      <c r="F151" s="87" t="n">
        <v>0.304363425925926</v>
      </c>
      <c r="G151" s="82" t="n">
        <v>45167</v>
      </c>
      <c r="H151" s="87" t="n">
        <v>0.705706018518519</v>
      </c>
      <c r="I151" s="2" t="s">
        <v>268</v>
      </c>
      <c r="J151" s="2" t="s">
        <v>40</v>
      </c>
    </row>
    <row r="152" customFormat="false" ht="15" hidden="false" customHeight="false" outlineLevel="0" collapsed="false">
      <c r="A152" s="7" t="n">
        <v>151</v>
      </c>
      <c r="B152" s="7" t="s">
        <v>257</v>
      </c>
      <c r="C152" s="7" t="n">
        <v>43</v>
      </c>
      <c r="D152" s="7" t="n">
        <v>1</v>
      </c>
      <c r="E152" s="77" t="n">
        <v>45233</v>
      </c>
      <c r="F152" s="86" t="n">
        <v>0.904467592592593</v>
      </c>
      <c r="G152" s="77" t="n">
        <v>45240</v>
      </c>
      <c r="H152" s="86" t="n">
        <v>0.163912037037037</v>
      </c>
      <c r="I152" s="7" t="s">
        <v>434</v>
      </c>
      <c r="J152" s="7" t="s">
        <v>32</v>
      </c>
    </row>
    <row r="153" customFormat="false" ht="15" hidden="false" customHeight="false" outlineLevel="0" collapsed="false">
      <c r="A153" s="2" t="n">
        <v>152</v>
      </c>
      <c r="B153" s="2" t="s">
        <v>350</v>
      </c>
      <c r="C153" s="2" t="n">
        <v>51</v>
      </c>
      <c r="D153" s="2" t="n">
        <v>2</v>
      </c>
      <c r="E153" s="82" t="n">
        <v>44984</v>
      </c>
      <c r="F153" s="87" t="n">
        <v>0.450590277777778</v>
      </c>
      <c r="G153" s="82" t="n">
        <v>44990</v>
      </c>
      <c r="H153" s="87" t="n">
        <v>0.69400462962963</v>
      </c>
      <c r="I153" s="2" t="s">
        <v>594</v>
      </c>
      <c r="J153" s="2" t="s">
        <v>165</v>
      </c>
    </row>
    <row r="154" customFormat="false" ht="15" hidden="false" customHeight="false" outlineLevel="0" collapsed="false">
      <c r="A154" s="7" t="n">
        <v>153</v>
      </c>
      <c r="B154" s="7" t="s">
        <v>377</v>
      </c>
      <c r="C154" s="7" t="n">
        <v>16</v>
      </c>
      <c r="D154" s="7" t="n">
        <v>4</v>
      </c>
      <c r="E154" s="77" t="n">
        <v>44989</v>
      </c>
      <c r="F154" s="86" t="n">
        <v>0.510416666666667</v>
      </c>
      <c r="G154" s="77" t="n">
        <v>44995</v>
      </c>
      <c r="H154" s="86" t="n">
        <v>0.253275462962963</v>
      </c>
      <c r="I154" s="7" t="s">
        <v>547</v>
      </c>
      <c r="J154" s="7" t="s">
        <v>33</v>
      </c>
    </row>
    <row r="155" customFormat="false" ht="15" hidden="false" customHeight="false" outlineLevel="0" collapsed="false">
      <c r="A155" s="2" t="n">
        <v>154</v>
      </c>
      <c r="B155" s="2" t="s">
        <v>251</v>
      </c>
      <c r="C155" s="2" t="n">
        <v>45</v>
      </c>
      <c r="D155" s="2" t="n">
        <v>5</v>
      </c>
      <c r="E155" s="82" t="n">
        <v>45251</v>
      </c>
      <c r="F155" s="87" t="n">
        <v>0.968263888888889</v>
      </c>
      <c r="G155" s="82" t="n">
        <v>45255</v>
      </c>
      <c r="H155" s="87" t="n">
        <v>0.0867939814814815</v>
      </c>
      <c r="I155" s="2" t="s">
        <v>424</v>
      </c>
      <c r="J155" s="2" t="s">
        <v>31</v>
      </c>
    </row>
    <row r="156" customFormat="false" ht="15" hidden="false" customHeight="false" outlineLevel="0" collapsed="false">
      <c r="A156" s="7" t="n">
        <v>155</v>
      </c>
      <c r="B156" s="7" t="s">
        <v>183</v>
      </c>
      <c r="C156" s="7" t="n">
        <v>23</v>
      </c>
      <c r="D156" s="7" t="n">
        <v>3</v>
      </c>
      <c r="E156" s="77" t="n">
        <v>45047</v>
      </c>
      <c r="F156" s="86" t="n">
        <v>0.615949074074074</v>
      </c>
      <c r="G156" s="77" t="n">
        <v>45052</v>
      </c>
      <c r="H156" s="86" t="n">
        <v>0.000347222222222222</v>
      </c>
      <c r="I156" s="7" t="s">
        <v>555</v>
      </c>
      <c r="J156" s="7" t="s">
        <v>168</v>
      </c>
    </row>
    <row r="157" customFormat="false" ht="15" hidden="false" customHeight="false" outlineLevel="0" collapsed="false">
      <c r="A157" s="2" t="n">
        <v>156</v>
      </c>
      <c r="B157" s="2" t="s">
        <v>198</v>
      </c>
      <c r="C157" s="2" t="n">
        <v>61</v>
      </c>
      <c r="D157" s="2" t="n">
        <v>2</v>
      </c>
      <c r="E157" s="82" t="n">
        <v>44966</v>
      </c>
      <c r="F157" s="87" t="n">
        <v>0.347800925925926</v>
      </c>
      <c r="G157" s="82" t="n">
        <v>44969</v>
      </c>
      <c r="H157" s="87" t="n">
        <v>0.450856481481482</v>
      </c>
      <c r="I157" s="2" t="s">
        <v>516</v>
      </c>
      <c r="J157" s="2" t="s">
        <v>168</v>
      </c>
    </row>
    <row r="158" customFormat="false" ht="15" hidden="false" customHeight="false" outlineLevel="0" collapsed="false">
      <c r="A158" s="7" t="n">
        <v>157</v>
      </c>
      <c r="B158" s="7" t="s">
        <v>174</v>
      </c>
      <c r="C158" s="7" t="n">
        <v>35</v>
      </c>
      <c r="D158" s="7" t="n">
        <v>3</v>
      </c>
      <c r="E158" s="77" t="n">
        <v>44983</v>
      </c>
      <c r="F158" s="86" t="n">
        <v>0.530752314814815</v>
      </c>
      <c r="G158" s="77" t="n">
        <v>44991</v>
      </c>
      <c r="H158" s="86" t="n">
        <v>0.483148148148148</v>
      </c>
      <c r="I158" s="7" t="s">
        <v>587</v>
      </c>
      <c r="J158" s="7" t="s">
        <v>33</v>
      </c>
    </row>
    <row r="159" customFormat="false" ht="15" hidden="false" customHeight="false" outlineLevel="0" collapsed="false">
      <c r="A159" s="2" t="n">
        <v>158</v>
      </c>
      <c r="B159" s="2" t="s">
        <v>142</v>
      </c>
      <c r="C159" s="2" t="n">
        <v>35</v>
      </c>
      <c r="D159" s="2" t="n">
        <v>2</v>
      </c>
      <c r="E159" s="82" t="n">
        <v>44988</v>
      </c>
      <c r="F159" s="87" t="n">
        <v>0.652974537037037</v>
      </c>
      <c r="G159" s="82" t="n">
        <v>44993</v>
      </c>
      <c r="H159" s="87" t="n">
        <v>0.120150462962963</v>
      </c>
      <c r="I159" s="2" t="s">
        <v>486</v>
      </c>
      <c r="J159" s="2" t="s">
        <v>33</v>
      </c>
    </row>
    <row r="160" customFormat="false" ht="15" hidden="false" customHeight="false" outlineLevel="0" collapsed="false">
      <c r="A160" s="7" t="n">
        <v>159</v>
      </c>
      <c r="B160" s="7" t="s">
        <v>379</v>
      </c>
      <c r="C160" s="7" t="n">
        <v>43</v>
      </c>
      <c r="D160" s="7" t="n">
        <v>3</v>
      </c>
      <c r="E160" s="77" t="n">
        <v>45239</v>
      </c>
      <c r="F160" s="86" t="n">
        <v>0.896979166666667</v>
      </c>
      <c r="G160" s="77" t="n">
        <v>45241</v>
      </c>
      <c r="H160" s="86" t="n">
        <v>0.205509259259259</v>
      </c>
      <c r="I160" s="7" t="s">
        <v>324</v>
      </c>
      <c r="J160" s="7" t="s">
        <v>32</v>
      </c>
    </row>
    <row r="161" customFormat="false" ht="15" hidden="false" customHeight="false" outlineLevel="0" collapsed="false">
      <c r="A161" s="2" t="n">
        <v>160</v>
      </c>
      <c r="B161" s="2" t="s">
        <v>215</v>
      </c>
      <c r="C161" s="2" t="n">
        <v>36</v>
      </c>
      <c r="D161" s="2" t="n">
        <v>3</v>
      </c>
      <c r="E161" s="82" t="n">
        <v>45079</v>
      </c>
      <c r="F161" s="87" t="n">
        <v>0.0201041666666667</v>
      </c>
      <c r="G161" s="82" t="n">
        <v>45087</v>
      </c>
      <c r="H161" s="87" t="n">
        <v>0.328460648148148</v>
      </c>
      <c r="I161" s="2" t="s">
        <v>492</v>
      </c>
      <c r="J161" s="2" t="s">
        <v>31</v>
      </c>
    </row>
    <row r="162" customFormat="false" ht="15" hidden="false" customHeight="false" outlineLevel="0" collapsed="false">
      <c r="A162" s="7" t="n">
        <v>161</v>
      </c>
      <c r="B162" s="7" t="s">
        <v>266</v>
      </c>
      <c r="C162" s="7" t="n">
        <v>58</v>
      </c>
      <c r="D162" s="7" t="n">
        <v>3</v>
      </c>
      <c r="E162" s="77" t="n">
        <v>44970</v>
      </c>
      <c r="F162" s="86" t="n">
        <v>0.130625</v>
      </c>
      <c r="G162" s="77" t="n">
        <v>44971</v>
      </c>
      <c r="H162" s="86" t="n">
        <v>0.966678240740741</v>
      </c>
      <c r="I162" s="7" t="s">
        <v>449</v>
      </c>
      <c r="J162" s="7" t="s">
        <v>179</v>
      </c>
    </row>
    <row r="163" customFormat="false" ht="15" hidden="false" customHeight="false" outlineLevel="0" collapsed="false">
      <c r="A163" s="2" t="n">
        <v>162</v>
      </c>
      <c r="B163" s="2" t="s">
        <v>254</v>
      </c>
      <c r="C163" s="2" t="n">
        <v>55</v>
      </c>
      <c r="D163" s="2" t="n">
        <v>3</v>
      </c>
      <c r="E163" s="82" t="n">
        <v>45165</v>
      </c>
      <c r="F163" s="87" t="n">
        <v>0.260081018518519</v>
      </c>
      <c r="G163" s="82" t="n">
        <v>45174</v>
      </c>
      <c r="H163" s="87" t="n">
        <v>0.662326388888889</v>
      </c>
      <c r="I163" s="2" t="s">
        <v>199</v>
      </c>
      <c r="J163" s="2" t="s">
        <v>40</v>
      </c>
    </row>
    <row r="164" customFormat="false" ht="15" hidden="false" customHeight="false" outlineLevel="0" collapsed="false">
      <c r="A164" s="7" t="n">
        <v>163</v>
      </c>
      <c r="B164" s="7" t="s">
        <v>347</v>
      </c>
      <c r="C164" s="7" t="n">
        <v>54</v>
      </c>
      <c r="D164" s="7" t="n">
        <v>4</v>
      </c>
      <c r="E164" s="77" t="n">
        <v>44974</v>
      </c>
      <c r="F164" s="86" t="n">
        <v>0.82650462962963</v>
      </c>
      <c r="G164" s="77" t="n">
        <v>44982</v>
      </c>
      <c r="H164" s="86" t="n">
        <v>0.430740740740741</v>
      </c>
      <c r="I164" s="7" t="s">
        <v>599</v>
      </c>
      <c r="J164" s="7" t="s">
        <v>168</v>
      </c>
    </row>
    <row r="165" customFormat="false" ht="15" hidden="false" customHeight="false" outlineLevel="0" collapsed="false">
      <c r="A165" s="2" t="n">
        <v>164</v>
      </c>
      <c r="B165" s="2" t="s">
        <v>291</v>
      </c>
      <c r="C165" s="2" t="n">
        <v>14</v>
      </c>
      <c r="D165" s="2" t="n">
        <v>5</v>
      </c>
      <c r="E165" s="82" t="n">
        <v>45041</v>
      </c>
      <c r="F165" s="87" t="n">
        <v>0.0861342592592593</v>
      </c>
      <c r="G165" s="82" t="n">
        <v>45043</v>
      </c>
      <c r="H165" s="87" t="n">
        <v>0.492743055555556</v>
      </c>
      <c r="I165" s="2" t="s">
        <v>217</v>
      </c>
      <c r="J165" s="2" t="s">
        <v>31</v>
      </c>
    </row>
    <row r="166" customFormat="false" ht="15" hidden="false" customHeight="false" outlineLevel="0" collapsed="false">
      <c r="A166" s="7" t="n">
        <v>165</v>
      </c>
      <c r="B166" s="7" t="s">
        <v>278</v>
      </c>
      <c r="C166" s="7" t="n">
        <v>40</v>
      </c>
      <c r="D166" s="7" t="n">
        <v>5</v>
      </c>
      <c r="E166" s="77" t="n">
        <v>45144</v>
      </c>
      <c r="F166" s="86" t="n">
        <v>0.549490740740741</v>
      </c>
      <c r="G166" s="77" t="n">
        <v>45148</v>
      </c>
      <c r="H166" s="86" t="n">
        <v>0.359189814814815</v>
      </c>
      <c r="I166" s="7" t="s">
        <v>473</v>
      </c>
      <c r="J166" s="7" t="s">
        <v>168</v>
      </c>
    </row>
    <row r="167" customFormat="false" ht="15" hidden="false" customHeight="false" outlineLevel="0" collapsed="false">
      <c r="A167" s="2" t="n">
        <v>166</v>
      </c>
      <c r="B167" s="2" t="s">
        <v>209</v>
      </c>
      <c r="C167" s="2" t="n">
        <v>4</v>
      </c>
      <c r="D167" s="2" t="n">
        <v>3</v>
      </c>
      <c r="E167" s="82" t="n">
        <v>45237</v>
      </c>
      <c r="F167" s="87" t="n">
        <v>0.96212962962963</v>
      </c>
      <c r="G167" s="82" t="n">
        <v>45240</v>
      </c>
      <c r="H167" s="87" t="n">
        <v>0.258865740740741</v>
      </c>
      <c r="I167" s="2" t="s">
        <v>476</v>
      </c>
      <c r="J167" s="2" t="s">
        <v>32</v>
      </c>
    </row>
    <row r="168" customFormat="false" ht="15" hidden="false" customHeight="false" outlineLevel="0" collapsed="false">
      <c r="A168" s="7" t="n">
        <v>167</v>
      </c>
      <c r="B168" s="7" t="s">
        <v>174</v>
      </c>
      <c r="C168" s="7" t="n">
        <v>37</v>
      </c>
      <c r="D168" s="7" t="n">
        <v>4</v>
      </c>
      <c r="E168" s="77" t="n">
        <v>45234</v>
      </c>
      <c r="F168" s="86" t="n">
        <v>0.0603125</v>
      </c>
      <c r="G168" s="77" t="n">
        <v>45237</v>
      </c>
      <c r="H168" s="86" t="n">
        <v>0.636423611111111</v>
      </c>
      <c r="I168" s="7" t="s">
        <v>505</v>
      </c>
      <c r="J168" s="7" t="s">
        <v>32</v>
      </c>
    </row>
    <row r="169" customFormat="false" ht="15" hidden="false" customHeight="false" outlineLevel="0" collapsed="false">
      <c r="A169" s="2" t="n">
        <v>168</v>
      </c>
      <c r="B169" s="2" t="s">
        <v>372</v>
      </c>
      <c r="C169" s="2" t="n">
        <v>35</v>
      </c>
      <c r="D169" s="2" t="n">
        <v>2</v>
      </c>
      <c r="E169" s="82" t="n">
        <v>44989</v>
      </c>
      <c r="F169" s="87" t="n">
        <v>0.650034722222222</v>
      </c>
      <c r="G169" s="82" t="n">
        <v>44992</v>
      </c>
      <c r="H169" s="87" t="n">
        <v>0.460208333333333</v>
      </c>
      <c r="I169" s="2" t="s">
        <v>268</v>
      </c>
      <c r="J169" s="2" t="s">
        <v>33</v>
      </c>
    </row>
    <row r="170" customFormat="false" ht="15" hidden="false" customHeight="false" outlineLevel="0" collapsed="false">
      <c r="A170" s="7" t="n">
        <v>169</v>
      </c>
      <c r="B170" s="7" t="s">
        <v>257</v>
      </c>
      <c r="C170" s="7" t="n">
        <v>3</v>
      </c>
      <c r="D170" s="7" t="n">
        <v>2</v>
      </c>
      <c r="E170" s="77" t="n">
        <v>44963</v>
      </c>
      <c r="F170" s="86" t="n">
        <v>0.436770833333333</v>
      </c>
      <c r="G170" s="77" t="n">
        <v>44973</v>
      </c>
      <c r="H170" s="86" t="n">
        <v>0.0599421296296296</v>
      </c>
      <c r="I170" s="7" t="s">
        <v>565</v>
      </c>
      <c r="J170" s="7" t="s">
        <v>179</v>
      </c>
    </row>
    <row r="171" customFormat="false" ht="15" hidden="false" customHeight="false" outlineLevel="0" collapsed="false">
      <c r="A171" s="2" t="n">
        <v>170</v>
      </c>
      <c r="B171" s="2" t="s">
        <v>224</v>
      </c>
      <c r="C171" s="2" t="n">
        <v>32</v>
      </c>
      <c r="D171" s="2" t="n">
        <v>2</v>
      </c>
      <c r="E171" s="82" t="n">
        <v>45006</v>
      </c>
      <c r="F171" s="87" t="n">
        <v>0.498761574074074</v>
      </c>
      <c r="G171" s="82" t="n">
        <v>45012</v>
      </c>
      <c r="H171" s="87" t="n">
        <v>0.218136574074074</v>
      </c>
      <c r="I171" s="2" t="s">
        <v>447</v>
      </c>
      <c r="J171" s="2" t="s">
        <v>31</v>
      </c>
    </row>
    <row r="172" customFormat="false" ht="15" hidden="false" customHeight="false" outlineLevel="0" collapsed="false">
      <c r="A172" s="7" t="n">
        <v>171</v>
      </c>
      <c r="B172" s="7" t="s">
        <v>313</v>
      </c>
      <c r="C172" s="7" t="n">
        <v>54</v>
      </c>
      <c r="D172" s="7" t="n">
        <v>3</v>
      </c>
      <c r="E172" s="77" t="n">
        <v>45107</v>
      </c>
      <c r="F172" s="86" t="n">
        <v>0.491539351851852</v>
      </c>
      <c r="G172" s="77" t="n">
        <v>45115</v>
      </c>
      <c r="H172" s="86" t="n">
        <v>0.518819444444445</v>
      </c>
      <c r="I172" s="7" t="s">
        <v>595</v>
      </c>
      <c r="J172" s="7" t="s">
        <v>168</v>
      </c>
    </row>
    <row r="173" customFormat="false" ht="15" hidden="false" customHeight="false" outlineLevel="0" collapsed="false">
      <c r="A173" s="2" t="n">
        <v>172</v>
      </c>
      <c r="B173" s="2" t="s">
        <v>311</v>
      </c>
      <c r="C173" s="2" t="n">
        <v>62</v>
      </c>
      <c r="D173" s="2" t="n">
        <v>4</v>
      </c>
      <c r="E173" s="82" t="n">
        <v>44988</v>
      </c>
      <c r="F173" s="87" t="n">
        <v>0.194490740740741</v>
      </c>
      <c r="G173" s="82" t="n">
        <v>44993</v>
      </c>
      <c r="H173" s="87" t="n">
        <v>0.217210648148148</v>
      </c>
      <c r="I173" s="2" t="s">
        <v>524</v>
      </c>
      <c r="J173" s="2" t="s">
        <v>33</v>
      </c>
    </row>
    <row r="174" customFormat="false" ht="15" hidden="false" customHeight="false" outlineLevel="0" collapsed="false">
      <c r="A174" s="7" t="n">
        <v>173</v>
      </c>
      <c r="B174" s="7" t="s">
        <v>316</v>
      </c>
      <c r="C174" s="7" t="n">
        <v>58</v>
      </c>
      <c r="D174" s="7" t="n">
        <v>2</v>
      </c>
      <c r="E174" s="77" t="n">
        <v>44964</v>
      </c>
      <c r="F174" s="86" t="n">
        <v>0.969178240740741</v>
      </c>
      <c r="G174" s="77" t="n">
        <v>44970</v>
      </c>
      <c r="H174" s="86" t="n">
        <v>0.0776967592592593</v>
      </c>
      <c r="I174" s="7" t="s">
        <v>335</v>
      </c>
      <c r="J174" s="7" t="s">
        <v>179</v>
      </c>
    </row>
    <row r="175" customFormat="false" ht="15" hidden="false" customHeight="false" outlineLevel="0" collapsed="false">
      <c r="A175" s="2" t="n">
        <v>174</v>
      </c>
      <c r="B175" s="2" t="s">
        <v>248</v>
      </c>
      <c r="C175" s="2" t="n">
        <v>4</v>
      </c>
      <c r="D175" s="2" t="n">
        <v>3</v>
      </c>
      <c r="E175" s="82" t="n">
        <v>45233</v>
      </c>
      <c r="F175" s="87" t="n">
        <v>0.652314814814815</v>
      </c>
      <c r="G175" s="82" t="n">
        <v>45243</v>
      </c>
      <c r="H175" s="87" t="n">
        <v>0.754699074074074</v>
      </c>
      <c r="I175" s="2" t="s">
        <v>480</v>
      </c>
      <c r="J175" s="2" t="s">
        <v>32</v>
      </c>
    </row>
    <row r="176" customFormat="false" ht="15" hidden="false" customHeight="false" outlineLevel="0" collapsed="false">
      <c r="A176" s="7" t="n">
        <v>175</v>
      </c>
      <c r="B176" s="7" t="s">
        <v>230</v>
      </c>
      <c r="C176" s="7" t="n">
        <v>31</v>
      </c>
      <c r="D176" s="7" t="n">
        <v>1</v>
      </c>
      <c r="E176" s="77" t="n">
        <v>45212</v>
      </c>
      <c r="F176" s="86" t="n">
        <v>0.0540162037037037</v>
      </c>
      <c r="G176" s="77" t="n">
        <v>45219</v>
      </c>
      <c r="H176" s="86" t="n">
        <v>0.307546296296296</v>
      </c>
      <c r="I176" s="7" t="s">
        <v>508</v>
      </c>
      <c r="J176" s="7" t="s">
        <v>165</v>
      </c>
    </row>
    <row r="177" customFormat="false" ht="15" hidden="false" customHeight="false" outlineLevel="0" collapsed="false">
      <c r="A177" s="2" t="n">
        <v>176</v>
      </c>
      <c r="B177" s="2" t="s">
        <v>221</v>
      </c>
      <c r="C177" s="2" t="n">
        <v>17</v>
      </c>
      <c r="D177" s="2" t="n">
        <v>2</v>
      </c>
      <c r="E177" s="82" t="n">
        <v>44995</v>
      </c>
      <c r="F177" s="87" t="n">
        <v>0.149143518518519</v>
      </c>
      <c r="G177" s="82" t="n">
        <v>45001</v>
      </c>
      <c r="H177" s="87" t="n">
        <v>0.725590277777778</v>
      </c>
      <c r="I177" s="2" t="s">
        <v>492</v>
      </c>
      <c r="J177" s="2" t="s">
        <v>168</v>
      </c>
    </row>
    <row r="178" customFormat="false" ht="15" hidden="false" customHeight="false" outlineLevel="0" collapsed="false">
      <c r="A178" s="7" t="n">
        <v>177</v>
      </c>
      <c r="B178" s="7" t="s">
        <v>353</v>
      </c>
      <c r="C178" s="7" t="n">
        <v>62</v>
      </c>
      <c r="D178" s="7" t="n">
        <v>4</v>
      </c>
      <c r="E178" s="77" t="n">
        <v>44990</v>
      </c>
      <c r="F178" s="86" t="n">
        <v>0.0758333333333333</v>
      </c>
      <c r="G178" s="77" t="n">
        <v>44992</v>
      </c>
      <c r="H178" s="86" t="n">
        <v>0.618541666666667</v>
      </c>
      <c r="I178" s="7" t="s">
        <v>558</v>
      </c>
      <c r="J178" s="7" t="s">
        <v>33</v>
      </c>
    </row>
    <row r="179" customFormat="false" ht="15" hidden="false" customHeight="false" outlineLevel="0" collapsed="false">
      <c r="A179" s="2" t="n">
        <v>178</v>
      </c>
      <c r="B179" s="2" t="s">
        <v>385</v>
      </c>
      <c r="C179" s="2" t="n">
        <v>61</v>
      </c>
      <c r="D179" s="2" t="n">
        <v>1</v>
      </c>
      <c r="E179" s="82" t="n">
        <v>45244</v>
      </c>
      <c r="F179" s="87" t="n">
        <v>0.961469907407408</v>
      </c>
      <c r="G179" s="82" t="n">
        <v>45246</v>
      </c>
      <c r="H179" s="87" t="n">
        <v>0.0933217592592593</v>
      </c>
      <c r="I179" s="2" t="s">
        <v>241</v>
      </c>
      <c r="J179" s="2" t="s">
        <v>168</v>
      </c>
    </row>
    <row r="180" customFormat="false" ht="15" hidden="false" customHeight="false" outlineLevel="0" collapsed="false">
      <c r="A180" s="7" t="n">
        <v>179</v>
      </c>
      <c r="B180" s="7" t="s">
        <v>334</v>
      </c>
      <c r="C180" s="7" t="n">
        <v>47</v>
      </c>
      <c r="D180" s="7" t="n">
        <v>3</v>
      </c>
      <c r="E180" s="77" t="n">
        <v>44985</v>
      </c>
      <c r="F180" s="86" t="n">
        <v>0.636134259259259</v>
      </c>
      <c r="G180" s="77" t="n">
        <v>44995</v>
      </c>
      <c r="H180" s="86" t="n">
        <v>0.60494212962963</v>
      </c>
      <c r="I180" s="7" t="s">
        <v>606</v>
      </c>
      <c r="J180" s="7" t="s">
        <v>33</v>
      </c>
    </row>
    <row r="181" customFormat="false" ht="15" hidden="false" customHeight="false" outlineLevel="0" collapsed="false">
      <c r="A181" s="2" t="n">
        <v>180</v>
      </c>
      <c r="B181" s="2" t="s">
        <v>278</v>
      </c>
      <c r="C181" s="2" t="n">
        <v>55</v>
      </c>
      <c r="D181" s="2" t="n">
        <v>2</v>
      </c>
      <c r="E181" s="82" t="n">
        <v>45162</v>
      </c>
      <c r="F181" s="87" t="n">
        <v>0.694826388888889</v>
      </c>
      <c r="G181" s="82" t="n">
        <v>45165</v>
      </c>
      <c r="H181" s="87" t="n">
        <v>0.36474537037037</v>
      </c>
      <c r="I181" s="2" t="s">
        <v>509</v>
      </c>
      <c r="J181" s="2" t="s">
        <v>40</v>
      </c>
    </row>
    <row r="182" customFormat="false" ht="15" hidden="false" customHeight="false" outlineLevel="0" collapsed="false">
      <c r="A182" s="7" t="n">
        <v>181</v>
      </c>
      <c r="B182" s="7" t="s">
        <v>294</v>
      </c>
      <c r="C182" s="7" t="n">
        <v>10</v>
      </c>
      <c r="D182" s="7" t="n">
        <v>4</v>
      </c>
      <c r="E182" s="77" t="n">
        <v>45166</v>
      </c>
      <c r="F182" s="86" t="n">
        <v>0.246782407407407</v>
      </c>
      <c r="G182" s="77" t="n">
        <v>45175</v>
      </c>
      <c r="H182" s="86" t="n">
        <v>0.203796296296296</v>
      </c>
      <c r="I182" s="7" t="s">
        <v>416</v>
      </c>
      <c r="J182" s="7" t="s">
        <v>31</v>
      </c>
    </row>
    <row r="183" customFormat="false" ht="15" hidden="false" customHeight="false" outlineLevel="0" collapsed="false">
      <c r="A183" s="2" t="n">
        <v>182</v>
      </c>
      <c r="B183" s="2" t="s">
        <v>311</v>
      </c>
      <c r="C183" s="2" t="n">
        <v>2</v>
      </c>
      <c r="D183" s="2" t="n">
        <v>1</v>
      </c>
      <c r="E183" s="82" t="n">
        <v>44965</v>
      </c>
      <c r="F183" s="87" t="n">
        <v>0.973263888888889</v>
      </c>
      <c r="G183" s="82" t="n">
        <v>44972</v>
      </c>
      <c r="H183" s="87" t="n">
        <v>0.255243055555556</v>
      </c>
      <c r="I183" s="2" t="s">
        <v>308</v>
      </c>
      <c r="J183" s="2" t="s">
        <v>179</v>
      </c>
    </row>
    <row r="184" customFormat="false" ht="15" hidden="false" customHeight="false" outlineLevel="0" collapsed="false">
      <c r="A184" s="7" t="n">
        <v>183</v>
      </c>
      <c r="B184" s="7" t="s">
        <v>344</v>
      </c>
      <c r="C184" s="7" t="n">
        <v>48</v>
      </c>
      <c r="D184" s="7" t="n">
        <v>3</v>
      </c>
      <c r="E184" s="77" t="n">
        <v>45239</v>
      </c>
      <c r="F184" s="86" t="n">
        <v>0.758113425925926</v>
      </c>
      <c r="G184" s="77" t="n">
        <v>45241</v>
      </c>
      <c r="H184" s="86" t="n">
        <v>0.645439814814815</v>
      </c>
      <c r="I184" s="7" t="s">
        <v>191</v>
      </c>
      <c r="J184" s="7" t="s">
        <v>32</v>
      </c>
    </row>
    <row r="185" customFormat="false" ht="15" hidden="false" customHeight="false" outlineLevel="0" collapsed="false">
      <c r="A185" s="2" t="n">
        <v>184</v>
      </c>
      <c r="B185" s="2" t="s">
        <v>192</v>
      </c>
      <c r="C185" s="2" t="n">
        <v>52</v>
      </c>
      <c r="D185" s="2" t="n">
        <v>3</v>
      </c>
      <c r="E185" s="82" t="n">
        <v>44968</v>
      </c>
      <c r="F185" s="87" t="n">
        <v>0.899224537037037</v>
      </c>
      <c r="G185" s="82" t="n">
        <v>44977</v>
      </c>
      <c r="H185" s="87" t="n">
        <v>0.208668981481482</v>
      </c>
      <c r="I185" s="2" t="s">
        <v>343</v>
      </c>
      <c r="J185" s="2" t="s">
        <v>179</v>
      </c>
    </row>
    <row r="186" customFormat="false" ht="15" hidden="false" customHeight="false" outlineLevel="0" collapsed="false">
      <c r="A186" s="7" t="n">
        <v>185</v>
      </c>
      <c r="B186" s="7" t="s">
        <v>306</v>
      </c>
      <c r="C186" s="7" t="n">
        <v>18</v>
      </c>
      <c r="D186" s="7" t="n">
        <v>1</v>
      </c>
      <c r="E186" s="77" t="n">
        <v>45053</v>
      </c>
      <c r="F186" s="86" t="n">
        <v>0.299131944444445</v>
      </c>
      <c r="G186" s="77" t="n">
        <v>45063</v>
      </c>
      <c r="H186" s="86" t="n">
        <v>0.833831018518519</v>
      </c>
      <c r="I186" s="7" t="s">
        <v>546</v>
      </c>
      <c r="J186" s="7" t="s">
        <v>31</v>
      </c>
    </row>
    <row r="187" customFormat="false" ht="15" hidden="false" customHeight="false" outlineLevel="0" collapsed="false">
      <c r="A187" s="2" t="n">
        <v>186</v>
      </c>
      <c r="B187" s="2" t="s">
        <v>248</v>
      </c>
      <c r="C187" s="2" t="n">
        <v>61</v>
      </c>
      <c r="D187" s="2" t="n">
        <v>1</v>
      </c>
      <c r="E187" s="82" t="n">
        <v>45055</v>
      </c>
      <c r="F187" s="87" t="n">
        <v>0.381759259259259</v>
      </c>
      <c r="G187" s="82" t="n">
        <v>45057</v>
      </c>
      <c r="H187" s="87" t="n">
        <v>0.0113773148148148</v>
      </c>
      <c r="I187" s="2" t="s">
        <v>463</v>
      </c>
      <c r="J187" s="2" t="s">
        <v>168</v>
      </c>
    </row>
    <row r="188" customFormat="false" ht="15" hidden="false" customHeight="false" outlineLevel="0" collapsed="false">
      <c r="A188" s="7" t="n">
        <v>187</v>
      </c>
      <c r="B188" s="7" t="s">
        <v>145</v>
      </c>
      <c r="C188" s="7" t="n">
        <v>49</v>
      </c>
      <c r="D188" s="7" t="n">
        <v>5</v>
      </c>
      <c r="E188" s="77" t="n">
        <v>44968</v>
      </c>
      <c r="F188" s="86" t="n">
        <v>0.882418981481482</v>
      </c>
      <c r="G188" s="77" t="n">
        <v>44973</v>
      </c>
      <c r="H188" s="86" t="n">
        <v>0.398715277777778</v>
      </c>
      <c r="I188" s="7" t="s">
        <v>177</v>
      </c>
      <c r="J188" s="7" t="s">
        <v>179</v>
      </c>
    </row>
    <row r="189" customFormat="false" ht="15" hidden="false" customHeight="false" outlineLevel="0" collapsed="false">
      <c r="A189" s="2" t="n">
        <v>188</v>
      </c>
      <c r="B189" s="2" t="s">
        <v>303</v>
      </c>
      <c r="C189" s="2" t="n">
        <v>22</v>
      </c>
      <c r="D189" s="2" t="n">
        <v>5</v>
      </c>
      <c r="E189" s="82" t="n">
        <v>45187</v>
      </c>
      <c r="F189" s="87" t="n">
        <v>0.0684375</v>
      </c>
      <c r="G189" s="82" t="n">
        <v>45194</v>
      </c>
      <c r="H189" s="87" t="n">
        <v>0.584861111111111</v>
      </c>
      <c r="I189" s="2" t="s">
        <v>561</v>
      </c>
      <c r="J189" s="2" t="s">
        <v>165</v>
      </c>
    </row>
    <row r="190" customFormat="false" ht="15" hidden="false" customHeight="false" outlineLevel="0" collapsed="false">
      <c r="A190" s="7" t="n">
        <v>189</v>
      </c>
      <c r="B190" s="7" t="s">
        <v>167</v>
      </c>
      <c r="C190" s="7" t="n">
        <v>57</v>
      </c>
      <c r="D190" s="7" t="n">
        <v>1</v>
      </c>
      <c r="E190" s="77" t="n">
        <v>45249</v>
      </c>
      <c r="F190" s="86" t="n">
        <v>0.723831018518519</v>
      </c>
      <c r="G190" s="77" t="n">
        <v>45252</v>
      </c>
      <c r="H190" s="86" t="n">
        <v>0.556875</v>
      </c>
      <c r="I190" s="7" t="s">
        <v>576</v>
      </c>
      <c r="J190" s="7" t="s">
        <v>31</v>
      </c>
    </row>
    <row r="191" customFormat="false" ht="15" hidden="false" customHeight="false" outlineLevel="0" collapsed="false">
      <c r="A191" s="2" t="n">
        <v>190</v>
      </c>
      <c r="B191" s="2" t="s">
        <v>382</v>
      </c>
      <c r="C191" s="2" t="n">
        <v>60</v>
      </c>
      <c r="D191" s="2" t="n">
        <v>5</v>
      </c>
      <c r="E191" s="82" t="n">
        <v>45239</v>
      </c>
      <c r="F191" s="87" t="n">
        <v>0.523483796296296</v>
      </c>
      <c r="G191" s="82" t="n">
        <v>45243</v>
      </c>
      <c r="H191" s="87" t="n">
        <v>0.570416666666667</v>
      </c>
      <c r="I191" s="2" t="s">
        <v>321</v>
      </c>
      <c r="J191" s="2" t="s">
        <v>32</v>
      </c>
    </row>
    <row r="192" customFormat="false" ht="15" hidden="false" customHeight="false" outlineLevel="0" collapsed="false">
      <c r="A192" s="7" t="n">
        <v>191</v>
      </c>
      <c r="B192" s="7" t="s">
        <v>157</v>
      </c>
      <c r="C192" s="7" t="n">
        <v>24</v>
      </c>
      <c r="D192" s="7" t="n">
        <v>3</v>
      </c>
      <c r="E192" s="77" t="n">
        <v>45211</v>
      </c>
      <c r="F192" s="86" t="n">
        <v>0.759097222222222</v>
      </c>
      <c r="G192" s="77" t="n">
        <v>45216</v>
      </c>
      <c r="H192" s="86" t="n">
        <v>0.368078703703704</v>
      </c>
      <c r="I192" s="7" t="s">
        <v>365</v>
      </c>
      <c r="J192" s="7" t="s">
        <v>31</v>
      </c>
    </row>
    <row r="193" customFormat="false" ht="15" hidden="false" customHeight="false" outlineLevel="0" collapsed="false">
      <c r="A193" s="2" t="n">
        <v>192</v>
      </c>
      <c r="B193" s="2" t="s">
        <v>283</v>
      </c>
      <c r="C193" s="2" t="n">
        <v>64</v>
      </c>
      <c r="D193" s="2" t="n">
        <v>5</v>
      </c>
      <c r="E193" s="82" t="n">
        <v>45158</v>
      </c>
      <c r="F193" s="87" t="n">
        <v>0.519814814814815</v>
      </c>
      <c r="G193" s="82" t="n">
        <v>45159</v>
      </c>
      <c r="H193" s="87" t="n">
        <v>0.0911805555555556</v>
      </c>
      <c r="I193" s="2" t="s">
        <v>606</v>
      </c>
      <c r="J193" s="2" t="s">
        <v>40</v>
      </c>
    </row>
    <row r="194" customFormat="false" ht="15" hidden="false" customHeight="false" outlineLevel="0" collapsed="false">
      <c r="A194" s="7" t="n">
        <v>193</v>
      </c>
      <c r="B194" s="7" t="s">
        <v>218</v>
      </c>
      <c r="C194" s="7" t="n">
        <v>42</v>
      </c>
      <c r="D194" s="7" t="n">
        <v>4</v>
      </c>
      <c r="E194" s="77" t="n">
        <v>45154</v>
      </c>
      <c r="F194" s="86" t="n">
        <v>0.989224537037037</v>
      </c>
      <c r="G194" s="77" t="n">
        <v>45157</v>
      </c>
      <c r="H194" s="86" t="n">
        <v>0.106967592592593</v>
      </c>
      <c r="I194" s="7" t="s">
        <v>503</v>
      </c>
      <c r="J194" s="7" t="s">
        <v>165</v>
      </c>
    </row>
    <row r="195" customFormat="false" ht="15" hidden="false" customHeight="false" outlineLevel="0" collapsed="false">
      <c r="A195" s="2" t="n">
        <v>194</v>
      </c>
      <c r="B195" s="2" t="s">
        <v>198</v>
      </c>
      <c r="C195" s="2" t="n">
        <v>58</v>
      </c>
      <c r="D195" s="2" t="n">
        <v>4</v>
      </c>
      <c r="E195" s="82" t="n">
        <v>44965</v>
      </c>
      <c r="F195" s="87" t="n">
        <v>0.487141203703704</v>
      </c>
      <c r="G195" s="82" t="n">
        <v>44966</v>
      </c>
      <c r="H195" s="87" t="n">
        <v>0.204513888888889</v>
      </c>
      <c r="I195" s="2" t="s">
        <v>529</v>
      </c>
      <c r="J195" s="2" t="s">
        <v>179</v>
      </c>
    </row>
    <row r="196" customFormat="false" ht="15" hidden="false" customHeight="false" outlineLevel="0" collapsed="false">
      <c r="A196" s="7" t="n">
        <v>195</v>
      </c>
      <c r="B196" s="7" t="s">
        <v>215</v>
      </c>
      <c r="C196" s="7" t="n">
        <v>67</v>
      </c>
      <c r="D196" s="7" t="n">
        <v>5</v>
      </c>
      <c r="E196" s="77" t="n">
        <v>45026</v>
      </c>
      <c r="F196" s="86" t="n">
        <v>0.231863425925926</v>
      </c>
      <c r="G196" s="77" t="n">
        <v>45033</v>
      </c>
      <c r="H196" s="86" t="n">
        <v>0.327546296296296</v>
      </c>
      <c r="I196" s="7" t="s">
        <v>436</v>
      </c>
      <c r="J196" s="7" t="s">
        <v>168</v>
      </c>
    </row>
    <row r="197" customFormat="false" ht="15" hidden="false" customHeight="false" outlineLevel="0" collapsed="false">
      <c r="A197" s="2" t="n">
        <v>196</v>
      </c>
      <c r="B197" s="2" t="s">
        <v>291</v>
      </c>
      <c r="C197" s="2" t="n">
        <v>30</v>
      </c>
      <c r="D197" s="2" t="n">
        <v>2</v>
      </c>
      <c r="E197" s="82" t="n">
        <v>45143</v>
      </c>
      <c r="F197" s="87" t="n">
        <v>0.401273148148148</v>
      </c>
      <c r="G197" s="82" t="n">
        <v>45151</v>
      </c>
      <c r="H197" s="87" t="n">
        <v>0.373680555555556</v>
      </c>
      <c r="I197" s="2" t="s">
        <v>208</v>
      </c>
      <c r="J197" s="2" t="s">
        <v>168</v>
      </c>
    </row>
    <row r="198" customFormat="false" ht="15" hidden="false" customHeight="false" outlineLevel="0" collapsed="false">
      <c r="A198" s="7" t="n">
        <v>197</v>
      </c>
      <c r="B198" s="7" t="s">
        <v>379</v>
      </c>
      <c r="C198" s="7" t="n">
        <v>45</v>
      </c>
      <c r="D198" s="7" t="n">
        <v>2</v>
      </c>
      <c r="E198" s="77" t="n">
        <v>45007</v>
      </c>
      <c r="F198" s="86" t="n">
        <v>0.776875</v>
      </c>
      <c r="G198" s="77" t="n">
        <v>45011</v>
      </c>
      <c r="H198" s="86" t="n">
        <v>0.145902777777778</v>
      </c>
      <c r="I198" s="7" t="s">
        <v>365</v>
      </c>
      <c r="J198" s="7" t="s">
        <v>31</v>
      </c>
    </row>
    <row r="199" customFormat="false" ht="15" hidden="false" customHeight="false" outlineLevel="0" collapsed="false">
      <c r="A199" s="2" t="n">
        <v>198</v>
      </c>
      <c r="B199" s="2" t="s">
        <v>366</v>
      </c>
      <c r="C199" s="2" t="n">
        <v>24</v>
      </c>
      <c r="D199" s="2" t="n">
        <v>2</v>
      </c>
      <c r="E199" s="82" t="n">
        <v>45165</v>
      </c>
      <c r="F199" s="87" t="n">
        <v>0.940011574074074</v>
      </c>
      <c r="G199" s="82" t="n">
        <v>45173</v>
      </c>
      <c r="H199" s="87" t="n">
        <v>0.0484953703703704</v>
      </c>
      <c r="I199" s="2" t="s">
        <v>526</v>
      </c>
      <c r="J199" s="2" t="s">
        <v>31</v>
      </c>
    </row>
    <row r="200" customFormat="false" ht="15" hidden="false" customHeight="false" outlineLevel="0" collapsed="false">
      <c r="A200" s="7" t="n">
        <v>199</v>
      </c>
      <c r="B200" s="7" t="s">
        <v>375</v>
      </c>
      <c r="C200" s="7" t="n">
        <v>70</v>
      </c>
      <c r="D200" s="7" t="n">
        <v>5</v>
      </c>
      <c r="E200" s="77" t="n">
        <v>45154</v>
      </c>
      <c r="F200" s="86" t="n">
        <v>0.0795138888888889</v>
      </c>
      <c r="G200" s="77" t="n">
        <v>45157</v>
      </c>
      <c r="H200" s="86" t="n">
        <v>0.684016203703704</v>
      </c>
      <c r="I200" s="7" t="s">
        <v>203</v>
      </c>
      <c r="J200" s="7" t="s">
        <v>31</v>
      </c>
    </row>
    <row r="201" customFormat="false" ht="15" hidden="false" customHeight="false" outlineLevel="0" collapsed="false">
      <c r="A201" s="2" t="n">
        <v>200</v>
      </c>
      <c r="B201" s="2" t="s">
        <v>303</v>
      </c>
      <c r="C201" s="2" t="n">
        <v>23</v>
      </c>
      <c r="D201" s="2" t="n">
        <v>5</v>
      </c>
      <c r="E201" s="82" t="n">
        <v>44929</v>
      </c>
      <c r="F201" s="87" t="n">
        <v>0.836296296296296</v>
      </c>
      <c r="G201" s="82" t="n">
        <v>44934</v>
      </c>
      <c r="H201" s="87" t="n">
        <v>0.971435185185185</v>
      </c>
      <c r="I201" s="2" t="s">
        <v>126</v>
      </c>
      <c r="J201" s="2" t="s">
        <v>168</v>
      </c>
    </row>
    <row r="202" customFormat="false" ht="15" hidden="false" customHeight="false" outlineLevel="0" collapsed="false">
      <c r="A202" s="7" t="n">
        <v>201</v>
      </c>
      <c r="B202" s="7" t="s">
        <v>133</v>
      </c>
      <c r="C202" s="7" t="n">
        <v>55</v>
      </c>
      <c r="D202" s="7" t="n">
        <v>4</v>
      </c>
      <c r="E202" s="77" t="n">
        <v>45162</v>
      </c>
      <c r="F202" s="86" t="n">
        <v>0.194606481481482</v>
      </c>
      <c r="G202" s="77" t="n">
        <v>45168</v>
      </c>
      <c r="H202" s="86" t="n">
        <v>0.161435185185185</v>
      </c>
      <c r="I202" s="7" t="s">
        <v>337</v>
      </c>
      <c r="J202" s="7" t="s">
        <v>40</v>
      </c>
    </row>
    <row r="203" customFormat="false" ht="15" hidden="false" customHeight="false" outlineLevel="0" collapsed="false">
      <c r="A203" s="2" t="n">
        <v>202</v>
      </c>
      <c r="B203" s="2" t="s">
        <v>363</v>
      </c>
      <c r="C203" s="2" t="n">
        <v>36</v>
      </c>
      <c r="D203" s="2" t="n">
        <v>5</v>
      </c>
      <c r="E203" s="82" t="n">
        <v>45134</v>
      </c>
      <c r="F203" s="87" t="n">
        <v>0.342916666666667</v>
      </c>
      <c r="G203" s="82" t="n">
        <v>45139</v>
      </c>
      <c r="H203" s="87" t="n">
        <v>0.126400462962963</v>
      </c>
      <c r="I203" s="2" t="s">
        <v>247</v>
      </c>
      <c r="J203" s="2" t="s">
        <v>31</v>
      </c>
    </row>
    <row r="204" customFormat="false" ht="15" hidden="false" customHeight="false" outlineLevel="0" collapsed="false">
      <c r="A204" s="7" t="n">
        <v>203</v>
      </c>
      <c r="B204" s="7" t="s">
        <v>221</v>
      </c>
      <c r="C204" s="7" t="n">
        <v>9</v>
      </c>
      <c r="D204" s="7" t="n">
        <v>5</v>
      </c>
      <c r="E204" s="77" t="n">
        <v>45167</v>
      </c>
      <c r="F204" s="86" t="n">
        <v>0.235416666666667</v>
      </c>
      <c r="G204" s="77" t="n">
        <v>45177</v>
      </c>
      <c r="H204" s="86" t="n">
        <v>0.944606481481482</v>
      </c>
      <c r="I204" s="7" t="s">
        <v>606</v>
      </c>
      <c r="J204" s="7" t="s">
        <v>40</v>
      </c>
    </row>
    <row r="205" customFormat="false" ht="15" hidden="false" customHeight="false" outlineLevel="0" collapsed="false">
      <c r="A205" s="2" t="n">
        <v>204</v>
      </c>
      <c r="B205" s="2" t="s">
        <v>288</v>
      </c>
      <c r="C205" s="2" t="n">
        <v>10</v>
      </c>
      <c r="D205" s="2" t="n">
        <v>4</v>
      </c>
      <c r="E205" s="82" t="n">
        <v>45110</v>
      </c>
      <c r="F205" s="87" t="n">
        <v>0.449108796296296</v>
      </c>
      <c r="G205" s="82" t="n">
        <v>45116</v>
      </c>
      <c r="H205" s="87" t="n">
        <v>0.270173611111111</v>
      </c>
      <c r="I205" s="2" t="s">
        <v>428</v>
      </c>
      <c r="J205" s="2" t="s">
        <v>31</v>
      </c>
    </row>
    <row r="206" customFormat="false" ht="15" hidden="false" customHeight="false" outlineLevel="0" collapsed="false">
      <c r="A206" s="7" t="n">
        <v>205</v>
      </c>
      <c r="B206" s="7" t="s">
        <v>181</v>
      </c>
      <c r="C206" s="7" t="n">
        <v>46</v>
      </c>
      <c r="D206" s="7" t="n">
        <v>5</v>
      </c>
      <c r="E206" s="77" t="n">
        <v>45113</v>
      </c>
      <c r="F206" s="86" t="n">
        <v>0.220381944444444</v>
      </c>
      <c r="G206" s="77" t="n">
        <v>45116</v>
      </c>
      <c r="H206" s="86" t="n">
        <v>0.491111111111111</v>
      </c>
      <c r="I206" s="7" t="s">
        <v>324</v>
      </c>
      <c r="J206" s="7" t="s">
        <v>168</v>
      </c>
    </row>
    <row r="207" customFormat="false" ht="15" hidden="false" customHeight="false" outlineLevel="0" collapsed="false">
      <c r="A207" s="2" t="n">
        <v>206</v>
      </c>
      <c r="B207" s="2" t="s">
        <v>390</v>
      </c>
      <c r="C207" s="2" t="n">
        <v>68</v>
      </c>
      <c r="D207" s="2" t="n">
        <v>3</v>
      </c>
      <c r="E207" s="82" t="n">
        <v>44968</v>
      </c>
      <c r="F207" s="87" t="n">
        <v>0.925185185185185</v>
      </c>
      <c r="G207" s="82" t="n">
        <v>44970</v>
      </c>
      <c r="H207" s="87" t="n">
        <v>0.529178240740741</v>
      </c>
      <c r="I207" s="2" t="s">
        <v>600</v>
      </c>
      <c r="J207" s="2" t="s">
        <v>179</v>
      </c>
    </row>
    <row r="208" customFormat="false" ht="15" hidden="false" customHeight="false" outlineLevel="0" collapsed="false">
      <c r="A208" s="7" t="n">
        <v>207</v>
      </c>
      <c r="B208" s="7" t="s">
        <v>334</v>
      </c>
      <c r="C208" s="7" t="n">
        <v>6</v>
      </c>
      <c r="D208" s="7" t="n">
        <v>2</v>
      </c>
      <c r="E208" s="77" t="n">
        <v>44990</v>
      </c>
      <c r="F208" s="86" t="n">
        <v>0.0508796296296296</v>
      </c>
      <c r="G208" s="77" t="n">
        <v>44992</v>
      </c>
      <c r="H208" s="86" t="n">
        <v>0.511064814814815</v>
      </c>
      <c r="I208" s="7" t="s">
        <v>169</v>
      </c>
      <c r="J208" s="7" t="s">
        <v>33</v>
      </c>
    </row>
    <row r="209" customFormat="false" ht="15" hidden="false" customHeight="false" outlineLevel="0" collapsed="false">
      <c r="A209" s="2" t="n">
        <v>208</v>
      </c>
      <c r="B209" s="2" t="s">
        <v>124</v>
      </c>
      <c r="C209" s="2" t="n">
        <v>18</v>
      </c>
      <c r="D209" s="2" t="n">
        <v>5</v>
      </c>
      <c r="E209" s="82" t="n">
        <v>45018</v>
      </c>
      <c r="F209" s="87" t="n">
        <v>0.188043981481482</v>
      </c>
      <c r="G209" s="82" t="n">
        <v>45028</v>
      </c>
      <c r="H209" s="87" t="n">
        <v>0.29625</v>
      </c>
      <c r="I209" s="2" t="s">
        <v>468</v>
      </c>
      <c r="J209" s="2" t="s">
        <v>31</v>
      </c>
    </row>
    <row r="210" customFormat="false" ht="15" hidden="false" customHeight="false" outlineLevel="0" collapsed="false">
      <c r="A210" s="7" t="n">
        <v>209</v>
      </c>
      <c r="B210" s="7" t="s">
        <v>313</v>
      </c>
      <c r="C210" s="7" t="n">
        <v>70</v>
      </c>
      <c r="D210" s="7" t="n">
        <v>2</v>
      </c>
      <c r="E210" s="77" t="n">
        <v>45099</v>
      </c>
      <c r="F210" s="86" t="n">
        <v>0.0309259259259259</v>
      </c>
      <c r="G210" s="77" t="n">
        <v>45100</v>
      </c>
      <c r="H210" s="86" t="n">
        <v>0.905925925925926</v>
      </c>
      <c r="I210" s="7" t="s">
        <v>403</v>
      </c>
      <c r="J210" s="7" t="s">
        <v>31</v>
      </c>
    </row>
    <row r="211" customFormat="false" ht="15" hidden="false" customHeight="false" outlineLevel="0" collapsed="false">
      <c r="A211" s="2" t="n">
        <v>210</v>
      </c>
      <c r="B211" s="2" t="s">
        <v>379</v>
      </c>
      <c r="C211" s="2" t="n">
        <v>32</v>
      </c>
      <c r="D211" s="2" t="n">
        <v>4</v>
      </c>
      <c r="E211" s="82" t="n">
        <v>45270</v>
      </c>
      <c r="F211" s="87" t="n">
        <v>0.0323148148148148</v>
      </c>
      <c r="G211" s="82" t="n">
        <v>45275</v>
      </c>
      <c r="H211" s="87" t="n">
        <v>0.335127314814815</v>
      </c>
      <c r="I211" s="2" t="s">
        <v>150</v>
      </c>
      <c r="J211" s="2" t="s">
        <v>31</v>
      </c>
    </row>
    <row r="212" customFormat="false" ht="15" hidden="false" customHeight="false" outlineLevel="0" collapsed="false">
      <c r="A212" s="7" t="n">
        <v>211</v>
      </c>
      <c r="B212" s="7" t="s">
        <v>233</v>
      </c>
      <c r="C212" s="7" t="n">
        <v>31</v>
      </c>
      <c r="D212" s="7" t="n">
        <v>5</v>
      </c>
      <c r="E212" s="77" t="n">
        <v>45221</v>
      </c>
      <c r="F212" s="86" t="n">
        <v>0.760405092592593</v>
      </c>
      <c r="G212" s="77" t="n">
        <v>45228</v>
      </c>
      <c r="H212" s="86" t="n">
        <v>0.736145833333333</v>
      </c>
      <c r="I212" s="7" t="s">
        <v>515</v>
      </c>
      <c r="J212" s="7" t="s">
        <v>165</v>
      </c>
    </row>
    <row r="213" customFormat="false" ht="15" hidden="false" customHeight="false" outlineLevel="0" collapsed="false">
      <c r="A213" s="2" t="n">
        <v>212</v>
      </c>
      <c r="B213" s="2" t="s">
        <v>375</v>
      </c>
      <c r="C213" s="2" t="n">
        <v>7</v>
      </c>
      <c r="D213" s="2" t="n">
        <v>2</v>
      </c>
      <c r="E213" s="82" t="n">
        <v>44985</v>
      </c>
      <c r="F213" s="87" t="n">
        <v>0.301851851851852</v>
      </c>
      <c r="G213" s="82" t="n">
        <v>44990</v>
      </c>
      <c r="H213" s="87" t="n">
        <v>0.834548611111111</v>
      </c>
      <c r="I213" s="2" t="s">
        <v>516</v>
      </c>
      <c r="J213" s="2" t="s">
        <v>33</v>
      </c>
    </row>
    <row r="214" customFormat="false" ht="15" hidden="false" customHeight="false" outlineLevel="0" collapsed="false">
      <c r="A214" s="7" t="n">
        <v>213</v>
      </c>
      <c r="B214" s="7" t="s">
        <v>181</v>
      </c>
      <c r="C214" s="7" t="n">
        <v>42</v>
      </c>
      <c r="D214" s="7" t="n">
        <v>5</v>
      </c>
      <c r="E214" s="77" t="n">
        <v>44971</v>
      </c>
      <c r="F214" s="86" t="n">
        <v>0.351597222222222</v>
      </c>
      <c r="G214" s="77" t="n">
        <v>44981</v>
      </c>
      <c r="H214" s="86" t="n">
        <v>0.373738425925926</v>
      </c>
      <c r="I214" s="7" t="s">
        <v>327</v>
      </c>
      <c r="J214" s="7" t="s">
        <v>165</v>
      </c>
    </row>
    <row r="215" customFormat="false" ht="15" hidden="false" customHeight="false" outlineLevel="0" collapsed="false">
      <c r="A215" s="2" t="n">
        <v>214</v>
      </c>
      <c r="B215" s="2" t="s">
        <v>390</v>
      </c>
      <c r="C215" s="2" t="n">
        <v>13</v>
      </c>
      <c r="D215" s="2" t="n">
        <v>3</v>
      </c>
      <c r="E215" s="82" t="n">
        <v>44986</v>
      </c>
      <c r="F215" s="87" t="n">
        <v>0.326331018518519</v>
      </c>
      <c r="G215" s="82" t="n">
        <v>44992</v>
      </c>
      <c r="H215" s="87" t="n">
        <v>0.352372685185185</v>
      </c>
      <c r="I215" s="2" t="s">
        <v>356</v>
      </c>
      <c r="J215" s="2" t="s">
        <v>33</v>
      </c>
    </row>
    <row r="216" customFormat="false" ht="15" hidden="false" customHeight="false" outlineLevel="0" collapsed="false">
      <c r="A216" s="7" t="n">
        <v>215</v>
      </c>
      <c r="B216" s="7" t="s">
        <v>388</v>
      </c>
      <c r="C216" s="7" t="n">
        <v>17</v>
      </c>
      <c r="D216" s="7" t="n">
        <v>1</v>
      </c>
      <c r="E216" s="77" t="n">
        <v>45067</v>
      </c>
      <c r="F216" s="86" t="n">
        <v>0.162800925925926</v>
      </c>
      <c r="G216" s="77" t="n">
        <v>45070</v>
      </c>
      <c r="H216" s="86" t="n">
        <v>0.526087962962963</v>
      </c>
      <c r="I216" s="7" t="s">
        <v>452</v>
      </c>
      <c r="J216" s="7" t="s">
        <v>168</v>
      </c>
    </row>
    <row r="217" customFormat="false" ht="15" hidden="false" customHeight="false" outlineLevel="0" collapsed="false">
      <c r="A217" s="2" t="n">
        <v>216</v>
      </c>
      <c r="B217" s="2" t="s">
        <v>133</v>
      </c>
      <c r="C217" s="2" t="n">
        <v>23</v>
      </c>
      <c r="D217" s="2" t="n">
        <v>1</v>
      </c>
      <c r="E217" s="82" t="n">
        <v>45202</v>
      </c>
      <c r="F217" s="87" t="n">
        <v>0.657349537037037</v>
      </c>
      <c r="G217" s="82" t="n">
        <v>45207</v>
      </c>
      <c r="H217" s="87" t="n">
        <v>0.865601851851852</v>
      </c>
      <c r="I217" s="2" t="s">
        <v>235</v>
      </c>
      <c r="J217" s="2" t="s">
        <v>168</v>
      </c>
    </row>
    <row r="218" customFormat="false" ht="15" hidden="false" customHeight="false" outlineLevel="0" collapsed="false">
      <c r="A218" s="7" t="n">
        <v>217</v>
      </c>
      <c r="B218" s="7" t="s">
        <v>230</v>
      </c>
      <c r="C218" s="7" t="n">
        <v>53</v>
      </c>
      <c r="D218" s="7" t="n">
        <v>4</v>
      </c>
      <c r="E218" s="77" t="n">
        <v>45165</v>
      </c>
      <c r="F218" s="86" t="n">
        <v>0.128171296296296</v>
      </c>
      <c r="G218" s="77" t="n">
        <v>45168</v>
      </c>
      <c r="H218" s="86" t="n">
        <v>0.696053240740741</v>
      </c>
      <c r="I218" s="7" t="s">
        <v>539</v>
      </c>
      <c r="J218" s="7" t="s">
        <v>40</v>
      </c>
    </row>
    <row r="219" customFormat="false" ht="15" hidden="false" customHeight="false" outlineLevel="0" collapsed="false">
      <c r="A219" s="2" t="n">
        <v>218</v>
      </c>
      <c r="B219" s="2" t="s">
        <v>285</v>
      </c>
      <c r="C219" s="2" t="n">
        <v>31</v>
      </c>
      <c r="D219" s="2" t="n">
        <v>4</v>
      </c>
      <c r="E219" s="82" t="n">
        <v>45090</v>
      </c>
      <c r="F219" s="87" t="n">
        <v>0.954988425925926</v>
      </c>
      <c r="G219" s="82" t="n">
        <v>45093</v>
      </c>
      <c r="H219" s="87" t="n">
        <v>0.129178240740741</v>
      </c>
      <c r="I219" s="2" t="s">
        <v>400</v>
      </c>
      <c r="J219" s="2" t="s">
        <v>165</v>
      </c>
    </row>
    <row r="220" customFormat="false" ht="15" hidden="false" customHeight="false" outlineLevel="0" collapsed="false">
      <c r="A220" s="7" t="n">
        <v>219</v>
      </c>
      <c r="B220" s="7" t="s">
        <v>192</v>
      </c>
      <c r="C220" s="7" t="n">
        <v>16</v>
      </c>
      <c r="D220" s="7" t="n">
        <v>5</v>
      </c>
      <c r="E220" s="77" t="n">
        <v>44990</v>
      </c>
      <c r="F220" s="86" t="n">
        <v>0.0250810185185185</v>
      </c>
      <c r="G220" s="77" t="n">
        <v>44996</v>
      </c>
      <c r="H220" s="86" t="n">
        <v>0.441724537037037</v>
      </c>
      <c r="I220" s="7" t="s">
        <v>247</v>
      </c>
      <c r="J220" s="7" t="s">
        <v>33</v>
      </c>
    </row>
    <row r="221" customFormat="false" ht="15" hidden="false" customHeight="false" outlineLevel="0" collapsed="false">
      <c r="A221" s="2" t="n">
        <v>220</v>
      </c>
      <c r="B221" s="2" t="s">
        <v>124</v>
      </c>
      <c r="C221" s="2" t="n">
        <v>26</v>
      </c>
      <c r="D221" s="2" t="n">
        <v>3</v>
      </c>
      <c r="E221" s="82" t="n">
        <v>44991</v>
      </c>
      <c r="F221" s="87" t="n">
        <v>0.518680555555556</v>
      </c>
      <c r="G221" s="82" t="n">
        <v>45000</v>
      </c>
      <c r="H221" s="87" t="n">
        <v>0.612407407407407</v>
      </c>
      <c r="I221" s="2" t="s">
        <v>430</v>
      </c>
      <c r="J221" s="2" t="s">
        <v>33</v>
      </c>
    </row>
    <row r="222" customFormat="false" ht="15" hidden="false" customHeight="false" outlineLevel="0" collapsed="false">
      <c r="A222" s="7" t="n">
        <v>221</v>
      </c>
      <c r="B222" s="7" t="s">
        <v>328</v>
      </c>
      <c r="C222" s="7" t="n">
        <v>28</v>
      </c>
      <c r="D222" s="7" t="n">
        <v>4</v>
      </c>
      <c r="E222" s="77" t="n">
        <v>45159</v>
      </c>
      <c r="F222" s="86" t="n">
        <v>0.0910185185185185</v>
      </c>
      <c r="G222" s="77" t="n">
        <v>45168</v>
      </c>
      <c r="H222" s="86" t="n">
        <v>0.583738425925926</v>
      </c>
      <c r="I222" s="7" t="s">
        <v>502</v>
      </c>
      <c r="J222" s="7" t="s">
        <v>40</v>
      </c>
    </row>
    <row r="223" customFormat="false" ht="15" hidden="false" customHeight="false" outlineLevel="0" collapsed="false">
      <c r="A223" s="2" t="n">
        <v>222</v>
      </c>
      <c r="B223" s="2" t="s">
        <v>390</v>
      </c>
      <c r="C223" s="2" t="n">
        <v>6</v>
      </c>
      <c r="D223" s="2" t="n">
        <v>5</v>
      </c>
      <c r="E223" s="82" t="n">
        <v>44983</v>
      </c>
      <c r="F223" s="87" t="n">
        <v>0.248206018518519</v>
      </c>
      <c r="G223" s="82" t="n">
        <v>44992</v>
      </c>
      <c r="H223" s="87" t="n">
        <v>0.764467592592593</v>
      </c>
      <c r="I223" s="2" t="s">
        <v>399</v>
      </c>
      <c r="J223" s="2" t="s">
        <v>33</v>
      </c>
    </row>
    <row r="224" customFormat="false" ht="15" hidden="false" customHeight="false" outlineLevel="0" collapsed="false">
      <c r="A224" s="7" t="n">
        <v>223</v>
      </c>
      <c r="B224" s="7" t="s">
        <v>257</v>
      </c>
      <c r="C224" s="7" t="n">
        <v>49</v>
      </c>
      <c r="D224" s="7" t="n">
        <v>2</v>
      </c>
      <c r="E224" s="77" t="n">
        <v>44962</v>
      </c>
      <c r="F224" s="86" t="n">
        <v>0.364178240740741</v>
      </c>
      <c r="G224" s="77" t="n">
        <v>44970</v>
      </c>
      <c r="H224" s="86" t="n">
        <v>0.429155092592593</v>
      </c>
      <c r="I224" s="7" t="s">
        <v>229</v>
      </c>
      <c r="J224" s="7" t="s">
        <v>179</v>
      </c>
    </row>
    <row r="225" customFormat="false" ht="15" hidden="false" customHeight="false" outlineLevel="0" collapsed="false">
      <c r="A225" s="2" t="n">
        <v>224</v>
      </c>
      <c r="B225" s="2" t="s">
        <v>194</v>
      </c>
      <c r="C225" s="2" t="n">
        <v>34</v>
      </c>
      <c r="D225" s="2" t="n">
        <v>1</v>
      </c>
      <c r="E225" s="82" t="n">
        <v>45162</v>
      </c>
      <c r="F225" s="87" t="n">
        <v>0.876365740740741</v>
      </c>
      <c r="G225" s="82" t="n">
        <v>45167</v>
      </c>
      <c r="H225" s="87" t="n">
        <v>0.087962962962963</v>
      </c>
      <c r="I225" s="2" t="s">
        <v>581</v>
      </c>
      <c r="J225" s="2" t="s">
        <v>40</v>
      </c>
    </row>
    <row r="226" customFormat="false" ht="15" hidden="false" customHeight="false" outlineLevel="0" collapsed="false">
      <c r="A226" s="7" t="n">
        <v>225</v>
      </c>
      <c r="B226" s="7" t="s">
        <v>375</v>
      </c>
      <c r="C226" s="7" t="n">
        <v>52</v>
      </c>
      <c r="D226" s="7" t="n">
        <v>5</v>
      </c>
      <c r="E226" s="77" t="n">
        <v>44962</v>
      </c>
      <c r="F226" s="86" t="n">
        <v>0.508634259259259</v>
      </c>
      <c r="G226" s="77" t="n">
        <v>44963</v>
      </c>
      <c r="H226" s="86" t="n">
        <v>0.750763888888889</v>
      </c>
      <c r="I226" s="7" t="s">
        <v>182</v>
      </c>
      <c r="J226" s="7" t="s">
        <v>179</v>
      </c>
    </row>
    <row r="227" customFormat="false" ht="15" hidden="false" customHeight="false" outlineLevel="0" collapsed="false">
      <c r="A227" s="2" t="n">
        <v>226</v>
      </c>
      <c r="B227" s="2" t="s">
        <v>294</v>
      </c>
      <c r="C227" s="2" t="n">
        <v>14</v>
      </c>
      <c r="D227" s="2" t="n">
        <v>2</v>
      </c>
      <c r="E227" s="82" t="n">
        <v>45177</v>
      </c>
      <c r="F227" s="87" t="n">
        <v>0.36724537037037</v>
      </c>
      <c r="G227" s="82" t="n">
        <v>45181</v>
      </c>
      <c r="H227" s="87" t="n">
        <v>0.472638888888889</v>
      </c>
      <c r="I227" s="2" t="s">
        <v>412</v>
      </c>
      <c r="J227" s="2" t="s">
        <v>31</v>
      </c>
    </row>
    <row r="228" customFormat="false" ht="15" hidden="false" customHeight="false" outlineLevel="0" collapsed="false">
      <c r="A228" s="7" t="n">
        <v>227</v>
      </c>
      <c r="B228" s="7" t="s">
        <v>133</v>
      </c>
      <c r="C228" s="7" t="n">
        <v>24</v>
      </c>
      <c r="D228" s="7" t="n">
        <v>4</v>
      </c>
      <c r="E228" s="77" t="n">
        <v>45285</v>
      </c>
      <c r="F228" s="86" t="n">
        <v>0.785208333333333</v>
      </c>
      <c r="G228" s="77" t="n">
        <v>45286</v>
      </c>
      <c r="H228" s="86" t="n">
        <v>0.590092592592593</v>
      </c>
      <c r="I228" s="7" t="s">
        <v>579</v>
      </c>
      <c r="J228" s="7" t="s">
        <v>31</v>
      </c>
    </row>
    <row r="229" customFormat="false" ht="15" hidden="false" customHeight="false" outlineLevel="0" collapsed="false">
      <c r="A229" s="2" t="n">
        <v>228</v>
      </c>
      <c r="B229" s="2" t="s">
        <v>209</v>
      </c>
      <c r="C229" s="2" t="n">
        <v>36</v>
      </c>
      <c r="D229" s="2" t="n">
        <v>1</v>
      </c>
      <c r="E229" s="82" t="n">
        <v>44995</v>
      </c>
      <c r="F229" s="87" t="n">
        <v>0.77837962962963</v>
      </c>
      <c r="G229" s="82" t="n">
        <v>44996</v>
      </c>
      <c r="H229" s="87" t="n">
        <v>0.4375</v>
      </c>
      <c r="I229" s="2" t="s">
        <v>277</v>
      </c>
      <c r="J229" s="2" t="s">
        <v>31</v>
      </c>
    </row>
    <row r="230" customFormat="false" ht="15" hidden="false" customHeight="false" outlineLevel="0" collapsed="false">
      <c r="A230" s="7" t="n">
        <v>229</v>
      </c>
      <c r="B230" s="7" t="s">
        <v>336</v>
      </c>
      <c r="C230" s="7" t="n">
        <v>49</v>
      </c>
      <c r="D230" s="7" t="n">
        <v>3</v>
      </c>
      <c r="E230" s="77" t="n">
        <v>44968</v>
      </c>
      <c r="F230" s="86" t="n">
        <v>0.871967592592593</v>
      </c>
      <c r="G230" s="77" t="n">
        <v>44977</v>
      </c>
      <c r="H230" s="86" t="n">
        <v>0.397800925925926</v>
      </c>
      <c r="I230" s="7" t="s">
        <v>443</v>
      </c>
      <c r="J230" s="7" t="s">
        <v>179</v>
      </c>
    </row>
    <row r="231" customFormat="false" ht="15" hidden="false" customHeight="false" outlineLevel="0" collapsed="false">
      <c r="A231" s="2" t="n">
        <v>230</v>
      </c>
      <c r="B231" s="2" t="s">
        <v>263</v>
      </c>
      <c r="C231" s="2" t="n">
        <v>64</v>
      </c>
      <c r="D231" s="2" t="n">
        <v>3</v>
      </c>
      <c r="E231" s="82" t="n">
        <v>45165</v>
      </c>
      <c r="F231" s="87" t="n">
        <v>0.352662037037037</v>
      </c>
      <c r="G231" s="82" t="n">
        <v>45170</v>
      </c>
      <c r="H231" s="87" t="n">
        <v>0.0665393518518519</v>
      </c>
      <c r="I231" s="2" t="s">
        <v>488</v>
      </c>
      <c r="J231" s="2" t="s">
        <v>40</v>
      </c>
    </row>
    <row r="232" customFormat="false" ht="15" hidden="false" customHeight="false" outlineLevel="0" collapsed="false">
      <c r="A232" s="7" t="n">
        <v>231</v>
      </c>
      <c r="B232" s="7" t="s">
        <v>375</v>
      </c>
      <c r="C232" s="7" t="n">
        <v>64</v>
      </c>
      <c r="D232" s="7" t="n">
        <v>3</v>
      </c>
      <c r="E232" s="77" t="n">
        <v>45162</v>
      </c>
      <c r="F232" s="86" t="n">
        <v>0.385625</v>
      </c>
      <c r="G232" s="77" t="n">
        <v>45166</v>
      </c>
      <c r="H232" s="86" t="n">
        <v>0.884039351851852</v>
      </c>
      <c r="I232" s="7" t="s">
        <v>530</v>
      </c>
      <c r="J232" s="7" t="s">
        <v>40</v>
      </c>
    </row>
    <row r="233" customFormat="false" ht="15" hidden="false" customHeight="false" outlineLevel="0" collapsed="false">
      <c r="A233" s="2" t="n">
        <v>232</v>
      </c>
      <c r="B233" s="2" t="s">
        <v>236</v>
      </c>
      <c r="C233" s="2" t="n">
        <v>28</v>
      </c>
      <c r="D233" s="2" t="n">
        <v>3</v>
      </c>
      <c r="E233" s="82" t="n">
        <v>45160</v>
      </c>
      <c r="F233" s="87" t="n">
        <v>0.504270833333333</v>
      </c>
      <c r="G233" s="82" t="n">
        <v>45161</v>
      </c>
      <c r="H233" s="87" t="n">
        <v>0.375023148148148</v>
      </c>
      <c r="I233" s="2" t="s">
        <v>500</v>
      </c>
      <c r="J233" s="2" t="s">
        <v>40</v>
      </c>
    </row>
    <row r="234" customFormat="false" ht="15" hidden="false" customHeight="false" outlineLevel="0" collapsed="false">
      <c r="A234" s="7" t="n">
        <v>233</v>
      </c>
      <c r="B234" s="7" t="s">
        <v>388</v>
      </c>
      <c r="C234" s="7" t="n">
        <v>64</v>
      </c>
      <c r="D234" s="7" t="n">
        <v>4</v>
      </c>
      <c r="E234" s="77" t="n">
        <v>45164</v>
      </c>
      <c r="F234" s="86" t="n">
        <v>0.927303240740741</v>
      </c>
      <c r="G234" s="77" t="n">
        <v>45168</v>
      </c>
      <c r="H234" s="86" t="n">
        <v>0.171979166666667</v>
      </c>
      <c r="I234" s="7" t="s">
        <v>511</v>
      </c>
      <c r="J234" s="7" t="s">
        <v>40</v>
      </c>
    </row>
    <row r="235" customFormat="false" ht="15" hidden="false" customHeight="false" outlineLevel="0" collapsed="false">
      <c r="A235" s="2" t="n">
        <v>234</v>
      </c>
      <c r="B235" s="2" t="s">
        <v>385</v>
      </c>
      <c r="C235" s="2" t="n">
        <v>42</v>
      </c>
      <c r="D235" s="2" t="n">
        <v>1</v>
      </c>
      <c r="E235" s="82" t="n">
        <v>45009</v>
      </c>
      <c r="F235" s="87" t="n">
        <v>0.887638888888889</v>
      </c>
      <c r="G235" s="82" t="n">
        <v>45017</v>
      </c>
      <c r="H235" s="87" t="n">
        <v>0.0256134259259259</v>
      </c>
      <c r="I235" s="2" t="s">
        <v>455</v>
      </c>
      <c r="J235" s="2" t="s">
        <v>165</v>
      </c>
    </row>
    <row r="236" customFormat="false" ht="15" hidden="false" customHeight="false" outlineLevel="0" collapsed="false">
      <c r="A236" s="7" t="n">
        <v>235</v>
      </c>
      <c r="B236" s="7" t="s">
        <v>313</v>
      </c>
      <c r="C236" s="7" t="n">
        <v>56</v>
      </c>
      <c r="D236" s="7" t="n">
        <v>2</v>
      </c>
      <c r="E236" s="77" t="n">
        <v>44983</v>
      </c>
      <c r="F236" s="86" t="n">
        <v>0.601921296296296</v>
      </c>
      <c r="G236" s="77" t="n">
        <v>44988</v>
      </c>
      <c r="H236" s="86" t="n">
        <v>0.976655092592593</v>
      </c>
      <c r="I236" s="7" t="s">
        <v>241</v>
      </c>
      <c r="J236" s="7" t="s">
        <v>168</v>
      </c>
    </row>
    <row r="237" customFormat="false" ht="15" hidden="false" customHeight="false" outlineLevel="0" collapsed="false">
      <c r="A237" s="2" t="n">
        <v>236</v>
      </c>
      <c r="B237" s="2" t="s">
        <v>236</v>
      </c>
      <c r="C237" s="2" t="n">
        <v>23</v>
      </c>
      <c r="D237" s="2" t="n">
        <v>5</v>
      </c>
      <c r="E237" s="82" t="n">
        <v>45172</v>
      </c>
      <c r="F237" s="87" t="n">
        <v>0.273518518518519</v>
      </c>
      <c r="G237" s="82" t="n">
        <v>45180</v>
      </c>
      <c r="H237" s="87" t="n">
        <v>0.0904861111111111</v>
      </c>
      <c r="I237" s="2" t="s">
        <v>522</v>
      </c>
      <c r="J237" s="2" t="s">
        <v>168</v>
      </c>
    </row>
    <row r="238" customFormat="false" ht="15" hidden="false" customHeight="false" outlineLevel="0" collapsed="false">
      <c r="A238" s="7" t="n">
        <v>237</v>
      </c>
      <c r="B238" s="7" t="s">
        <v>185</v>
      </c>
      <c r="C238" s="7" t="n">
        <v>55</v>
      </c>
      <c r="D238" s="7" t="n">
        <v>1</v>
      </c>
      <c r="E238" s="77" t="n">
        <v>45164</v>
      </c>
      <c r="F238" s="86" t="n">
        <v>0.391585648148148</v>
      </c>
      <c r="G238" s="77" t="n">
        <v>45168</v>
      </c>
      <c r="H238" s="86" t="n">
        <v>0.346759259259259</v>
      </c>
      <c r="I238" s="7" t="s">
        <v>557</v>
      </c>
      <c r="J238" s="7" t="s">
        <v>40</v>
      </c>
    </row>
    <row r="239" customFormat="false" ht="15" hidden="false" customHeight="false" outlineLevel="0" collapsed="false">
      <c r="A239" s="2" t="n">
        <v>238</v>
      </c>
      <c r="B239" s="2" t="s">
        <v>347</v>
      </c>
      <c r="C239" s="2" t="n">
        <v>26</v>
      </c>
      <c r="D239" s="2" t="n">
        <v>4</v>
      </c>
      <c r="E239" s="82" t="n">
        <v>44990</v>
      </c>
      <c r="F239" s="87" t="n">
        <v>0.331053240740741</v>
      </c>
      <c r="G239" s="82" t="n">
        <v>44996</v>
      </c>
      <c r="H239" s="87" t="n">
        <v>0.846030092592593</v>
      </c>
      <c r="I239" s="2" t="s">
        <v>437</v>
      </c>
      <c r="J239" s="2" t="s">
        <v>33</v>
      </c>
    </row>
    <row r="240" customFormat="false" ht="15" hidden="false" customHeight="false" outlineLevel="0" collapsed="false">
      <c r="A240" s="7" t="n">
        <v>239</v>
      </c>
      <c r="B240" s="7" t="s">
        <v>360</v>
      </c>
      <c r="C240" s="7" t="n">
        <v>27</v>
      </c>
      <c r="D240" s="7" t="n">
        <v>3</v>
      </c>
      <c r="E240" s="77" t="n">
        <v>45167</v>
      </c>
      <c r="F240" s="86" t="n">
        <v>0.356770833333333</v>
      </c>
      <c r="G240" s="77" t="n">
        <v>45175</v>
      </c>
      <c r="H240" s="86" t="n">
        <v>0.557731481481481</v>
      </c>
      <c r="I240" s="7" t="s">
        <v>400</v>
      </c>
      <c r="J240" s="7" t="s">
        <v>40</v>
      </c>
    </row>
    <row r="241" customFormat="false" ht="15" hidden="false" customHeight="false" outlineLevel="0" collapsed="false">
      <c r="A241" s="2" t="n">
        <v>240</v>
      </c>
      <c r="B241" s="2" t="s">
        <v>322</v>
      </c>
      <c r="C241" s="2" t="n">
        <v>5</v>
      </c>
      <c r="D241" s="2" t="n">
        <v>5</v>
      </c>
      <c r="E241" s="82" t="n">
        <v>45010</v>
      </c>
      <c r="F241" s="87" t="n">
        <v>0.252523148148148</v>
      </c>
      <c r="G241" s="82" t="n">
        <v>45015</v>
      </c>
      <c r="H241" s="87" t="n">
        <v>0.655185185185185</v>
      </c>
      <c r="I241" s="2" t="s">
        <v>321</v>
      </c>
      <c r="J241" s="2" t="s">
        <v>165</v>
      </c>
    </row>
    <row r="242" customFormat="false" ht="15" hidden="false" customHeight="false" outlineLevel="0" collapsed="false">
      <c r="A242" s="7" t="n">
        <v>241</v>
      </c>
      <c r="B242" s="7" t="s">
        <v>303</v>
      </c>
      <c r="C242" s="7" t="n">
        <v>20</v>
      </c>
      <c r="D242" s="7" t="n">
        <v>2</v>
      </c>
      <c r="E242" s="77" t="n">
        <v>45174</v>
      </c>
      <c r="F242" s="86" t="n">
        <v>0.411296296296296</v>
      </c>
      <c r="G242" s="77" t="n">
        <v>45176</v>
      </c>
      <c r="H242" s="86" t="n">
        <v>0.373854166666667</v>
      </c>
      <c r="I242" s="7" t="s">
        <v>424</v>
      </c>
      <c r="J242" s="7" t="s">
        <v>168</v>
      </c>
    </row>
    <row r="243" customFormat="false" ht="15" hidden="false" customHeight="false" outlineLevel="0" collapsed="false">
      <c r="A243" s="2" t="n">
        <v>242</v>
      </c>
      <c r="B243" s="2" t="s">
        <v>157</v>
      </c>
      <c r="C243" s="2" t="n">
        <v>21</v>
      </c>
      <c r="D243" s="2" t="n">
        <v>1</v>
      </c>
      <c r="E243" s="82" t="n">
        <v>45161</v>
      </c>
      <c r="F243" s="87" t="n">
        <v>0.433865740740741</v>
      </c>
      <c r="G243" s="82" t="n">
        <v>45169</v>
      </c>
      <c r="H243" s="87" t="n">
        <v>0.668425925925926</v>
      </c>
      <c r="I243" s="2" t="s">
        <v>173</v>
      </c>
      <c r="J243" s="2" t="s">
        <v>40</v>
      </c>
    </row>
    <row r="244" customFormat="false" ht="15" hidden="false" customHeight="false" outlineLevel="0" collapsed="false">
      <c r="A244" s="7" t="n">
        <v>243</v>
      </c>
      <c r="B244" s="7" t="s">
        <v>233</v>
      </c>
      <c r="C244" s="7" t="n">
        <v>3</v>
      </c>
      <c r="D244" s="7" t="n">
        <v>1</v>
      </c>
      <c r="E244" s="77" t="n">
        <v>44962</v>
      </c>
      <c r="F244" s="86" t="n">
        <v>0.868483796296296</v>
      </c>
      <c r="G244" s="77" t="n">
        <v>44967</v>
      </c>
      <c r="H244" s="86" t="n">
        <v>0.521458333333333</v>
      </c>
      <c r="I244" s="7" t="s">
        <v>571</v>
      </c>
      <c r="J244" s="7" t="s">
        <v>179</v>
      </c>
    </row>
    <row r="245" customFormat="false" ht="15" hidden="false" customHeight="false" outlineLevel="0" collapsed="false">
      <c r="A245" s="2" t="n">
        <v>244</v>
      </c>
      <c r="B245" s="2" t="s">
        <v>227</v>
      </c>
      <c r="C245" s="2" t="n">
        <v>65</v>
      </c>
      <c r="D245" s="2" t="n">
        <v>3</v>
      </c>
      <c r="E245" s="82" t="n">
        <v>45005</v>
      </c>
      <c r="F245" s="87" t="n">
        <v>0.629178240740741</v>
      </c>
      <c r="G245" s="82" t="n">
        <v>45015</v>
      </c>
      <c r="H245" s="87" t="n">
        <v>0.296296296296296</v>
      </c>
      <c r="I245" s="2" t="s">
        <v>398</v>
      </c>
      <c r="J245" s="2" t="s">
        <v>165</v>
      </c>
    </row>
    <row r="246" customFormat="false" ht="15" hidden="false" customHeight="false" outlineLevel="0" collapsed="false">
      <c r="A246" s="7" t="n">
        <v>245</v>
      </c>
      <c r="B246" s="7" t="s">
        <v>176</v>
      </c>
      <c r="C246" s="7" t="n">
        <v>50</v>
      </c>
      <c r="D246" s="7" t="n">
        <v>3</v>
      </c>
      <c r="E246" s="77" t="n">
        <v>44990</v>
      </c>
      <c r="F246" s="86" t="n">
        <v>0.267662037037037</v>
      </c>
      <c r="G246" s="77" t="n">
        <v>44996</v>
      </c>
      <c r="H246" s="86" t="n">
        <v>0.396180555555556</v>
      </c>
      <c r="I246" s="7" t="s">
        <v>512</v>
      </c>
      <c r="J246" s="7" t="s">
        <v>33</v>
      </c>
    </row>
    <row r="247" customFormat="false" ht="15" hidden="false" customHeight="false" outlineLevel="0" collapsed="false">
      <c r="A247" s="2" t="n">
        <v>246</v>
      </c>
      <c r="B247" s="2" t="s">
        <v>170</v>
      </c>
      <c r="C247" s="2" t="n">
        <v>69</v>
      </c>
      <c r="D247" s="2" t="n">
        <v>5</v>
      </c>
      <c r="E247" s="82" t="n">
        <v>44985</v>
      </c>
      <c r="F247" s="87" t="n">
        <v>0.975381944444445</v>
      </c>
      <c r="G247" s="82" t="n">
        <v>44993</v>
      </c>
      <c r="H247" s="87" t="n">
        <v>0.0269560185185185</v>
      </c>
      <c r="I247" s="2" t="s">
        <v>129</v>
      </c>
      <c r="J247" s="2" t="s">
        <v>33</v>
      </c>
    </row>
    <row r="248" customFormat="false" ht="15" hidden="false" customHeight="false" outlineLevel="0" collapsed="false">
      <c r="A248" s="7" t="n">
        <v>247</v>
      </c>
      <c r="B248" s="7" t="s">
        <v>260</v>
      </c>
      <c r="C248" s="7" t="n">
        <v>23</v>
      </c>
      <c r="D248" s="7" t="n">
        <v>4</v>
      </c>
      <c r="E248" s="77" t="n">
        <v>45210</v>
      </c>
      <c r="F248" s="86" t="n">
        <v>0.249166666666667</v>
      </c>
      <c r="G248" s="77" t="n">
        <v>45215</v>
      </c>
      <c r="H248" s="86" t="n">
        <v>0.124143518518519</v>
      </c>
      <c r="I248" s="7" t="s">
        <v>395</v>
      </c>
      <c r="J248" s="7" t="s">
        <v>168</v>
      </c>
    </row>
    <row r="249" customFormat="false" ht="15" hidden="false" customHeight="false" outlineLevel="0" collapsed="false">
      <c r="A249" s="2" t="n">
        <v>248</v>
      </c>
      <c r="B249" s="2" t="s">
        <v>236</v>
      </c>
      <c r="C249" s="2" t="n">
        <v>19</v>
      </c>
      <c r="D249" s="2" t="n">
        <v>5</v>
      </c>
      <c r="E249" s="82" t="n">
        <v>44965</v>
      </c>
      <c r="F249" s="87" t="n">
        <v>0.363668981481482</v>
      </c>
      <c r="G249" s="82" t="n">
        <v>44967</v>
      </c>
      <c r="H249" s="87" t="n">
        <v>0.177094907407407</v>
      </c>
      <c r="I249" s="2" t="s">
        <v>156</v>
      </c>
      <c r="J249" s="2" t="s">
        <v>179</v>
      </c>
    </row>
    <row r="250" customFormat="false" ht="15" hidden="false" customHeight="false" outlineLevel="0" collapsed="false">
      <c r="A250" s="7" t="n">
        <v>249</v>
      </c>
      <c r="B250" s="7" t="s">
        <v>130</v>
      </c>
      <c r="C250" s="7" t="n">
        <v>14</v>
      </c>
      <c r="D250" s="7" t="n">
        <v>2</v>
      </c>
      <c r="E250" s="77" t="n">
        <v>45179</v>
      </c>
      <c r="F250" s="86" t="n">
        <v>0.93212962962963</v>
      </c>
      <c r="G250" s="77" t="n">
        <v>45188</v>
      </c>
      <c r="H250" s="86" t="n">
        <v>0.970555555555556</v>
      </c>
      <c r="I250" s="7" t="s">
        <v>203</v>
      </c>
      <c r="J250" s="7" t="s">
        <v>31</v>
      </c>
    </row>
    <row r="251" customFormat="false" ht="15" hidden="false" customHeight="false" outlineLevel="0" collapsed="false">
      <c r="A251" s="2" t="n">
        <v>250</v>
      </c>
      <c r="B251" s="2" t="s">
        <v>355</v>
      </c>
      <c r="C251" s="2" t="n">
        <v>37</v>
      </c>
      <c r="D251" s="2" t="n">
        <v>5</v>
      </c>
      <c r="E251" s="82" t="n">
        <v>45238</v>
      </c>
      <c r="F251" s="87" t="n">
        <v>0.630173611111111</v>
      </c>
      <c r="G251" s="82" t="n">
        <v>45239</v>
      </c>
      <c r="H251" s="87" t="n">
        <v>0.0639583333333333</v>
      </c>
      <c r="I251" s="2" t="s">
        <v>464</v>
      </c>
      <c r="J251" s="2" t="s">
        <v>32</v>
      </c>
    </row>
    <row r="252" customFormat="false" ht="15" hidden="false" customHeight="false" outlineLevel="0" collapsed="false">
      <c r="A252" s="7" t="n">
        <v>251</v>
      </c>
      <c r="B252" s="7" t="s">
        <v>257</v>
      </c>
      <c r="C252" s="7" t="n">
        <v>7</v>
      </c>
      <c r="D252" s="7" t="n">
        <v>4</v>
      </c>
      <c r="E252" s="77" t="n">
        <v>44985</v>
      </c>
      <c r="F252" s="86" t="n">
        <v>0.0220833333333333</v>
      </c>
      <c r="G252" s="77" t="n">
        <v>44987</v>
      </c>
      <c r="H252" s="86" t="n">
        <v>0.0137037037037037</v>
      </c>
      <c r="I252" s="7" t="s">
        <v>457</v>
      </c>
      <c r="J252" s="7" t="s">
        <v>33</v>
      </c>
    </row>
    <row r="253" customFormat="false" ht="15" hidden="false" customHeight="false" outlineLevel="0" collapsed="false">
      <c r="A253" s="2" t="n">
        <v>252</v>
      </c>
      <c r="B253" s="2" t="s">
        <v>224</v>
      </c>
      <c r="C253" s="2" t="n">
        <v>69</v>
      </c>
      <c r="D253" s="2" t="n">
        <v>2</v>
      </c>
      <c r="E253" s="82" t="n">
        <v>44983</v>
      </c>
      <c r="F253" s="87" t="n">
        <v>0.23712962962963</v>
      </c>
      <c r="G253" s="82" t="n">
        <v>44985</v>
      </c>
      <c r="H253" s="87" t="n">
        <v>0.341157407407407</v>
      </c>
      <c r="I253" s="2" t="s">
        <v>504</v>
      </c>
      <c r="J253" s="2" t="s">
        <v>33</v>
      </c>
    </row>
    <row r="254" customFormat="false" ht="15" hidden="false" customHeight="false" outlineLevel="0" collapsed="false">
      <c r="A254" s="7" t="n">
        <v>253</v>
      </c>
      <c r="B254" s="7" t="s">
        <v>151</v>
      </c>
      <c r="C254" s="7" t="n">
        <v>68</v>
      </c>
      <c r="D254" s="7" t="n">
        <v>2</v>
      </c>
      <c r="E254" s="77" t="n">
        <v>44969</v>
      </c>
      <c r="F254" s="86" t="n">
        <v>0.600532407407407</v>
      </c>
      <c r="G254" s="77" t="n">
        <v>44971</v>
      </c>
      <c r="H254" s="86" t="n">
        <v>0.235729166666667</v>
      </c>
      <c r="I254" s="7" t="s">
        <v>197</v>
      </c>
      <c r="J254" s="7" t="s">
        <v>179</v>
      </c>
    </row>
    <row r="255" customFormat="false" ht="15" hidden="false" customHeight="false" outlineLevel="0" collapsed="false">
      <c r="A255" s="2" t="n">
        <v>254</v>
      </c>
      <c r="B255" s="2" t="s">
        <v>375</v>
      </c>
      <c r="C255" s="2" t="n">
        <v>1</v>
      </c>
      <c r="D255" s="2" t="n">
        <v>5</v>
      </c>
      <c r="E255" s="82" t="n">
        <v>45114</v>
      </c>
      <c r="F255" s="87" t="n">
        <v>0.00675925925925926</v>
      </c>
      <c r="G255" s="82" t="n">
        <v>45122</v>
      </c>
      <c r="H255" s="87" t="n">
        <v>0.227650462962963</v>
      </c>
      <c r="I255" s="2" t="s">
        <v>241</v>
      </c>
      <c r="J255" s="2" t="s">
        <v>165</v>
      </c>
    </row>
    <row r="256" customFormat="false" ht="15" hidden="false" customHeight="false" outlineLevel="0" collapsed="false">
      <c r="A256" s="7" t="n">
        <v>255</v>
      </c>
      <c r="B256" s="7" t="s">
        <v>372</v>
      </c>
      <c r="C256" s="7" t="n">
        <v>45</v>
      </c>
      <c r="D256" s="7" t="n">
        <v>2</v>
      </c>
      <c r="E256" s="77" t="n">
        <v>45287</v>
      </c>
      <c r="F256" s="86" t="n">
        <v>0.154571759259259</v>
      </c>
      <c r="G256" s="77" t="n">
        <v>45297</v>
      </c>
      <c r="H256" s="86" t="n">
        <v>0.391134259259259</v>
      </c>
      <c r="I256" s="7" t="s">
        <v>581</v>
      </c>
      <c r="J256" s="7" t="s">
        <v>31</v>
      </c>
    </row>
    <row r="257" customFormat="false" ht="15" hidden="false" customHeight="false" outlineLevel="0" collapsed="false">
      <c r="A257" s="2" t="n">
        <v>256</v>
      </c>
      <c r="B257" s="2" t="s">
        <v>297</v>
      </c>
      <c r="C257" s="2" t="n">
        <v>4</v>
      </c>
      <c r="D257" s="2" t="n">
        <v>5</v>
      </c>
      <c r="E257" s="82" t="n">
        <v>45236</v>
      </c>
      <c r="F257" s="87" t="n">
        <v>0.801261574074074</v>
      </c>
      <c r="G257" s="82" t="n">
        <v>45244</v>
      </c>
      <c r="H257" s="87" t="n">
        <v>0.754108796296296</v>
      </c>
      <c r="I257" s="2" t="s">
        <v>581</v>
      </c>
      <c r="J257" s="2" t="s">
        <v>32</v>
      </c>
    </row>
    <row r="258" customFormat="false" ht="15" hidden="false" customHeight="false" outlineLevel="0" collapsed="false">
      <c r="A258" s="7" t="n">
        <v>257</v>
      </c>
      <c r="B258" s="7" t="s">
        <v>331</v>
      </c>
      <c r="C258" s="7" t="n">
        <v>21</v>
      </c>
      <c r="D258" s="7" t="n">
        <v>3</v>
      </c>
      <c r="E258" s="77" t="n">
        <v>45160</v>
      </c>
      <c r="F258" s="86" t="n">
        <v>0.654849537037037</v>
      </c>
      <c r="G258" s="77" t="n">
        <v>45162</v>
      </c>
      <c r="H258" s="86" t="n">
        <v>0.944201388888889</v>
      </c>
      <c r="I258" s="7" t="s">
        <v>310</v>
      </c>
      <c r="J258" s="7" t="s">
        <v>40</v>
      </c>
    </row>
    <row r="259" customFormat="false" ht="15" hidden="false" customHeight="false" outlineLevel="0" collapsed="false">
      <c r="A259" s="2" t="n">
        <v>258</v>
      </c>
      <c r="B259" s="2" t="s">
        <v>236</v>
      </c>
      <c r="C259" s="2" t="n">
        <v>46</v>
      </c>
      <c r="D259" s="2" t="n">
        <v>5</v>
      </c>
      <c r="E259" s="82" t="n">
        <v>45032</v>
      </c>
      <c r="F259" s="87" t="n">
        <v>0.2365625</v>
      </c>
      <c r="G259" s="82" t="n">
        <v>45036</v>
      </c>
      <c r="H259" s="87" t="n">
        <v>0.837175925925926</v>
      </c>
      <c r="I259" s="2" t="s">
        <v>607</v>
      </c>
      <c r="J259" s="2" t="s">
        <v>168</v>
      </c>
    </row>
    <row r="260" customFormat="false" ht="15" hidden="false" customHeight="false" outlineLevel="0" collapsed="false">
      <c r="A260" s="7" t="n">
        <v>259</v>
      </c>
      <c r="B260" s="7" t="s">
        <v>124</v>
      </c>
      <c r="C260" s="7" t="n">
        <v>62</v>
      </c>
      <c r="D260" s="7" t="n">
        <v>1</v>
      </c>
      <c r="E260" s="77" t="n">
        <v>44990</v>
      </c>
      <c r="F260" s="86" t="n">
        <v>0.640208333333333</v>
      </c>
      <c r="G260" s="77" t="n">
        <v>44995</v>
      </c>
      <c r="H260" s="86" t="n">
        <v>0.00278935185185185</v>
      </c>
      <c r="I260" s="7" t="s">
        <v>570</v>
      </c>
      <c r="J260" s="7" t="s">
        <v>33</v>
      </c>
    </row>
    <row r="261" customFormat="false" ht="15" hidden="false" customHeight="false" outlineLevel="0" collapsed="false">
      <c r="A261" s="2" t="n">
        <v>260</v>
      </c>
      <c r="B261" s="2" t="s">
        <v>392</v>
      </c>
      <c r="C261" s="2" t="n">
        <v>69</v>
      </c>
      <c r="D261" s="2" t="n">
        <v>5</v>
      </c>
      <c r="E261" s="82" t="n">
        <v>44991</v>
      </c>
      <c r="F261" s="87" t="n">
        <v>0.545960648148148</v>
      </c>
      <c r="G261" s="82" t="n">
        <v>45001</v>
      </c>
      <c r="H261" s="87" t="n">
        <v>0.932291666666667</v>
      </c>
      <c r="I261" s="2" t="s">
        <v>558</v>
      </c>
      <c r="J261" s="2" t="s">
        <v>33</v>
      </c>
    </row>
    <row r="262" customFormat="false" ht="15" hidden="false" customHeight="false" outlineLevel="0" collapsed="false">
      <c r="A262" s="7" t="n">
        <v>261</v>
      </c>
      <c r="B262" s="7" t="s">
        <v>227</v>
      </c>
      <c r="C262" s="7" t="n">
        <v>37</v>
      </c>
      <c r="D262" s="7" t="n">
        <v>3</v>
      </c>
      <c r="E262" s="77" t="n">
        <v>45236</v>
      </c>
      <c r="F262" s="86" t="n">
        <v>0.58599537037037</v>
      </c>
      <c r="G262" s="77" t="n">
        <v>45242</v>
      </c>
      <c r="H262" s="86" t="n">
        <v>0.84568287037037</v>
      </c>
      <c r="I262" s="7" t="s">
        <v>481</v>
      </c>
      <c r="J262" s="7" t="s">
        <v>32</v>
      </c>
    </row>
    <row r="263" customFormat="false" ht="15" hidden="false" customHeight="false" outlineLevel="0" collapsed="false">
      <c r="A263" s="2" t="n">
        <v>262</v>
      </c>
      <c r="B263" s="2" t="s">
        <v>218</v>
      </c>
      <c r="C263" s="2" t="n">
        <v>49</v>
      </c>
      <c r="D263" s="2" t="n">
        <v>3</v>
      </c>
      <c r="E263" s="82" t="n">
        <v>44964</v>
      </c>
      <c r="F263" s="87" t="n">
        <v>0.336990740740741</v>
      </c>
      <c r="G263" s="82" t="n">
        <v>44968</v>
      </c>
      <c r="H263" s="87" t="n">
        <v>0.0464930555555556</v>
      </c>
      <c r="I263" s="2" t="s">
        <v>592</v>
      </c>
      <c r="J263" s="2" t="s">
        <v>179</v>
      </c>
    </row>
    <row r="264" customFormat="false" ht="15" hidden="false" customHeight="false" outlineLevel="0" collapsed="false">
      <c r="A264" s="7" t="n">
        <v>263</v>
      </c>
      <c r="B264" s="7" t="s">
        <v>341</v>
      </c>
      <c r="C264" s="7" t="n">
        <v>57</v>
      </c>
      <c r="D264" s="7" t="n">
        <v>4</v>
      </c>
      <c r="E264" s="77" t="n">
        <v>44997</v>
      </c>
      <c r="F264" s="86" t="n">
        <v>0.399421296296296</v>
      </c>
      <c r="G264" s="77" t="n">
        <v>44998</v>
      </c>
      <c r="H264" s="86" t="n">
        <v>0.640289351851852</v>
      </c>
      <c r="I264" s="7" t="s">
        <v>312</v>
      </c>
      <c r="J264" s="7" t="s">
        <v>31</v>
      </c>
    </row>
    <row r="265" customFormat="false" ht="15" hidden="false" customHeight="false" outlineLevel="0" collapsed="false">
      <c r="A265" s="2" t="n">
        <v>264</v>
      </c>
      <c r="B265" s="2" t="s">
        <v>151</v>
      </c>
      <c r="C265" s="2" t="n">
        <v>52</v>
      </c>
      <c r="D265" s="2" t="n">
        <v>3</v>
      </c>
      <c r="E265" s="82" t="n">
        <v>44966</v>
      </c>
      <c r="F265" s="87" t="n">
        <v>0.232858796296296</v>
      </c>
      <c r="G265" s="82" t="n">
        <v>44975</v>
      </c>
      <c r="H265" s="87" t="n">
        <v>0.655393518518519</v>
      </c>
      <c r="I265" s="2" t="s">
        <v>184</v>
      </c>
      <c r="J265" s="2" t="s">
        <v>179</v>
      </c>
    </row>
    <row r="266" customFormat="false" ht="15" hidden="false" customHeight="false" outlineLevel="0" collapsed="false">
      <c r="A266" s="7" t="n">
        <v>265</v>
      </c>
      <c r="B266" s="7" t="s">
        <v>283</v>
      </c>
      <c r="C266" s="7" t="n">
        <v>58</v>
      </c>
      <c r="D266" s="7" t="n">
        <v>1</v>
      </c>
      <c r="E266" s="77" t="n">
        <v>44967</v>
      </c>
      <c r="F266" s="86" t="n">
        <v>0.887013888888889</v>
      </c>
      <c r="G266" s="77" t="n">
        <v>44975</v>
      </c>
      <c r="H266" s="86" t="n">
        <v>0.269826388888889</v>
      </c>
      <c r="I266" s="7" t="s">
        <v>395</v>
      </c>
      <c r="J266" s="7" t="s">
        <v>179</v>
      </c>
    </row>
    <row r="267" customFormat="false" ht="15" hidden="false" customHeight="false" outlineLevel="0" collapsed="false">
      <c r="A267" s="2" t="n">
        <v>266</v>
      </c>
      <c r="B267" s="2" t="s">
        <v>218</v>
      </c>
      <c r="C267" s="2" t="n">
        <v>36</v>
      </c>
      <c r="D267" s="2" t="n">
        <v>1</v>
      </c>
      <c r="E267" s="82" t="n">
        <v>45058</v>
      </c>
      <c r="F267" s="87" t="n">
        <v>0.574259259259259</v>
      </c>
      <c r="G267" s="82" t="n">
        <v>45059</v>
      </c>
      <c r="H267" s="87" t="n">
        <v>0.805659722222222</v>
      </c>
      <c r="I267" s="2" t="s">
        <v>573</v>
      </c>
      <c r="J267" s="2" t="s">
        <v>31</v>
      </c>
    </row>
    <row r="268" customFormat="false" ht="15" hidden="false" customHeight="false" outlineLevel="0" collapsed="false">
      <c r="A268" s="7" t="n">
        <v>267</v>
      </c>
      <c r="B268" s="7" t="s">
        <v>269</v>
      </c>
      <c r="C268" s="7" t="n">
        <v>35</v>
      </c>
      <c r="D268" s="7" t="n">
        <v>3</v>
      </c>
      <c r="E268" s="77" t="n">
        <v>44989</v>
      </c>
      <c r="F268" s="86" t="n">
        <v>0.568715277777778</v>
      </c>
      <c r="G268" s="77" t="n">
        <v>44997</v>
      </c>
      <c r="H268" s="86" t="n">
        <v>0.161111111111111</v>
      </c>
      <c r="I268" s="7" t="s">
        <v>302</v>
      </c>
      <c r="J268" s="7" t="s">
        <v>33</v>
      </c>
    </row>
    <row r="269" customFormat="false" ht="15" hidden="false" customHeight="false" outlineLevel="0" collapsed="false">
      <c r="A269" s="2" t="n">
        <v>268</v>
      </c>
      <c r="B269" s="2" t="s">
        <v>263</v>
      </c>
      <c r="C269" s="2" t="n">
        <v>38</v>
      </c>
      <c r="D269" s="2" t="n">
        <v>1</v>
      </c>
      <c r="E269" s="82" t="n">
        <v>45152</v>
      </c>
      <c r="F269" s="87" t="n">
        <v>0.323599537037037</v>
      </c>
      <c r="G269" s="82" t="n">
        <v>45161</v>
      </c>
      <c r="H269" s="87" t="n">
        <v>0.703819444444444</v>
      </c>
      <c r="I269" s="2" t="s">
        <v>452</v>
      </c>
      <c r="J269" s="2" t="s">
        <v>31</v>
      </c>
    </row>
    <row r="270" customFormat="false" ht="15" hidden="false" customHeight="false" outlineLevel="0" collapsed="false">
      <c r="A270" s="7" t="n">
        <v>269</v>
      </c>
      <c r="B270" s="7" t="s">
        <v>185</v>
      </c>
      <c r="C270" s="7" t="n">
        <v>36</v>
      </c>
      <c r="D270" s="7" t="n">
        <v>1</v>
      </c>
      <c r="E270" s="77" t="n">
        <v>45224</v>
      </c>
      <c r="F270" s="86" t="n">
        <v>0.0501388888888889</v>
      </c>
      <c r="G270" s="77" t="n">
        <v>45225</v>
      </c>
      <c r="H270" s="86" t="n">
        <v>0.748761574074074</v>
      </c>
      <c r="I270" s="7" t="s">
        <v>534</v>
      </c>
      <c r="J270" s="7" t="s">
        <v>31</v>
      </c>
    </row>
    <row r="271" customFormat="false" ht="15" hidden="false" customHeight="false" outlineLevel="0" collapsed="false">
      <c r="A271" s="2" t="n">
        <v>270</v>
      </c>
      <c r="B271" s="2" t="s">
        <v>350</v>
      </c>
      <c r="C271" s="2" t="n">
        <v>21</v>
      </c>
      <c r="D271" s="2" t="n">
        <v>5</v>
      </c>
      <c r="E271" s="82" t="n">
        <v>45160</v>
      </c>
      <c r="F271" s="87" t="n">
        <v>0.848252314814815</v>
      </c>
      <c r="G271" s="82" t="n">
        <v>45170</v>
      </c>
      <c r="H271" s="87" t="n">
        <v>0.66943287037037</v>
      </c>
      <c r="I271" s="2" t="s">
        <v>189</v>
      </c>
      <c r="J271" s="2" t="s">
        <v>40</v>
      </c>
    </row>
    <row r="272" customFormat="false" ht="15" hidden="false" customHeight="false" outlineLevel="0" collapsed="false">
      <c r="A272" s="7" t="n">
        <v>271</v>
      </c>
      <c r="B272" s="7" t="s">
        <v>221</v>
      </c>
      <c r="C272" s="7" t="n">
        <v>36</v>
      </c>
      <c r="D272" s="7" t="n">
        <v>5</v>
      </c>
      <c r="E272" s="77" t="n">
        <v>45100</v>
      </c>
      <c r="F272" s="86" t="n">
        <v>0.769236111111111</v>
      </c>
      <c r="G272" s="77" t="n">
        <v>45107</v>
      </c>
      <c r="H272" s="86" t="n">
        <v>0.763946759259259</v>
      </c>
      <c r="I272" s="7" t="s">
        <v>525</v>
      </c>
      <c r="J272" s="7" t="s">
        <v>31</v>
      </c>
    </row>
    <row r="273" customFormat="false" ht="15" hidden="false" customHeight="false" outlineLevel="0" collapsed="false">
      <c r="A273" s="2" t="n">
        <v>272</v>
      </c>
      <c r="B273" s="2" t="s">
        <v>167</v>
      </c>
      <c r="C273" s="2" t="n">
        <v>12</v>
      </c>
      <c r="D273" s="2" t="n">
        <v>1</v>
      </c>
      <c r="E273" s="82" t="n">
        <v>45024</v>
      </c>
      <c r="F273" s="87" t="n">
        <v>0.402835648148148</v>
      </c>
      <c r="G273" s="82" t="n">
        <v>45034</v>
      </c>
      <c r="H273" s="87" t="n">
        <v>0.843009259259259</v>
      </c>
      <c r="I273" s="2" t="s">
        <v>469</v>
      </c>
      <c r="J273" s="2" t="s">
        <v>168</v>
      </c>
    </row>
    <row r="274" customFormat="false" ht="15" hidden="false" customHeight="false" outlineLevel="0" collapsed="false">
      <c r="A274" s="7" t="n">
        <v>273</v>
      </c>
      <c r="B274" s="7" t="s">
        <v>245</v>
      </c>
      <c r="C274" s="7" t="n">
        <v>10</v>
      </c>
      <c r="D274" s="7" t="n">
        <v>2</v>
      </c>
      <c r="E274" s="77" t="n">
        <v>45252</v>
      </c>
      <c r="F274" s="86" t="n">
        <v>0.675405092592593</v>
      </c>
      <c r="G274" s="77" t="n">
        <v>45254</v>
      </c>
      <c r="H274" s="86" t="n">
        <v>0.0783333333333333</v>
      </c>
      <c r="I274" s="7" t="s">
        <v>492</v>
      </c>
      <c r="J274" s="7" t="s">
        <v>31</v>
      </c>
    </row>
    <row r="275" customFormat="false" ht="15" hidden="false" customHeight="false" outlineLevel="0" collapsed="false">
      <c r="A275" s="2" t="n">
        <v>274</v>
      </c>
      <c r="B275" s="2" t="s">
        <v>334</v>
      </c>
      <c r="C275" s="2" t="n">
        <v>41</v>
      </c>
      <c r="D275" s="2" t="n">
        <v>5</v>
      </c>
      <c r="E275" s="82" t="n">
        <v>45232</v>
      </c>
      <c r="F275" s="87" t="n">
        <v>0.276284722222222</v>
      </c>
      <c r="G275" s="82" t="n">
        <v>45242</v>
      </c>
      <c r="H275" s="87" t="n">
        <v>0.870555555555556</v>
      </c>
      <c r="I275" s="2" t="s">
        <v>534</v>
      </c>
      <c r="J275" s="2" t="s">
        <v>32</v>
      </c>
    </row>
    <row r="276" customFormat="false" ht="15" hidden="false" customHeight="false" outlineLevel="0" collapsed="false">
      <c r="A276" s="7" t="n">
        <v>275</v>
      </c>
      <c r="B276" s="7" t="s">
        <v>194</v>
      </c>
      <c r="C276" s="7" t="n">
        <v>29</v>
      </c>
      <c r="D276" s="7" t="n">
        <v>1</v>
      </c>
      <c r="E276" s="77" t="n">
        <v>44987</v>
      </c>
      <c r="F276" s="86" t="n">
        <v>0.176238425925926</v>
      </c>
      <c r="G276" s="77" t="n">
        <v>44990</v>
      </c>
      <c r="H276" s="86" t="n">
        <v>0.0539236111111111</v>
      </c>
      <c r="I276" s="7" t="s">
        <v>544</v>
      </c>
      <c r="J276" s="7" t="s">
        <v>33</v>
      </c>
    </row>
    <row r="277" customFormat="false" ht="15" hidden="false" customHeight="false" outlineLevel="0" collapsed="false">
      <c r="A277" s="2" t="n">
        <v>276</v>
      </c>
      <c r="B277" s="2" t="s">
        <v>297</v>
      </c>
      <c r="C277" s="2" t="n">
        <v>15</v>
      </c>
      <c r="D277" s="2" t="n">
        <v>2</v>
      </c>
      <c r="E277" s="82" t="n">
        <v>45074</v>
      </c>
      <c r="F277" s="87" t="n">
        <v>0.0653472222222222</v>
      </c>
      <c r="G277" s="82" t="n">
        <v>45078</v>
      </c>
      <c r="H277" s="87" t="n">
        <v>0.295520833333333</v>
      </c>
      <c r="I277" s="2" t="s">
        <v>498</v>
      </c>
      <c r="J277" s="2" t="s">
        <v>168</v>
      </c>
    </row>
    <row r="278" customFormat="false" ht="15" hidden="false" customHeight="false" outlineLevel="0" collapsed="false">
      <c r="A278" s="7" t="n">
        <v>277</v>
      </c>
      <c r="B278" s="7" t="s">
        <v>288</v>
      </c>
      <c r="C278" s="7" t="n">
        <v>34</v>
      </c>
      <c r="D278" s="7" t="n">
        <v>5</v>
      </c>
      <c r="E278" s="77" t="n">
        <v>45161</v>
      </c>
      <c r="F278" s="86" t="n">
        <v>0.803240740740741</v>
      </c>
      <c r="G278" s="77" t="n">
        <v>45167</v>
      </c>
      <c r="H278" s="86" t="n">
        <v>0.659930555555556</v>
      </c>
      <c r="I278" s="7" t="s">
        <v>241</v>
      </c>
      <c r="J278" s="7" t="s">
        <v>40</v>
      </c>
    </row>
    <row r="279" customFormat="false" ht="15" hidden="false" customHeight="false" outlineLevel="0" collapsed="false">
      <c r="A279" s="2" t="n">
        <v>278</v>
      </c>
      <c r="B279" s="2" t="s">
        <v>236</v>
      </c>
      <c r="C279" s="2" t="n">
        <v>1</v>
      </c>
      <c r="D279" s="2" t="n">
        <v>2</v>
      </c>
      <c r="E279" s="82" t="n">
        <v>45097</v>
      </c>
      <c r="F279" s="87" t="n">
        <v>0.981851851851852</v>
      </c>
      <c r="G279" s="82" t="n">
        <v>45101</v>
      </c>
      <c r="H279" s="87" t="n">
        <v>0.238009259259259</v>
      </c>
      <c r="I279" s="2" t="s">
        <v>193</v>
      </c>
      <c r="J279" s="2" t="s">
        <v>165</v>
      </c>
    </row>
    <row r="280" customFormat="false" ht="15" hidden="false" customHeight="false" outlineLevel="0" collapsed="false">
      <c r="A280" s="7" t="n">
        <v>279</v>
      </c>
      <c r="B280" s="7" t="s">
        <v>303</v>
      </c>
      <c r="C280" s="7" t="n">
        <v>23</v>
      </c>
      <c r="D280" s="7" t="n">
        <v>4</v>
      </c>
      <c r="E280" s="77" t="n">
        <v>45254</v>
      </c>
      <c r="F280" s="86" t="n">
        <v>0.38525462962963</v>
      </c>
      <c r="G280" s="77" t="n">
        <v>45256</v>
      </c>
      <c r="H280" s="86" t="n">
        <v>0.744016203703704</v>
      </c>
      <c r="I280" s="7" t="s">
        <v>310</v>
      </c>
      <c r="J280" s="7" t="s">
        <v>168</v>
      </c>
    </row>
    <row r="281" customFormat="false" ht="15" hidden="false" customHeight="false" outlineLevel="0" collapsed="false">
      <c r="A281" s="2" t="n">
        <v>280</v>
      </c>
      <c r="B281" s="2" t="s">
        <v>130</v>
      </c>
      <c r="C281" s="2" t="n">
        <v>19</v>
      </c>
      <c r="D281" s="2" t="n">
        <v>3</v>
      </c>
      <c r="E281" s="82" t="n">
        <v>44964</v>
      </c>
      <c r="F281" s="87" t="n">
        <v>0.73943287037037</v>
      </c>
      <c r="G281" s="82" t="n">
        <v>44969</v>
      </c>
      <c r="H281" s="87" t="n">
        <v>0.688252314814815</v>
      </c>
      <c r="I281" s="2" t="s">
        <v>482</v>
      </c>
      <c r="J281" s="2" t="s">
        <v>179</v>
      </c>
    </row>
    <row r="282" customFormat="false" ht="15" hidden="false" customHeight="false" outlineLevel="0" collapsed="false">
      <c r="A282" s="7" t="n">
        <v>281</v>
      </c>
      <c r="B282" s="7" t="s">
        <v>145</v>
      </c>
      <c r="C282" s="7" t="n">
        <v>15</v>
      </c>
      <c r="D282" s="7" t="n">
        <v>3</v>
      </c>
      <c r="E282" s="77" t="n">
        <v>45190</v>
      </c>
      <c r="F282" s="86" t="n">
        <v>0.858877314814815</v>
      </c>
      <c r="G282" s="77" t="n">
        <v>45194</v>
      </c>
      <c r="H282" s="86" t="n">
        <v>0.435578703703704</v>
      </c>
      <c r="I282" s="7" t="s">
        <v>509</v>
      </c>
      <c r="J282" s="7" t="s">
        <v>168</v>
      </c>
    </row>
    <row r="283" customFormat="false" ht="15" hidden="false" customHeight="false" outlineLevel="0" collapsed="false">
      <c r="A283" s="2" t="n">
        <v>282</v>
      </c>
      <c r="B283" s="2" t="s">
        <v>372</v>
      </c>
      <c r="C283" s="2" t="n">
        <v>41</v>
      </c>
      <c r="D283" s="2" t="n">
        <v>2</v>
      </c>
      <c r="E283" s="82" t="n">
        <v>45241</v>
      </c>
      <c r="F283" s="87" t="n">
        <v>0.431122685185185</v>
      </c>
      <c r="G283" s="82" t="n">
        <v>45249</v>
      </c>
      <c r="H283" s="87" t="n">
        <v>0.924768518518519</v>
      </c>
      <c r="I283" s="2" t="s">
        <v>482</v>
      </c>
      <c r="J283" s="2" t="s">
        <v>32</v>
      </c>
    </row>
    <row r="284" customFormat="false" ht="15" hidden="false" customHeight="false" outlineLevel="0" collapsed="false">
      <c r="A284" s="7" t="n">
        <v>283</v>
      </c>
      <c r="B284" s="7" t="s">
        <v>355</v>
      </c>
      <c r="C284" s="7" t="n">
        <v>23</v>
      </c>
      <c r="D284" s="7" t="n">
        <v>2</v>
      </c>
      <c r="E284" s="77" t="n">
        <v>45253</v>
      </c>
      <c r="F284" s="86" t="n">
        <v>0.119143518518519</v>
      </c>
      <c r="G284" s="77" t="n">
        <v>45260</v>
      </c>
      <c r="H284" s="86" t="n">
        <v>0.765046296296296</v>
      </c>
      <c r="I284" s="7" t="s">
        <v>362</v>
      </c>
      <c r="J284" s="7" t="s">
        <v>168</v>
      </c>
    </row>
    <row r="285" customFormat="false" ht="15" hidden="false" customHeight="false" outlineLevel="0" collapsed="false">
      <c r="A285" s="2" t="n">
        <v>284</v>
      </c>
      <c r="B285" s="2" t="s">
        <v>275</v>
      </c>
      <c r="C285" s="2" t="n">
        <v>17</v>
      </c>
      <c r="D285" s="2" t="n">
        <v>1</v>
      </c>
      <c r="E285" s="82" t="n">
        <v>45148</v>
      </c>
      <c r="F285" s="87" t="n">
        <v>0.675740740740741</v>
      </c>
      <c r="G285" s="82" t="n">
        <v>45154</v>
      </c>
      <c r="H285" s="87" t="n">
        <v>0.473576388888889</v>
      </c>
      <c r="I285" s="2" t="s">
        <v>187</v>
      </c>
      <c r="J285" s="2" t="s">
        <v>168</v>
      </c>
    </row>
    <row r="286" customFormat="false" ht="15" hidden="false" customHeight="false" outlineLevel="0" collapsed="false">
      <c r="A286" s="7" t="n">
        <v>285</v>
      </c>
      <c r="B286" s="7" t="s">
        <v>344</v>
      </c>
      <c r="C286" s="7" t="n">
        <v>7</v>
      </c>
      <c r="D286" s="7" t="n">
        <v>5</v>
      </c>
      <c r="E286" s="77" t="n">
        <v>44983</v>
      </c>
      <c r="F286" s="86" t="n">
        <v>0.726898148148148</v>
      </c>
      <c r="G286" s="77" t="n">
        <v>44986</v>
      </c>
      <c r="H286" s="86" t="n">
        <v>0.536342592592593</v>
      </c>
      <c r="I286" s="7" t="s">
        <v>592</v>
      </c>
      <c r="J286" s="7" t="s">
        <v>33</v>
      </c>
    </row>
    <row r="287" customFormat="false" ht="15" hidden="false" customHeight="false" outlineLevel="0" collapsed="false">
      <c r="A287" s="2" t="n">
        <v>286</v>
      </c>
      <c r="B287" s="2" t="s">
        <v>388</v>
      </c>
      <c r="C287" s="2" t="n">
        <v>50</v>
      </c>
      <c r="D287" s="2" t="n">
        <v>3</v>
      </c>
      <c r="E287" s="82" t="n">
        <v>44991</v>
      </c>
      <c r="F287" s="87" t="n">
        <v>0.837268518518519</v>
      </c>
      <c r="G287" s="82" t="n">
        <v>44997</v>
      </c>
      <c r="H287" s="87" t="n">
        <v>0.112118055555556</v>
      </c>
      <c r="I287" s="2" t="s">
        <v>483</v>
      </c>
      <c r="J287" s="2" t="s">
        <v>33</v>
      </c>
    </row>
    <row r="288" customFormat="false" ht="15" hidden="false" customHeight="false" outlineLevel="0" collapsed="false">
      <c r="A288" s="7" t="n">
        <v>287</v>
      </c>
      <c r="B288" s="7" t="s">
        <v>154</v>
      </c>
      <c r="C288" s="7" t="n">
        <v>7</v>
      </c>
      <c r="D288" s="7" t="n">
        <v>5</v>
      </c>
      <c r="E288" s="77" t="n">
        <v>44988</v>
      </c>
      <c r="F288" s="86" t="n">
        <v>0.204212962962963</v>
      </c>
      <c r="G288" s="77" t="n">
        <v>44991</v>
      </c>
      <c r="H288" s="86" t="n">
        <v>0.652743055555556</v>
      </c>
      <c r="I288" s="7" t="s">
        <v>497</v>
      </c>
      <c r="J288" s="7" t="s">
        <v>33</v>
      </c>
    </row>
    <row r="289" customFormat="false" ht="15" hidden="false" customHeight="false" outlineLevel="0" collapsed="false">
      <c r="A289" s="2" t="n">
        <v>288</v>
      </c>
      <c r="B289" s="2" t="s">
        <v>209</v>
      </c>
      <c r="C289" s="2" t="n">
        <v>34</v>
      </c>
      <c r="D289" s="2" t="n">
        <v>2</v>
      </c>
      <c r="E289" s="82" t="n">
        <v>45159</v>
      </c>
      <c r="F289" s="87" t="n">
        <v>0.665949074074074</v>
      </c>
      <c r="G289" s="82" t="n">
        <v>45161</v>
      </c>
      <c r="H289" s="87" t="n">
        <v>0.862916666666667</v>
      </c>
      <c r="I289" s="2" t="s">
        <v>193</v>
      </c>
      <c r="J289" s="2" t="s">
        <v>40</v>
      </c>
    </row>
    <row r="290" customFormat="false" ht="15" hidden="false" customHeight="false" outlineLevel="0" collapsed="false">
      <c r="A290" s="7" t="n">
        <v>289</v>
      </c>
      <c r="B290" s="7" t="s">
        <v>172</v>
      </c>
      <c r="C290" s="7" t="n">
        <v>30</v>
      </c>
      <c r="D290" s="7" t="n">
        <v>4</v>
      </c>
      <c r="E290" s="77" t="n">
        <v>45167</v>
      </c>
      <c r="F290" s="86" t="n">
        <v>0.986122685185185</v>
      </c>
      <c r="G290" s="77" t="n">
        <v>45175</v>
      </c>
      <c r="H290" s="86" t="n">
        <v>0.118125</v>
      </c>
      <c r="I290" s="7" t="s">
        <v>422</v>
      </c>
      <c r="J290" s="7" t="s">
        <v>168</v>
      </c>
    </row>
    <row r="291" customFormat="false" ht="15" hidden="false" customHeight="false" outlineLevel="0" collapsed="false">
      <c r="A291" s="2" t="n">
        <v>290</v>
      </c>
      <c r="B291" s="2" t="s">
        <v>336</v>
      </c>
      <c r="C291" s="2" t="n">
        <v>69</v>
      </c>
      <c r="D291" s="2" t="n">
        <v>3</v>
      </c>
      <c r="E291" s="82" t="n">
        <v>44991</v>
      </c>
      <c r="F291" s="87" t="n">
        <v>0.435625</v>
      </c>
      <c r="G291" s="82" t="n">
        <v>44995</v>
      </c>
      <c r="H291" s="87" t="n">
        <v>0.606643518518519</v>
      </c>
      <c r="I291" s="2" t="s">
        <v>156</v>
      </c>
      <c r="J291" s="2" t="s">
        <v>33</v>
      </c>
    </row>
    <row r="292" customFormat="false" ht="15" hidden="false" customHeight="false" outlineLevel="0" collapsed="false">
      <c r="A292" s="7" t="n">
        <v>291</v>
      </c>
      <c r="B292" s="7" t="s">
        <v>316</v>
      </c>
      <c r="C292" s="7" t="n">
        <v>49</v>
      </c>
      <c r="D292" s="7" t="n">
        <v>2</v>
      </c>
      <c r="E292" s="77" t="n">
        <v>44967</v>
      </c>
      <c r="F292" s="86" t="n">
        <v>0.0087962962962963</v>
      </c>
      <c r="G292" s="77" t="n">
        <v>44968</v>
      </c>
      <c r="H292" s="86" t="n">
        <v>0.953368055555556</v>
      </c>
      <c r="I292" s="7" t="s">
        <v>500</v>
      </c>
      <c r="J292" s="7" t="s">
        <v>179</v>
      </c>
    </row>
    <row r="293" customFormat="false" ht="15" hidden="false" customHeight="false" outlineLevel="0" collapsed="false">
      <c r="A293" s="2" t="n">
        <v>292</v>
      </c>
      <c r="B293" s="2" t="s">
        <v>263</v>
      </c>
      <c r="C293" s="2" t="n">
        <v>54</v>
      </c>
      <c r="D293" s="2" t="n">
        <v>1</v>
      </c>
      <c r="E293" s="82" t="n">
        <v>45196</v>
      </c>
      <c r="F293" s="87" t="n">
        <v>0.94693287037037</v>
      </c>
      <c r="G293" s="82" t="n">
        <v>45202</v>
      </c>
      <c r="H293" s="87" t="n">
        <v>0.0727662037037037</v>
      </c>
      <c r="I293" s="2" t="s">
        <v>416</v>
      </c>
      <c r="J293" s="2" t="s">
        <v>168</v>
      </c>
    </row>
    <row r="294" customFormat="false" ht="15" hidden="false" customHeight="false" outlineLevel="0" collapsed="false">
      <c r="A294" s="7" t="n">
        <v>293</v>
      </c>
      <c r="B294" s="7" t="s">
        <v>130</v>
      </c>
      <c r="C294" s="7" t="n">
        <v>1</v>
      </c>
      <c r="D294" s="7" t="n">
        <v>4</v>
      </c>
      <c r="E294" s="77" t="n">
        <v>45173</v>
      </c>
      <c r="F294" s="86" t="n">
        <v>0.169293981481482</v>
      </c>
      <c r="G294" s="77" t="n">
        <v>45178</v>
      </c>
      <c r="H294" s="86" t="n">
        <v>0.757361111111111</v>
      </c>
      <c r="I294" s="7" t="s">
        <v>585</v>
      </c>
      <c r="J294" s="7" t="s">
        <v>165</v>
      </c>
    </row>
    <row r="295" customFormat="false" ht="15" hidden="false" customHeight="false" outlineLevel="0" collapsed="false">
      <c r="A295" s="2" t="n">
        <v>294</v>
      </c>
      <c r="B295" s="2" t="s">
        <v>245</v>
      </c>
      <c r="C295" s="2" t="n">
        <v>26</v>
      </c>
      <c r="D295" s="2" t="n">
        <v>5</v>
      </c>
      <c r="E295" s="82" t="n">
        <v>44986</v>
      </c>
      <c r="F295" s="87" t="n">
        <v>0.877986111111111</v>
      </c>
      <c r="G295" s="82" t="n">
        <v>44988</v>
      </c>
      <c r="H295" s="87" t="n">
        <v>0.822847222222222</v>
      </c>
      <c r="I295" s="2" t="s">
        <v>501</v>
      </c>
      <c r="J295" s="2" t="s">
        <v>33</v>
      </c>
    </row>
    <row r="296" customFormat="false" ht="15" hidden="false" customHeight="false" outlineLevel="0" collapsed="false">
      <c r="A296" s="7" t="n">
        <v>295</v>
      </c>
      <c r="B296" s="7" t="s">
        <v>336</v>
      </c>
      <c r="C296" s="7" t="n">
        <v>18</v>
      </c>
      <c r="D296" s="7" t="n">
        <v>1</v>
      </c>
      <c r="E296" s="77" t="n">
        <v>45075</v>
      </c>
      <c r="F296" s="86" t="n">
        <v>0.662604166666667</v>
      </c>
      <c r="G296" s="77" t="n">
        <v>45079</v>
      </c>
      <c r="H296" s="86" t="n">
        <v>0.421319444444445</v>
      </c>
      <c r="I296" s="7" t="s">
        <v>582</v>
      </c>
      <c r="J296" s="7" t="s">
        <v>31</v>
      </c>
    </row>
    <row r="297" customFormat="false" ht="15" hidden="false" customHeight="false" outlineLevel="0" collapsed="false">
      <c r="A297" s="2" t="n">
        <v>296</v>
      </c>
      <c r="B297" s="2" t="s">
        <v>341</v>
      </c>
      <c r="C297" s="2" t="n">
        <v>70</v>
      </c>
      <c r="D297" s="2" t="n">
        <v>5</v>
      </c>
      <c r="E297" s="82" t="n">
        <v>45017</v>
      </c>
      <c r="F297" s="87" t="n">
        <v>0.496689814814815</v>
      </c>
      <c r="G297" s="82" t="n">
        <v>45027</v>
      </c>
      <c r="H297" s="87" t="n">
        <v>0.815115740740741</v>
      </c>
      <c r="I297" s="2" t="s">
        <v>592</v>
      </c>
      <c r="J297" s="2" t="s">
        <v>31</v>
      </c>
    </row>
    <row r="298" customFormat="false" ht="15" hidden="false" customHeight="false" outlineLevel="0" collapsed="false">
      <c r="A298" s="7" t="n">
        <v>297</v>
      </c>
      <c r="B298" s="7" t="s">
        <v>245</v>
      </c>
      <c r="C298" s="7" t="n">
        <v>13</v>
      </c>
      <c r="D298" s="7" t="n">
        <v>3</v>
      </c>
      <c r="E298" s="77" t="n">
        <v>44985</v>
      </c>
      <c r="F298" s="86" t="n">
        <v>0.844085648148148</v>
      </c>
      <c r="G298" s="77" t="n">
        <v>44990</v>
      </c>
      <c r="H298" s="86" t="n">
        <v>0.869756944444444</v>
      </c>
      <c r="I298" s="7" t="s">
        <v>526</v>
      </c>
      <c r="J298" s="7" t="s">
        <v>33</v>
      </c>
    </row>
    <row r="299" customFormat="false" ht="15" hidden="false" customHeight="false" outlineLevel="0" collapsed="false">
      <c r="A299" s="2" t="n">
        <v>298</v>
      </c>
      <c r="B299" s="2" t="s">
        <v>275</v>
      </c>
      <c r="C299" s="2" t="n">
        <v>3</v>
      </c>
      <c r="D299" s="2" t="n">
        <v>1</v>
      </c>
      <c r="E299" s="82" t="n">
        <v>44968</v>
      </c>
      <c r="F299" s="87" t="n">
        <v>0.962835648148148</v>
      </c>
      <c r="G299" s="82" t="n">
        <v>44969</v>
      </c>
      <c r="H299" s="87" t="n">
        <v>0.0956365740740741</v>
      </c>
      <c r="I299" s="2" t="s">
        <v>191</v>
      </c>
      <c r="J299" s="2" t="s">
        <v>179</v>
      </c>
    </row>
    <row r="300" customFormat="false" ht="15" hidden="false" customHeight="false" outlineLevel="0" collapsed="false">
      <c r="A300" s="7" t="n">
        <v>299</v>
      </c>
      <c r="B300" s="7" t="s">
        <v>369</v>
      </c>
      <c r="C300" s="7" t="n">
        <v>8</v>
      </c>
      <c r="D300" s="7" t="n">
        <v>5</v>
      </c>
      <c r="E300" s="77" t="n">
        <v>45238</v>
      </c>
      <c r="F300" s="86" t="n">
        <v>0.493993055555556</v>
      </c>
      <c r="G300" s="77" t="n">
        <v>45247</v>
      </c>
      <c r="H300" s="86" t="n">
        <v>0.5540625</v>
      </c>
      <c r="I300" s="7" t="s">
        <v>605</v>
      </c>
      <c r="J300" s="7" t="s">
        <v>168</v>
      </c>
    </row>
    <row r="301" customFormat="false" ht="15" hidden="false" customHeight="false" outlineLevel="0" collapsed="false">
      <c r="A301" s="2" t="n">
        <v>300</v>
      </c>
      <c r="B301" s="2" t="s">
        <v>202</v>
      </c>
      <c r="C301" s="2" t="n">
        <v>22</v>
      </c>
      <c r="D301" s="2" t="n">
        <v>1</v>
      </c>
      <c r="E301" s="82" t="n">
        <v>45167</v>
      </c>
      <c r="F301" s="87" t="n">
        <v>0.805613425925926</v>
      </c>
      <c r="G301" s="82" t="n">
        <v>45177</v>
      </c>
      <c r="H301" s="87" t="n">
        <v>0.767546296296296</v>
      </c>
      <c r="I301" s="2" t="s">
        <v>590</v>
      </c>
      <c r="J301" s="2" t="s">
        <v>165</v>
      </c>
    </row>
    <row r="302" customFormat="false" ht="15" hidden="false" customHeight="false" outlineLevel="0" collapsed="false">
      <c r="A302" s="7" t="n">
        <v>301</v>
      </c>
      <c r="B302" s="7" t="s">
        <v>311</v>
      </c>
      <c r="C302" s="7" t="n">
        <v>6</v>
      </c>
      <c r="D302" s="7" t="n">
        <v>3</v>
      </c>
      <c r="E302" s="77" t="n">
        <v>44984</v>
      </c>
      <c r="F302" s="86" t="n">
        <v>0.266921296296296</v>
      </c>
      <c r="G302" s="77" t="n">
        <v>44989</v>
      </c>
      <c r="H302" s="86" t="n">
        <v>0.702962962962963</v>
      </c>
      <c r="I302" s="7" t="s">
        <v>465</v>
      </c>
      <c r="J302" s="7" t="s">
        <v>33</v>
      </c>
    </row>
    <row r="303" customFormat="false" ht="15" hidden="false" customHeight="false" outlineLevel="0" collapsed="false">
      <c r="A303" s="2" t="n">
        <v>302</v>
      </c>
      <c r="B303" s="2" t="s">
        <v>313</v>
      </c>
      <c r="C303" s="2" t="n">
        <v>25</v>
      </c>
      <c r="D303" s="2" t="n">
        <v>4</v>
      </c>
      <c r="E303" s="82" t="n">
        <v>45223</v>
      </c>
      <c r="F303" s="87" t="n">
        <v>0.578530092592593</v>
      </c>
      <c r="G303" s="82" t="n">
        <v>45224</v>
      </c>
      <c r="H303" s="87" t="n">
        <v>0.717650462962963</v>
      </c>
      <c r="I303" s="2" t="s">
        <v>340</v>
      </c>
      <c r="J303" s="2" t="s">
        <v>168</v>
      </c>
    </row>
    <row r="304" customFormat="false" ht="15" hidden="false" customHeight="false" outlineLevel="0" collapsed="false">
      <c r="A304" s="7" t="n">
        <v>303</v>
      </c>
      <c r="B304" s="7" t="s">
        <v>257</v>
      </c>
      <c r="C304" s="7" t="n">
        <v>14</v>
      </c>
      <c r="D304" s="7" t="n">
        <v>1</v>
      </c>
      <c r="E304" s="77" t="n">
        <v>45250</v>
      </c>
      <c r="F304" s="86" t="n">
        <v>0.279826388888889</v>
      </c>
      <c r="G304" s="77" t="n">
        <v>45259</v>
      </c>
      <c r="H304" s="86" t="n">
        <v>0.29724537037037</v>
      </c>
      <c r="I304" s="7" t="s">
        <v>506</v>
      </c>
      <c r="J304" s="7" t="s">
        <v>31</v>
      </c>
    </row>
    <row r="305" customFormat="false" ht="15" hidden="false" customHeight="false" outlineLevel="0" collapsed="false">
      <c r="A305" s="2" t="n">
        <v>304</v>
      </c>
      <c r="B305" s="2" t="s">
        <v>360</v>
      </c>
      <c r="C305" s="2" t="n">
        <v>67</v>
      </c>
      <c r="D305" s="2" t="n">
        <v>3</v>
      </c>
      <c r="E305" s="82" t="n">
        <v>44997</v>
      </c>
      <c r="F305" s="87" t="n">
        <v>0.391990740740741</v>
      </c>
      <c r="G305" s="82" t="n">
        <v>45004</v>
      </c>
      <c r="H305" s="87" t="n">
        <v>0.965011574074074</v>
      </c>
      <c r="I305" s="2" t="s">
        <v>591</v>
      </c>
      <c r="J305" s="2" t="s">
        <v>168</v>
      </c>
    </row>
    <row r="306" customFormat="false" ht="15" hidden="false" customHeight="false" outlineLevel="0" collapsed="false">
      <c r="A306" s="7" t="n">
        <v>305</v>
      </c>
      <c r="B306" s="7" t="s">
        <v>130</v>
      </c>
      <c r="C306" s="7" t="n">
        <v>26</v>
      </c>
      <c r="D306" s="7" t="n">
        <v>1</v>
      </c>
      <c r="E306" s="77" t="n">
        <v>44987</v>
      </c>
      <c r="F306" s="86" t="n">
        <v>0.0074537037037037</v>
      </c>
      <c r="G306" s="77" t="n">
        <v>44995</v>
      </c>
      <c r="H306" s="86" t="n">
        <v>0.584085648148148</v>
      </c>
      <c r="I306" s="7" t="s">
        <v>473</v>
      </c>
      <c r="J306" s="7" t="s">
        <v>33</v>
      </c>
    </row>
    <row r="307" customFormat="false" ht="15" hidden="false" customHeight="false" outlineLevel="0" collapsed="false">
      <c r="A307" s="2" t="n">
        <v>306</v>
      </c>
      <c r="B307" s="2" t="s">
        <v>353</v>
      </c>
      <c r="C307" s="2" t="n">
        <v>49</v>
      </c>
      <c r="D307" s="2" t="n">
        <v>4</v>
      </c>
      <c r="E307" s="82" t="n">
        <v>44961</v>
      </c>
      <c r="F307" s="87" t="n">
        <v>0.483229166666667</v>
      </c>
      <c r="G307" s="82" t="n">
        <v>44969</v>
      </c>
      <c r="H307" s="87" t="n">
        <v>0.276388888888889</v>
      </c>
      <c r="I307" s="2" t="s">
        <v>214</v>
      </c>
      <c r="J307" s="2" t="s">
        <v>179</v>
      </c>
    </row>
    <row r="308" customFormat="false" ht="15" hidden="false" customHeight="false" outlineLevel="0" collapsed="false">
      <c r="A308" s="7" t="n">
        <v>307</v>
      </c>
      <c r="B308" s="7" t="s">
        <v>230</v>
      </c>
      <c r="C308" s="7" t="n">
        <v>3</v>
      </c>
      <c r="D308" s="7" t="n">
        <v>1</v>
      </c>
      <c r="E308" s="77" t="n">
        <v>44961</v>
      </c>
      <c r="F308" s="86" t="n">
        <v>0.901319444444445</v>
      </c>
      <c r="G308" s="77" t="n">
        <v>44965</v>
      </c>
      <c r="H308" s="86" t="n">
        <v>0.477893518518519</v>
      </c>
      <c r="I308" s="7" t="s">
        <v>356</v>
      </c>
      <c r="J308" s="7" t="s">
        <v>179</v>
      </c>
    </row>
    <row r="309" customFormat="false" ht="15" hidden="false" customHeight="false" outlineLevel="0" collapsed="false">
      <c r="A309" s="2" t="n">
        <v>308</v>
      </c>
      <c r="B309" s="2" t="s">
        <v>136</v>
      </c>
      <c r="C309" s="2" t="n">
        <v>57</v>
      </c>
      <c r="D309" s="2" t="n">
        <v>1</v>
      </c>
      <c r="E309" s="82" t="n">
        <v>44994</v>
      </c>
      <c r="F309" s="87" t="n">
        <v>0.329293981481482</v>
      </c>
      <c r="G309" s="82" t="n">
        <v>44997</v>
      </c>
      <c r="H309" s="87" t="n">
        <v>0.507916666666667</v>
      </c>
      <c r="I309" s="2" t="s">
        <v>404</v>
      </c>
      <c r="J309" s="2" t="s">
        <v>31</v>
      </c>
    </row>
    <row r="310" customFormat="false" ht="15" hidden="false" customHeight="false" outlineLevel="0" collapsed="false">
      <c r="A310" s="7" t="n">
        <v>309</v>
      </c>
      <c r="B310" s="7" t="s">
        <v>313</v>
      </c>
      <c r="C310" s="7" t="n">
        <v>60</v>
      </c>
      <c r="D310" s="7" t="n">
        <v>4</v>
      </c>
      <c r="E310" s="77" t="n">
        <v>45240</v>
      </c>
      <c r="F310" s="86" t="n">
        <v>0.276886574074074</v>
      </c>
      <c r="G310" s="77" t="n">
        <v>45243</v>
      </c>
      <c r="H310" s="86" t="n">
        <v>0.2184375</v>
      </c>
      <c r="I310" s="7" t="s">
        <v>482</v>
      </c>
      <c r="J310" s="7" t="s">
        <v>32</v>
      </c>
    </row>
    <row r="311" customFormat="false" ht="15" hidden="false" customHeight="false" outlineLevel="0" collapsed="false">
      <c r="A311" s="2" t="n">
        <v>310</v>
      </c>
      <c r="B311" s="2" t="s">
        <v>285</v>
      </c>
      <c r="C311" s="2" t="n">
        <v>38</v>
      </c>
      <c r="D311" s="2" t="n">
        <v>3</v>
      </c>
      <c r="E311" s="82" t="n">
        <v>45158</v>
      </c>
      <c r="F311" s="87" t="n">
        <v>0.516921296296296</v>
      </c>
      <c r="G311" s="82" t="n">
        <v>45162</v>
      </c>
      <c r="H311" s="87" t="n">
        <v>0.654722222222222</v>
      </c>
      <c r="I311" s="2" t="s">
        <v>229</v>
      </c>
      <c r="J311" s="2" t="s">
        <v>31</v>
      </c>
    </row>
    <row r="312" customFormat="false" ht="15" hidden="false" customHeight="false" outlineLevel="0" collapsed="false">
      <c r="A312" s="7" t="n">
        <v>311</v>
      </c>
      <c r="B312" s="7" t="s">
        <v>257</v>
      </c>
      <c r="C312" s="7" t="n">
        <v>39</v>
      </c>
      <c r="D312" s="7" t="n">
        <v>2</v>
      </c>
      <c r="E312" s="77" t="n">
        <v>45171</v>
      </c>
      <c r="F312" s="86" t="n">
        <v>0.393599537037037</v>
      </c>
      <c r="G312" s="77" t="n">
        <v>45181</v>
      </c>
      <c r="H312" s="86" t="n">
        <v>0.744247685185185</v>
      </c>
      <c r="I312" s="7" t="s">
        <v>488</v>
      </c>
      <c r="J312" s="7" t="s">
        <v>165</v>
      </c>
    </row>
    <row r="313" customFormat="false" ht="15" hidden="false" customHeight="false" outlineLevel="0" collapsed="false">
      <c r="A313" s="2" t="n">
        <v>312</v>
      </c>
      <c r="B313" s="2" t="s">
        <v>236</v>
      </c>
      <c r="C313" s="2" t="n">
        <v>9</v>
      </c>
      <c r="D313" s="2" t="n">
        <v>1</v>
      </c>
      <c r="E313" s="82" t="n">
        <v>45160</v>
      </c>
      <c r="F313" s="87" t="n">
        <v>0.769166666666667</v>
      </c>
      <c r="G313" s="82" t="n">
        <v>45165</v>
      </c>
      <c r="H313" s="87" t="n">
        <v>0.250856481481482</v>
      </c>
      <c r="I313" s="2" t="s">
        <v>144</v>
      </c>
      <c r="J313" s="2" t="s">
        <v>40</v>
      </c>
    </row>
    <row r="314" customFormat="false" ht="15" hidden="false" customHeight="false" outlineLevel="0" collapsed="false">
      <c r="A314" s="7" t="n">
        <v>313</v>
      </c>
      <c r="B314" s="7" t="s">
        <v>272</v>
      </c>
      <c r="C314" s="7" t="n">
        <v>30</v>
      </c>
      <c r="D314" s="7" t="n">
        <v>2</v>
      </c>
      <c r="E314" s="77" t="n">
        <v>45129</v>
      </c>
      <c r="F314" s="86" t="n">
        <v>0.808668981481482</v>
      </c>
      <c r="G314" s="77" t="n">
        <v>45133</v>
      </c>
      <c r="H314" s="86" t="n">
        <v>0.25431712962963</v>
      </c>
      <c r="I314" s="7" t="s">
        <v>586</v>
      </c>
      <c r="J314" s="7" t="s">
        <v>168</v>
      </c>
    </row>
    <row r="315" customFormat="false" ht="15" hidden="false" customHeight="false" outlineLevel="0" collapsed="false">
      <c r="A315" s="2" t="n">
        <v>314</v>
      </c>
      <c r="B315" s="2" t="s">
        <v>196</v>
      </c>
      <c r="C315" s="2" t="n">
        <v>43</v>
      </c>
      <c r="D315" s="2" t="n">
        <v>4</v>
      </c>
      <c r="E315" s="82" t="n">
        <v>45235</v>
      </c>
      <c r="F315" s="87" t="n">
        <v>0.492141203703704</v>
      </c>
      <c r="G315" s="82" t="n">
        <v>45245</v>
      </c>
      <c r="H315" s="87" t="n">
        <v>0.205150462962963</v>
      </c>
      <c r="I315" s="2" t="s">
        <v>524</v>
      </c>
      <c r="J315" s="2" t="s">
        <v>32</v>
      </c>
    </row>
    <row r="316" customFormat="false" ht="15" hidden="false" customHeight="false" outlineLevel="0" collapsed="false">
      <c r="A316" s="7" t="n">
        <v>315</v>
      </c>
      <c r="B316" s="7" t="s">
        <v>291</v>
      </c>
      <c r="C316" s="7" t="n">
        <v>26</v>
      </c>
      <c r="D316" s="7" t="n">
        <v>5</v>
      </c>
      <c r="E316" s="77" t="n">
        <v>44991</v>
      </c>
      <c r="F316" s="86" t="n">
        <v>0.598275462962963</v>
      </c>
      <c r="G316" s="77" t="n">
        <v>44994</v>
      </c>
      <c r="H316" s="86" t="n">
        <v>0.805798611111111</v>
      </c>
      <c r="I316" s="7" t="s">
        <v>166</v>
      </c>
      <c r="J316" s="7" t="s">
        <v>33</v>
      </c>
    </row>
    <row r="317" customFormat="false" ht="15" hidden="false" customHeight="false" outlineLevel="0" collapsed="false">
      <c r="A317" s="2" t="n">
        <v>316</v>
      </c>
      <c r="B317" s="2" t="s">
        <v>248</v>
      </c>
      <c r="C317" s="2" t="n">
        <v>2</v>
      </c>
      <c r="D317" s="2" t="n">
        <v>5</v>
      </c>
      <c r="E317" s="82" t="n">
        <v>44968</v>
      </c>
      <c r="F317" s="87" t="n">
        <v>0.899363425925926</v>
      </c>
      <c r="G317" s="82" t="n">
        <v>44972</v>
      </c>
      <c r="H317" s="87" t="n">
        <v>0.306828703703704</v>
      </c>
      <c r="I317" s="2" t="s">
        <v>497</v>
      </c>
      <c r="J317" s="2" t="s">
        <v>179</v>
      </c>
    </row>
    <row r="318" customFormat="false" ht="15" hidden="false" customHeight="false" outlineLevel="0" collapsed="false">
      <c r="A318" s="7" t="n">
        <v>317</v>
      </c>
      <c r="B318" s="7" t="s">
        <v>161</v>
      </c>
      <c r="C318" s="7" t="n">
        <v>29</v>
      </c>
      <c r="D318" s="7" t="n">
        <v>3</v>
      </c>
      <c r="E318" s="77" t="n">
        <v>44992</v>
      </c>
      <c r="F318" s="86" t="n">
        <v>0.785729166666667</v>
      </c>
      <c r="G318" s="77" t="n">
        <v>45000</v>
      </c>
      <c r="H318" s="86" t="n">
        <v>0.675578703703704</v>
      </c>
      <c r="I318" s="7" t="s">
        <v>135</v>
      </c>
      <c r="J318" s="7" t="s">
        <v>33</v>
      </c>
    </row>
    <row r="319" customFormat="false" ht="15" hidden="false" customHeight="false" outlineLevel="0" collapsed="false">
      <c r="A319" s="2" t="n">
        <v>318</v>
      </c>
      <c r="B319" s="2" t="s">
        <v>218</v>
      </c>
      <c r="C319" s="2" t="n">
        <v>26</v>
      </c>
      <c r="D319" s="2" t="n">
        <v>5</v>
      </c>
      <c r="E319" s="82" t="n">
        <v>44992</v>
      </c>
      <c r="F319" s="87" t="n">
        <v>0.510983796296296</v>
      </c>
      <c r="G319" s="82" t="n">
        <v>44996</v>
      </c>
      <c r="H319" s="87" t="n">
        <v>0.666516203703704</v>
      </c>
      <c r="I319" s="2" t="s">
        <v>414</v>
      </c>
      <c r="J319" s="2" t="s">
        <v>33</v>
      </c>
    </row>
    <row r="320" customFormat="false" ht="15" hidden="false" customHeight="false" outlineLevel="0" collapsed="false">
      <c r="A320" s="7" t="n">
        <v>319</v>
      </c>
      <c r="B320" s="7" t="s">
        <v>236</v>
      </c>
      <c r="C320" s="7" t="n">
        <v>64</v>
      </c>
      <c r="D320" s="7" t="n">
        <v>1</v>
      </c>
      <c r="E320" s="77" t="n">
        <v>45158</v>
      </c>
      <c r="F320" s="86" t="n">
        <v>0.266053240740741</v>
      </c>
      <c r="G320" s="77" t="n">
        <v>45164</v>
      </c>
      <c r="H320" s="86" t="n">
        <v>0.947488425925926</v>
      </c>
      <c r="I320" s="7" t="s">
        <v>280</v>
      </c>
      <c r="J320" s="7" t="s">
        <v>40</v>
      </c>
    </row>
    <row r="321" customFormat="false" ht="15" hidden="false" customHeight="false" outlineLevel="0" collapsed="false">
      <c r="A321" s="2" t="n">
        <v>320</v>
      </c>
      <c r="B321" s="2" t="s">
        <v>142</v>
      </c>
      <c r="C321" s="2" t="n">
        <v>13</v>
      </c>
      <c r="D321" s="2" t="n">
        <v>1</v>
      </c>
      <c r="E321" s="82" t="n">
        <v>44986</v>
      </c>
      <c r="F321" s="87" t="n">
        <v>0.326331018518519</v>
      </c>
      <c r="G321" s="82" t="n">
        <v>44993</v>
      </c>
      <c r="H321" s="87" t="n">
        <v>0.359965277777778</v>
      </c>
      <c r="I321" s="2" t="s">
        <v>277</v>
      </c>
      <c r="J321" s="2" t="s">
        <v>33</v>
      </c>
    </row>
    <row r="322" customFormat="false" ht="15" hidden="false" customHeight="false" outlineLevel="0" collapsed="false">
      <c r="A322" s="7" t="n">
        <v>321</v>
      </c>
      <c r="B322" s="7" t="s">
        <v>251</v>
      </c>
      <c r="C322" s="7" t="n">
        <v>12</v>
      </c>
      <c r="D322" s="7" t="n">
        <v>5</v>
      </c>
      <c r="E322" s="77" t="n">
        <v>44993</v>
      </c>
      <c r="F322" s="86" t="n">
        <v>0.477141203703704</v>
      </c>
      <c r="G322" s="77" t="n">
        <v>45002</v>
      </c>
      <c r="H322" s="86" t="n">
        <v>0.410914351851852</v>
      </c>
      <c r="I322" s="7" t="s">
        <v>543</v>
      </c>
      <c r="J322" s="7" t="s">
        <v>168</v>
      </c>
    </row>
    <row r="323" customFormat="false" ht="15" hidden="false" customHeight="false" outlineLevel="0" collapsed="false">
      <c r="A323" s="2" t="n">
        <v>322</v>
      </c>
      <c r="B323" s="2" t="s">
        <v>272</v>
      </c>
      <c r="C323" s="2" t="n">
        <v>15</v>
      </c>
      <c r="D323" s="2" t="n">
        <v>1</v>
      </c>
      <c r="E323" s="82" t="n">
        <v>45027</v>
      </c>
      <c r="F323" s="87" t="n">
        <v>0.35568287037037</v>
      </c>
      <c r="G323" s="82" t="n">
        <v>45031</v>
      </c>
      <c r="H323" s="87" t="n">
        <v>0.146145833333333</v>
      </c>
      <c r="I323" s="2" t="s">
        <v>597</v>
      </c>
      <c r="J323" s="2" t="s">
        <v>168</v>
      </c>
    </row>
    <row r="324" customFormat="false" ht="15" hidden="false" customHeight="false" outlineLevel="0" collapsed="false">
      <c r="A324" s="7" t="n">
        <v>323</v>
      </c>
      <c r="B324" s="7" t="s">
        <v>159</v>
      </c>
      <c r="C324" s="7" t="n">
        <v>23</v>
      </c>
      <c r="D324" s="7" t="n">
        <v>2</v>
      </c>
      <c r="E324" s="77" t="n">
        <v>44966</v>
      </c>
      <c r="F324" s="86" t="n">
        <v>0.759074074074074</v>
      </c>
      <c r="G324" s="77" t="n">
        <v>44967</v>
      </c>
      <c r="H324" s="86" t="n">
        <v>0.432349537037037</v>
      </c>
      <c r="I324" s="7" t="s">
        <v>457</v>
      </c>
      <c r="J324" s="7" t="s">
        <v>168</v>
      </c>
    </row>
    <row r="325" customFormat="false" ht="15" hidden="false" customHeight="false" outlineLevel="0" collapsed="false">
      <c r="A325" s="2" t="n">
        <v>324</v>
      </c>
      <c r="B325" s="2" t="s">
        <v>319</v>
      </c>
      <c r="C325" s="2" t="n">
        <v>14</v>
      </c>
      <c r="D325" s="2" t="n">
        <v>2</v>
      </c>
      <c r="E325" s="82" t="n">
        <v>44959</v>
      </c>
      <c r="F325" s="87" t="n">
        <v>0.782962962962963</v>
      </c>
      <c r="G325" s="82" t="n">
        <v>44968</v>
      </c>
      <c r="H325" s="87" t="n">
        <v>0.649236111111111</v>
      </c>
      <c r="I325" s="2" t="s">
        <v>513</v>
      </c>
      <c r="J325" s="2" t="s">
        <v>31</v>
      </c>
    </row>
    <row r="326" customFormat="false" ht="15" hidden="false" customHeight="false" outlineLevel="0" collapsed="false">
      <c r="A326" s="7" t="n">
        <v>325</v>
      </c>
      <c r="B326" s="7" t="s">
        <v>369</v>
      </c>
      <c r="C326" s="7" t="n">
        <v>27</v>
      </c>
      <c r="D326" s="7" t="n">
        <v>5</v>
      </c>
      <c r="E326" s="77" t="n">
        <v>45163</v>
      </c>
      <c r="F326" s="86" t="n">
        <v>0.771354166666667</v>
      </c>
      <c r="G326" s="77" t="n">
        <v>45173</v>
      </c>
      <c r="H326" s="86" t="n">
        <v>0.835150462962963</v>
      </c>
      <c r="I326" s="7" t="s">
        <v>171</v>
      </c>
      <c r="J326" s="7" t="s">
        <v>40</v>
      </c>
    </row>
    <row r="327" customFormat="false" ht="15" hidden="false" customHeight="false" outlineLevel="0" collapsed="false">
      <c r="A327" s="2" t="n">
        <v>326</v>
      </c>
      <c r="B327" s="2" t="s">
        <v>360</v>
      </c>
      <c r="C327" s="2" t="n">
        <v>34</v>
      </c>
      <c r="D327" s="2" t="n">
        <v>3</v>
      </c>
      <c r="E327" s="82" t="n">
        <v>45165</v>
      </c>
      <c r="F327" s="87" t="n">
        <v>0.652141203703704</v>
      </c>
      <c r="G327" s="82" t="n">
        <v>45172</v>
      </c>
      <c r="H327" s="87" t="n">
        <v>0.648287037037037</v>
      </c>
      <c r="I327" s="2" t="s">
        <v>519</v>
      </c>
      <c r="J327" s="2" t="s">
        <v>40</v>
      </c>
    </row>
    <row r="328" customFormat="false" ht="15" hidden="false" customHeight="false" outlineLevel="0" collapsed="false">
      <c r="A328" s="7" t="n">
        <v>327</v>
      </c>
      <c r="B328" s="7" t="s">
        <v>248</v>
      </c>
      <c r="C328" s="7" t="n">
        <v>51</v>
      </c>
      <c r="D328" s="7" t="n">
        <v>1</v>
      </c>
      <c r="E328" s="77" t="n">
        <v>45193</v>
      </c>
      <c r="F328" s="86" t="n">
        <v>0.395196759259259</v>
      </c>
      <c r="G328" s="77" t="n">
        <v>45195</v>
      </c>
      <c r="H328" s="86" t="n">
        <v>0.839641203703704</v>
      </c>
      <c r="I328" s="7" t="s">
        <v>497</v>
      </c>
      <c r="J328" s="7" t="s">
        <v>165</v>
      </c>
    </row>
    <row r="329" customFormat="false" ht="15" hidden="false" customHeight="false" outlineLevel="0" collapsed="false">
      <c r="A329" s="2" t="n">
        <v>328</v>
      </c>
      <c r="B329" s="2" t="s">
        <v>185</v>
      </c>
      <c r="C329" s="2" t="n">
        <v>23</v>
      </c>
      <c r="D329" s="2" t="n">
        <v>3</v>
      </c>
      <c r="E329" s="82" t="n">
        <v>45033</v>
      </c>
      <c r="F329" s="87" t="n">
        <v>0.744189814814815</v>
      </c>
      <c r="G329" s="82" t="n">
        <v>45038</v>
      </c>
      <c r="H329" s="87" t="n">
        <v>0.374513888888889</v>
      </c>
      <c r="I329" s="2" t="s">
        <v>479</v>
      </c>
      <c r="J329" s="2" t="s">
        <v>168</v>
      </c>
    </row>
    <row r="330" customFormat="false" ht="15" hidden="false" customHeight="false" outlineLevel="0" collapsed="false">
      <c r="A330" s="7" t="n">
        <v>329</v>
      </c>
      <c r="B330" s="7" t="s">
        <v>379</v>
      </c>
      <c r="C330" s="7" t="n">
        <v>17</v>
      </c>
      <c r="D330" s="7" t="n">
        <v>3</v>
      </c>
      <c r="E330" s="77" t="n">
        <v>45164</v>
      </c>
      <c r="F330" s="86" t="n">
        <v>0.0986458333333333</v>
      </c>
      <c r="G330" s="77" t="n">
        <v>45173</v>
      </c>
      <c r="H330" s="86" t="n">
        <v>0.131157407407407</v>
      </c>
      <c r="I330" s="7" t="s">
        <v>507</v>
      </c>
      <c r="J330" s="7" t="s">
        <v>168</v>
      </c>
    </row>
    <row r="331" customFormat="false" ht="15" hidden="false" customHeight="false" outlineLevel="0" collapsed="false">
      <c r="A331" s="2" t="n">
        <v>330</v>
      </c>
      <c r="B331" s="2" t="s">
        <v>281</v>
      </c>
      <c r="C331" s="2" t="n">
        <v>59</v>
      </c>
      <c r="D331" s="2" t="n">
        <v>2</v>
      </c>
      <c r="E331" s="82" t="n">
        <v>45162</v>
      </c>
      <c r="F331" s="87" t="n">
        <v>0.850798611111111</v>
      </c>
      <c r="G331" s="82" t="n">
        <v>45170</v>
      </c>
      <c r="H331" s="87" t="n">
        <v>0.518287037037037</v>
      </c>
      <c r="I331" s="2" t="s">
        <v>562</v>
      </c>
      <c r="J331" s="2" t="s">
        <v>40</v>
      </c>
    </row>
    <row r="332" customFormat="false" ht="15" hidden="false" customHeight="false" outlineLevel="0" collapsed="false">
      <c r="A332" s="7" t="n">
        <v>331</v>
      </c>
      <c r="B332" s="7" t="s">
        <v>183</v>
      </c>
      <c r="C332" s="7" t="n">
        <v>41</v>
      </c>
      <c r="D332" s="7" t="n">
        <v>5</v>
      </c>
      <c r="E332" s="77" t="n">
        <v>45234</v>
      </c>
      <c r="F332" s="86" t="n">
        <v>0.909675925925926</v>
      </c>
      <c r="G332" s="77" t="n">
        <v>45235</v>
      </c>
      <c r="H332" s="86" t="n">
        <v>0.592731481481482</v>
      </c>
      <c r="I332" s="7" t="s">
        <v>525</v>
      </c>
      <c r="J332" s="7" t="s">
        <v>32</v>
      </c>
    </row>
    <row r="333" customFormat="false" ht="15" hidden="false" customHeight="false" outlineLevel="0" collapsed="false">
      <c r="A333" s="2" t="n">
        <v>332</v>
      </c>
      <c r="B333" s="2" t="s">
        <v>260</v>
      </c>
      <c r="C333" s="2" t="n">
        <v>20</v>
      </c>
      <c r="D333" s="2" t="n">
        <v>5</v>
      </c>
      <c r="E333" s="82" t="n">
        <v>45027</v>
      </c>
      <c r="F333" s="87" t="n">
        <v>0.843206018518519</v>
      </c>
      <c r="G333" s="82" t="n">
        <v>45034</v>
      </c>
      <c r="H333" s="87" t="n">
        <v>0.590787037037037</v>
      </c>
      <c r="I333" s="2" t="s">
        <v>454</v>
      </c>
      <c r="J333" s="2" t="s">
        <v>168</v>
      </c>
    </row>
    <row r="334" customFormat="false" ht="15" hidden="false" customHeight="false" outlineLevel="0" collapsed="false">
      <c r="A334" s="7" t="n">
        <v>333</v>
      </c>
      <c r="B334" s="7" t="s">
        <v>392</v>
      </c>
      <c r="C334" s="7" t="n">
        <v>22</v>
      </c>
      <c r="D334" s="7" t="n">
        <v>5</v>
      </c>
      <c r="E334" s="77" t="n">
        <v>44966</v>
      </c>
      <c r="F334" s="86" t="n">
        <v>0.263368055555556</v>
      </c>
      <c r="G334" s="77" t="n">
        <v>44967</v>
      </c>
      <c r="H334" s="86" t="n">
        <v>0.157280092592593</v>
      </c>
      <c r="I334" s="7" t="s">
        <v>574</v>
      </c>
      <c r="J334" s="7" t="s">
        <v>165</v>
      </c>
    </row>
    <row r="335" customFormat="false" ht="15" hidden="false" customHeight="false" outlineLevel="0" collapsed="false">
      <c r="A335" s="2" t="n">
        <v>334</v>
      </c>
      <c r="B335" s="2" t="s">
        <v>300</v>
      </c>
      <c r="C335" s="2" t="n">
        <v>53</v>
      </c>
      <c r="D335" s="2" t="n">
        <v>1</v>
      </c>
      <c r="E335" s="82" t="n">
        <v>45166</v>
      </c>
      <c r="F335" s="87" t="n">
        <v>0.888726851851852</v>
      </c>
      <c r="G335" s="82" t="n">
        <v>45170</v>
      </c>
      <c r="H335" s="87" t="n">
        <v>0.918784722222222</v>
      </c>
      <c r="I335" s="2" t="s">
        <v>524</v>
      </c>
      <c r="J335" s="2" t="s">
        <v>40</v>
      </c>
    </row>
    <row r="336" customFormat="false" ht="15" hidden="false" customHeight="false" outlineLevel="0" collapsed="false">
      <c r="A336" s="7" t="n">
        <v>335</v>
      </c>
      <c r="B336" s="7" t="s">
        <v>159</v>
      </c>
      <c r="C336" s="7" t="n">
        <v>17</v>
      </c>
      <c r="D336" s="7" t="n">
        <v>2</v>
      </c>
      <c r="E336" s="77" t="n">
        <v>45236</v>
      </c>
      <c r="F336" s="86" t="n">
        <v>0.0899884259259259</v>
      </c>
      <c r="G336" s="77" t="n">
        <v>45238</v>
      </c>
      <c r="H336" s="86" t="n">
        <v>0.0995833333333333</v>
      </c>
      <c r="I336" s="7" t="s">
        <v>575</v>
      </c>
      <c r="J336" s="7" t="s">
        <v>168</v>
      </c>
    </row>
    <row r="337" customFormat="false" ht="15" hidden="false" customHeight="false" outlineLevel="0" collapsed="false">
      <c r="A337" s="2" t="n">
        <v>336</v>
      </c>
      <c r="B337" s="2" t="s">
        <v>309</v>
      </c>
      <c r="C337" s="2" t="n">
        <v>53</v>
      </c>
      <c r="D337" s="2" t="n">
        <v>1</v>
      </c>
      <c r="E337" s="82" t="n">
        <v>45158</v>
      </c>
      <c r="F337" s="87" t="n">
        <v>0.189166666666667</v>
      </c>
      <c r="G337" s="82" t="n">
        <v>45163</v>
      </c>
      <c r="H337" s="87" t="n">
        <v>0.829363425925926</v>
      </c>
      <c r="I337" s="2" t="s">
        <v>591</v>
      </c>
      <c r="J337" s="2" t="s">
        <v>40</v>
      </c>
    </row>
    <row r="338" customFormat="false" ht="15" hidden="false" customHeight="false" outlineLevel="0" collapsed="false">
      <c r="A338" s="7" t="n">
        <v>337</v>
      </c>
      <c r="B338" s="7" t="s">
        <v>145</v>
      </c>
      <c r="C338" s="7" t="n">
        <v>24</v>
      </c>
      <c r="D338" s="7" t="n">
        <v>3</v>
      </c>
      <c r="E338" s="77" t="n">
        <v>45062</v>
      </c>
      <c r="F338" s="86" t="n">
        <v>0.598055555555556</v>
      </c>
      <c r="G338" s="77" t="n">
        <v>45068</v>
      </c>
      <c r="H338" s="86" t="n">
        <v>0.851539351851852</v>
      </c>
      <c r="I338" s="7" t="s">
        <v>571</v>
      </c>
      <c r="J338" s="7" t="s">
        <v>31</v>
      </c>
    </row>
    <row r="339" customFormat="false" ht="15" hidden="false" customHeight="false" outlineLevel="0" collapsed="false">
      <c r="A339" s="2" t="n">
        <v>338</v>
      </c>
      <c r="B339" s="2" t="s">
        <v>357</v>
      </c>
      <c r="C339" s="2" t="n">
        <v>21</v>
      </c>
      <c r="D339" s="2" t="n">
        <v>3</v>
      </c>
      <c r="E339" s="82" t="n">
        <v>45158</v>
      </c>
      <c r="F339" s="87" t="n">
        <v>0.594340277777778</v>
      </c>
      <c r="G339" s="82" t="n">
        <v>45166</v>
      </c>
      <c r="H339" s="87" t="n">
        <v>0.0653587962962963</v>
      </c>
      <c r="I339" s="2" t="s">
        <v>519</v>
      </c>
      <c r="J339" s="2" t="s">
        <v>40</v>
      </c>
    </row>
    <row r="340" customFormat="false" ht="15" hidden="false" customHeight="false" outlineLevel="0" collapsed="false">
      <c r="A340" s="7" t="n">
        <v>339</v>
      </c>
      <c r="B340" s="7" t="s">
        <v>347</v>
      </c>
      <c r="C340" s="7" t="n">
        <v>8</v>
      </c>
      <c r="D340" s="7" t="n">
        <v>1</v>
      </c>
      <c r="E340" s="77" t="n">
        <v>45189</v>
      </c>
      <c r="F340" s="86" t="n">
        <v>0.838414351851852</v>
      </c>
      <c r="G340" s="77" t="n">
        <v>45198</v>
      </c>
      <c r="H340" s="86" t="n">
        <v>0.451608796296296</v>
      </c>
      <c r="I340" s="7" t="s">
        <v>570</v>
      </c>
      <c r="J340" s="7" t="s">
        <v>168</v>
      </c>
    </row>
    <row r="341" customFormat="false" ht="15" hidden="false" customHeight="false" outlineLevel="0" collapsed="false">
      <c r="A341" s="2" t="n">
        <v>340</v>
      </c>
      <c r="B341" s="2" t="s">
        <v>328</v>
      </c>
      <c r="C341" s="2" t="n">
        <v>38</v>
      </c>
      <c r="D341" s="2" t="n">
        <v>3</v>
      </c>
      <c r="E341" s="82" t="n">
        <v>45121</v>
      </c>
      <c r="F341" s="87" t="n">
        <v>0.328483796296296</v>
      </c>
      <c r="G341" s="82" t="n">
        <v>45129</v>
      </c>
      <c r="H341" s="87" t="n">
        <v>0.122233796296296</v>
      </c>
      <c r="I341" s="2" t="s">
        <v>324</v>
      </c>
      <c r="J341" s="2" t="s">
        <v>31</v>
      </c>
    </row>
    <row r="342" customFormat="false" ht="15" hidden="false" customHeight="false" outlineLevel="0" collapsed="false">
      <c r="A342" s="7" t="n">
        <v>341</v>
      </c>
      <c r="B342" s="7" t="s">
        <v>194</v>
      </c>
      <c r="C342" s="7" t="n">
        <v>9</v>
      </c>
      <c r="D342" s="7" t="n">
        <v>2</v>
      </c>
      <c r="E342" s="77" t="n">
        <v>45158</v>
      </c>
      <c r="F342" s="86" t="n">
        <v>0.621238425925926</v>
      </c>
      <c r="G342" s="77" t="n">
        <v>45168</v>
      </c>
      <c r="H342" s="86" t="n">
        <v>0.939039351851852</v>
      </c>
      <c r="I342" s="7" t="s">
        <v>514</v>
      </c>
      <c r="J342" s="7" t="s">
        <v>40</v>
      </c>
    </row>
    <row r="343" customFormat="false" ht="15" hidden="false" customHeight="false" outlineLevel="0" collapsed="false">
      <c r="A343" s="2" t="n">
        <v>342</v>
      </c>
      <c r="B343" s="2" t="s">
        <v>288</v>
      </c>
      <c r="C343" s="2" t="n">
        <v>36</v>
      </c>
      <c r="D343" s="2" t="n">
        <v>5</v>
      </c>
      <c r="E343" s="82" t="n">
        <v>45233</v>
      </c>
      <c r="F343" s="87" t="n">
        <v>0.169247685185185</v>
      </c>
      <c r="G343" s="82" t="n">
        <v>45238</v>
      </c>
      <c r="H343" s="87" t="n">
        <v>0.684907407407407</v>
      </c>
      <c r="I343" s="2" t="s">
        <v>553</v>
      </c>
      <c r="J343" s="2" t="s">
        <v>31</v>
      </c>
    </row>
    <row r="344" customFormat="false" ht="15" hidden="false" customHeight="false" outlineLevel="0" collapsed="false">
      <c r="A344" s="7" t="n">
        <v>343</v>
      </c>
      <c r="B344" s="7" t="s">
        <v>139</v>
      </c>
      <c r="C344" s="7" t="n">
        <v>66</v>
      </c>
      <c r="D344" s="7" t="n">
        <v>3</v>
      </c>
      <c r="E344" s="77" t="n">
        <v>44991</v>
      </c>
      <c r="F344" s="86" t="n">
        <v>0.59212962962963</v>
      </c>
      <c r="G344" s="77" t="n">
        <v>44994</v>
      </c>
      <c r="H344" s="86" t="n">
        <v>0.39380787037037</v>
      </c>
      <c r="I344" s="7" t="s">
        <v>523</v>
      </c>
      <c r="J344" s="7" t="s">
        <v>33</v>
      </c>
    </row>
    <row r="345" customFormat="false" ht="15" hidden="false" customHeight="false" outlineLevel="0" collapsed="false">
      <c r="A345" s="2" t="n">
        <v>344</v>
      </c>
      <c r="B345" s="2" t="s">
        <v>176</v>
      </c>
      <c r="C345" s="2" t="n">
        <v>28</v>
      </c>
      <c r="D345" s="2" t="n">
        <v>5</v>
      </c>
      <c r="E345" s="82" t="n">
        <v>45167</v>
      </c>
      <c r="F345" s="87" t="n">
        <v>0.71275462962963</v>
      </c>
      <c r="G345" s="82" t="n">
        <v>45172</v>
      </c>
      <c r="H345" s="87" t="n">
        <v>0.269525462962963</v>
      </c>
      <c r="I345" s="2" t="s">
        <v>595</v>
      </c>
      <c r="J345" s="2" t="s">
        <v>40</v>
      </c>
    </row>
    <row r="346" customFormat="false" ht="15" hidden="false" customHeight="false" outlineLevel="0" collapsed="false">
      <c r="A346" s="7" t="n">
        <v>345</v>
      </c>
      <c r="B346" s="7" t="s">
        <v>272</v>
      </c>
      <c r="C346" s="7" t="n">
        <v>45</v>
      </c>
      <c r="D346" s="7" t="n">
        <v>4</v>
      </c>
      <c r="E346" s="77" t="n">
        <v>45184</v>
      </c>
      <c r="F346" s="86" t="n">
        <v>0.653263888888889</v>
      </c>
      <c r="G346" s="77" t="n">
        <v>45192</v>
      </c>
      <c r="H346" s="86" t="n">
        <v>0.966331018518519</v>
      </c>
      <c r="I346" s="7" t="s">
        <v>214</v>
      </c>
      <c r="J346" s="7" t="s">
        <v>31</v>
      </c>
    </row>
    <row r="347" customFormat="false" ht="15" hidden="false" customHeight="false" outlineLevel="0" collapsed="false">
      <c r="A347" s="2" t="n">
        <v>346</v>
      </c>
      <c r="B347" s="2" t="s">
        <v>366</v>
      </c>
      <c r="C347" s="2" t="n">
        <v>50</v>
      </c>
      <c r="D347" s="2" t="n">
        <v>1</v>
      </c>
      <c r="E347" s="82" t="n">
        <v>44989</v>
      </c>
      <c r="F347" s="87" t="n">
        <v>0.975196759259259</v>
      </c>
      <c r="G347" s="82" t="n">
        <v>44997</v>
      </c>
      <c r="H347" s="87" t="n">
        <v>0.69900462962963</v>
      </c>
      <c r="I347" s="2" t="s">
        <v>529</v>
      </c>
      <c r="J347" s="2" t="s">
        <v>33</v>
      </c>
    </row>
    <row r="348" customFormat="false" ht="15" hidden="false" customHeight="false" outlineLevel="0" collapsed="false">
      <c r="A348" s="7" t="n">
        <v>347</v>
      </c>
      <c r="B348" s="7" t="s">
        <v>206</v>
      </c>
      <c r="C348" s="7" t="n">
        <v>34</v>
      </c>
      <c r="D348" s="7" t="n">
        <v>2</v>
      </c>
      <c r="E348" s="77" t="n">
        <v>45167</v>
      </c>
      <c r="F348" s="86" t="n">
        <v>0.4071875</v>
      </c>
      <c r="G348" s="77" t="n">
        <v>45177</v>
      </c>
      <c r="H348" s="86" t="n">
        <v>0.359131944444445</v>
      </c>
      <c r="I348" s="7" t="s">
        <v>564</v>
      </c>
      <c r="J348" s="7" t="s">
        <v>40</v>
      </c>
    </row>
    <row r="349" customFormat="false" ht="15" hidden="false" customHeight="false" outlineLevel="0" collapsed="false">
      <c r="A349" s="2" t="n">
        <v>348</v>
      </c>
      <c r="B349" s="2" t="s">
        <v>283</v>
      </c>
      <c r="C349" s="2" t="n">
        <v>30</v>
      </c>
      <c r="D349" s="2" t="n">
        <v>2</v>
      </c>
      <c r="E349" s="82" t="n">
        <v>45258</v>
      </c>
      <c r="F349" s="87" t="n">
        <v>0.856678240740741</v>
      </c>
      <c r="G349" s="82" t="n">
        <v>45267</v>
      </c>
      <c r="H349" s="87" t="n">
        <v>0.502071759259259</v>
      </c>
      <c r="I349" s="2" t="s">
        <v>446</v>
      </c>
      <c r="J349" s="2" t="s">
        <v>168</v>
      </c>
    </row>
    <row r="350" customFormat="false" ht="15" hidden="false" customHeight="false" outlineLevel="0" collapsed="false">
      <c r="A350" s="7" t="n">
        <v>349</v>
      </c>
      <c r="B350" s="7" t="s">
        <v>170</v>
      </c>
      <c r="C350" s="7" t="n">
        <v>44</v>
      </c>
      <c r="D350" s="7" t="n">
        <v>4</v>
      </c>
      <c r="E350" s="77" t="n">
        <v>45241</v>
      </c>
      <c r="F350" s="86" t="n">
        <v>0.147650462962963</v>
      </c>
      <c r="G350" s="77" t="n">
        <v>45242</v>
      </c>
      <c r="H350" s="86" t="n">
        <v>0.438344907407407</v>
      </c>
      <c r="I350" s="7" t="s">
        <v>443</v>
      </c>
      <c r="J350" s="7" t="s">
        <v>32</v>
      </c>
    </row>
    <row r="351" customFormat="false" ht="15" hidden="false" customHeight="false" outlineLevel="0" collapsed="false">
      <c r="A351" s="2" t="n">
        <v>350</v>
      </c>
      <c r="B351" s="2" t="s">
        <v>176</v>
      </c>
      <c r="C351" s="2" t="n">
        <v>19</v>
      </c>
      <c r="D351" s="2" t="n">
        <v>3</v>
      </c>
      <c r="E351" s="82" t="n">
        <v>44970</v>
      </c>
      <c r="F351" s="87" t="n">
        <v>0.5159375</v>
      </c>
      <c r="G351" s="82" t="n">
        <v>44979</v>
      </c>
      <c r="H351" s="87" t="n">
        <v>0.684837962962963</v>
      </c>
      <c r="I351" s="2" t="s">
        <v>462</v>
      </c>
      <c r="J351" s="2" t="s">
        <v>179</v>
      </c>
    </row>
    <row r="352" customFormat="false" ht="15" hidden="false" customHeight="false" outlineLevel="0" collapsed="false">
      <c r="A352" s="7" t="n">
        <v>351</v>
      </c>
      <c r="B352" s="7" t="s">
        <v>390</v>
      </c>
      <c r="C352" s="7" t="n">
        <v>1</v>
      </c>
      <c r="D352" s="7" t="n">
        <v>1</v>
      </c>
      <c r="E352" s="77" t="n">
        <v>44942</v>
      </c>
      <c r="F352" s="86" t="n">
        <v>0.632719907407407</v>
      </c>
      <c r="G352" s="77" t="n">
        <v>44951</v>
      </c>
      <c r="H352" s="86" t="n">
        <v>0.937488425925926</v>
      </c>
      <c r="I352" s="7" t="s">
        <v>241</v>
      </c>
      <c r="J352" s="7" t="s">
        <v>165</v>
      </c>
    </row>
    <row r="353" customFormat="false" ht="15" hidden="false" customHeight="false" outlineLevel="0" collapsed="false">
      <c r="A353" s="2" t="n">
        <v>352</v>
      </c>
      <c r="B353" s="2" t="s">
        <v>338</v>
      </c>
      <c r="C353" s="2" t="n">
        <v>28</v>
      </c>
      <c r="D353" s="2" t="n">
        <v>1</v>
      </c>
      <c r="E353" s="82" t="n">
        <v>45161</v>
      </c>
      <c r="F353" s="87" t="n">
        <v>0.992881944444444</v>
      </c>
      <c r="G353" s="82" t="n">
        <v>45171</v>
      </c>
      <c r="H353" s="87" t="n">
        <v>0.385324074074074</v>
      </c>
      <c r="I353" s="2" t="s">
        <v>214</v>
      </c>
      <c r="J353" s="2" t="s">
        <v>40</v>
      </c>
    </row>
    <row r="354" customFormat="false" ht="15" hidden="false" customHeight="false" outlineLevel="0" collapsed="false">
      <c r="A354" s="7" t="n">
        <v>353</v>
      </c>
      <c r="B354" s="7" t="s">
        <v>363</v>
      </c>
      <c r="C354" s="7" t="n">
        <v>55</v>
      </c>
      <c r="D354" s="7" t="n">
        <v>2</v>
      </c>
      <c r="E354" s="77" t="n">
        <v>45159</v>
      </c>
      <c r="F354" s="86" t="n">
        <v>0.405173611111111</v>
      </c>
      <c r="G354" s="77" t="n">
        <v>45162</v>
      </c>
      <c r="H354" s="86" t="n">
        <v>0.591828703703704</v>
      </c>
      <c r="I354" s="7" t="s">
        <v>464</v>
      </c>
      <c r="J354" s="7" t="s">
        <v>40</v>
      </c>
    </row>
    <row r="355" customFormat="false" ht="15" hidden="false" customHeight="false" outlineLevel="0" collapsed="false">
      <c r="A355" s="2" t="n">
        <v>354</v>
      </c>
      <c r="B355" s="2" t="s">
        <v>357</v>
      </c>
      <c r="C355" s="2" t="n">
        <v>13</v>
      </c>
      <c r="D355" s="2" t="n">
        <v>5</v>
      </c>
      <c r="E355" s="82" t="n">
        <v>44983</v>
      </c>
      <c r="F355" s="87" t="n">
        <v>0.726018518518519</v>
      </c>
      <c r="G355" s="82" t="n">
        <v>44991</v>
      </c>
      <c r="H355" s="87" t="n">
        <v>0.405231481481482</v>
      </c>
      <c r="I355" s="2" t="s">
        <v>506</v>
      </c>
      <c r="J355" s="2" t="s">
        <v>33</v>
      </c>
    </row>
    <row r="356" customFormat="false" ht="15" hidden="false" customHeight="false" outlineLevel="0" collapsed="false">
      <c r="A356" s="7" t="n">
        <v>355</v>
      </c>
      <c r="B356" s="7" t="s">
        <v>390</v>
      </c>
      <c r="C356" s="7" t="n">
        <v>10</v>
      </c>
      <c r="D356" s="7" t="n">
        <v>1</v>
      </c>
      <c r="E356" s="77" t="n">
        <v>45284</v>
      </c>
      <c r="F356" s="86" t="n">
        <v>0.203287037037037</v>
      </c>
      <c r="G356" s="77" t="n">
        <v>45293</v>
      </c>
      <c r="H356" s="86" t="n">
        <v>0.401770833333333</v>
      </c>
      <c r="I356" s="7" t="s">
        <v>558</v>
      </c>
      <c r="J356" s="7" t="s">
        <v>31</v>
      </c>
    </row>
    <row r="357" customFormat="false" ht="15" hidden="false" customHeight="false" outlineLevel="0" collapsed="false">
      <c r="A357" s="2" t="n">
        <v>356</v>
      </c>
      <c r="B357" s="2" t="s">
        <v>194</v>
      </c>
      <c r="C357" s="2" t="n">
        <v>14</v>
      </c>
      <c r="D357" s="2" t="n">
        <v>1</v>
      </c>
      <c r="E357" s="82" t="n">
        <v>45115</v>
      </c>
      <c r="F357" s="87" t="n">
        <v>0.0289351851851852</v>
      </c>
      <c r="G357" s="82" t="n">
        <v>45116</v>
      </c>
      <c r="H357" s="87" t="n">
        <v>0.188680555555556</v>
      </c>
      <c r="I357" s="2" t="s">
        <v>522</v>
      </c>
      <c r="J357" s="2" t="s">
        <v>31</v>
      </c>
    </row>
    <row r="358" customFormat="false" ht="15" hidden="false" customHeight="false" outlineLevel="0" collapsed="false">
      <c r="A358" s="7" t="n">
        <v>357</v>
      </c>
      <c r="B358" s="7" t="s">
        <v>291</v>
      </c>
      <c r="C358" s="7" t="n">
        <v>62</v>
      </c>
      <c r="D358" s="7" t="n">
        <v>4</v>
      </c>
      <c r="E358" s="77" t="n">
        <v>44988</v>
      </c>
      <c r="F358" s="86" t="n">
        <v>0.834236111111111</v>
      </c>
      <c r="G358" s="77" t="n">
        <v>44998</v>
      </c>
      <c r="H358" s="86" t="n">
        <v>0.871921296296296</v>
      </c>
      <c r="I358" s="7" t="s">
        <v>453</v>
      </c>
      <c r="J358" s="7" t="s">
        <v>33</v>
      </c>
    </row>
    <row r="359" customFormat="false" ht="15" hidden="false" customHeight="false" outlineLevel="0" collapsed="false">
      <c r="A359" s="2" t="n">
        <v>358</v>
      </c>
      <c r="B359" s="2" t="s">
        <v>224</v>
      </c>
      <c r="C359" s="2" t="n">
        <v>55</v>
      </c>
      <c r="D359" s="2" t="n">
        <v>1</v>
      </c>
      <c r="E359" s="82" t="n">
        <v>45158</v>
      </c>
      <c r="F359" s="87" t="n">
        <v>0.70380787037037</v>
      </c>
      <c r="G359" s="82" t="n">
        <v>45163</v>
      </c>
      <c r="H359" s="87" t="n">
        <v>0.562928240740741</v>
      </c>
      <c r="I359" s="2" t="s">
        <v>560</v>
      </c>
      <c r="J359" s="2" t="s">
        <v>40</v>
      </c>
    </row>
    <row r="360" customFormat="false" ht="15" hidden="false" customHeight="false" outlineLevel="0" collapsed="false">
      <c r="A360" s="7" t="n">
        <v>359</v>
      </c>
      <c r="B360" s="7" t="s">
        <v>260</v>
      </c>
      <c r="C360" s="7" t="n">
        <v>47</v>
      </c>
      <c r="D360" s="7" t="n">
        <v>2</v>
      </c>
      <c r="E360" s="77" t="n">
        <v>44985</v>
      </c>
      <c r="F360" s="86" t="n">
        <v>0.509444444444445</v>
      </c>
      <c r="G360" s="77" t="n">
        <v>44990</v>
      </c>
      <c r="H360" s="86" t="n">
        <v>0.855208333333333</v>
      </c>
      <c r="I360" s="7" t="s">
        <v>501</v>
      </c>
      <c r="J360" s="7" t="s">
        <v>33</v>
      </c>
    </row>
    <row r="361" customFormat="false" ht="15" hidden="false" customHeight="false" outlineLevel="0" collapsed="false">
      <c r="A361" s="2" t="n">
        <v>360</v>
      </c>
      <c r="B361" s="2" t="s">
        <v>390</v>
      </c>
      <c r="C361" s="2" t="n">
        <v>41</v>
      </c>
      <c r="D361" s="2" t="n">
        <v>1</v>
      </c>
      <c r="E361" s="82" t="n">
        <v>45236</v>
      </c>
      <c r="F361" s="87" t="n">
        <v>0.133298611111111</v>
      </c>
      <c r="G361" s="82" t="n">
        <v>45239</v>
      </c>
      <c r="H361" s="87" t="n">
        <v>0.73994212962963</v>
      </c>
      <c r="I361" s="2" t="s">
        <v>211</v>
      </c>
      <c r="J361" s="2" t="s">
        <v>32</v>
      </c>
    </row>
    <row r="362" customFormat="false" ht="15" hidden="false" customHeight="false" outlineLevel="0" collapsed="false">
      <c r="A362" s="7" t="n">
        <v>361</v>
      </c>
      <c r="B362" s="7" t="s">
        <v>251</v>
      </c>
      <c r="C362" s="7" t="n">
        <v>47</v>
      </c>
      <c r="D362" s="7" t="n">
        <v>4</v>
      </c>
      <c r="E362" s="77" t="n">
        <v>44988</v>
      </c>
      <c r="F362" s="86" t="n">
        <v>0.256898148148148</v>
      </c>
      <c r="G362" s="77" t="n">
        <v>44996</v>
      </c>
      <c r="H362" s="86" t="n">
        <v>0.356365740740741</v>
      </c>
      <c r="I362" s="7" t="s">
        <v>539</v>
      </c>
      <c r="J362" s="7" t="s">
        <v>33</v>
      </c>
    </row>
    <row r="363" customFormat="false" ht="15" hidden="false" customHeight="false" outlineLevel="0" collapsed="false">
      <c r="A363" s="2" t="n">
        <v>362</v>
      </c>
      <c r="B363" s="2" t="s">
        <v>227</v>
      </c>
      <c r="C363" s="2" t="n">
        <v>31</v>
      </c>
      <c r="D363" s="2" t="n">
        <v>2</v>
      </c>
      <c r="E363" s="82" t="n">
        <v>44995</v>
      </c>
      <c r="F363" s="87" t="n">
        <v>0.152789351851852</v>
      </c>
      <c r="G363" s="82" t="n">
        <v>45002</v>
      </c>
      <c r="H363" s="87" t="n">
        <v>0.441238425925926</v>
      </c>
      <c r="I363" s="2" t="s">
        <v>507</v>
      </c>
      <c r="J363" s="2" t="s">
        <v>165</v>
      </c>
    </row>
    <row r="364" customFormat="false" ht="15" hidden="false" customHeight="false" outlineLevel="0" collapsed="false">
      <c r="A364" s="7" t="n">
        <v>363</v>
      </c>
      <c r="B364" s="7" t="s">
        <v>181</v>
      </c>
      <c r="C364" s="7" t="n">
        <v>15</v>
      </c>
      <c r="D364" s="7" t="n">
        <v>2</v>
      </c>
      <c r="E364" s="77" t="n">
        <v>45257</v>
      </c>
      <c r="F364" s="86" t="n">
        <v>0.792372685185185</v>
      </c>
      <c r="G364" s="77" t="n">
        <v>45265</v>
      </c>
      <c r="H364" s="86" t="n">
        <v>0.0768055555555556</v>
      </c>
      <c r="I364" s="7" t="s">
        <v>238</v>
      </c>
      <c r="J364" s="7" t="s">
        <v>168</v>
      </c>
    </row>
    <row r="365" customFormat="false" ht="15" hidden="false" customHeight="false" outlineLevel="0" collapsed="false">
      <c r="A365" s="2" t="n">
        <v>364</v>
      </c>
      <c r="B365" s="2" t="s">
        <v>130</v>
      </c>
      <c r="C365" s="2" t="n">
        <v>43</v>
      </c>
      <c r="D365" s="2" t="n">
        <v>3</v>
      </c>
      <c r="E365" s="82" t="n">
        <v>45238</v>
      </c>
      <c r="F365" s="87" t="n">
        <v>0.256261574074074</v>
      </c>
      <c r="G365" s="82" t="n">
        <v>45239</v>
      </c>
      <c r="H365" s="87" t="n">
        <v>0.192743055555556</v>
      </c>
      <c r="I365" s="2" t="s">
        <v>558</v>
      </c>
      <c r="J365" s="2" t="s">
        <v>32</v>
      </c>
    </row>
    <row r="366" customFormat="false" ht="15" hidden="false" customHeight="false" outlineLevel="0" collapsed="false">
      <c r="A366" s="7" t="n">
        <v>365</v>
      </c>
      <c r="B366" s="7" t="s">
        <v>194</v>
      </c>
      <c r="C366" s="7" t="n">
        <v>8</v>
      </c>
      <c r="D366" s="7" t="n">
        <v>5</v>
      </c>
      <c r="E366" s="77" t="n">
        <v>45078</v>
      </c>
      <c r="F366" s="86" t="n">
        <v>0.647071759259259</v>
      </c>
      <c r="G366" s="77" t="n">
        <v>45081</v>
      </c>
      <c r="H366" s="86" t="n">
        <v>0.427418981481482</v>
      </c>
      <c r="I366" s="7" t="s">
        <v>129</v>
      </c>
      <c r="J366" s="7" t="s">
        <v>168</v>
      </c>
    </row>
    <row r="367" customFormat="false" ht="15" hidden="false" customHeight="false" outlineLevel="0" collapsed="false">
      <c r="A367" s="2" t="n">
        <v>366</v>
      </c>
      <c r="B367" s="2" t="s">
        <v>204</v>
      </c>
      <c r="C367" s="2" t="n">
        <v>3</v>
      </c>
      <c r="D367" s="2" t="n">
        <v>3</v>
      </c>
      <c r="E367" s="82" t="n">
        <v>44965</v>
      </c>
      <c r="F367" s="87" t="n">
        <v>0.969293981481482</v>
      </c>
      <c r="G367" s="82" t="n">
        <v>44973</v>
      </c>
      <c r="H367" s="87" t="n">
        <v>0.452523148148148</v>
      </c>
      <c r="I367" s="2" t="s">
        <v>462</v>
      </c>
      <c r="J367" s="2" t="s">
        <v>179</v>
      </c>
    </row>
    <row r="368" customFormat="false" ht="15" hidden="false" customHeight="false" outlineLevel="0" collapsed="false">
      <c r="A368" s="7" t="n">
        <v>367</v>
      </c>
      <c r="B368" s="7" t="s">
        <v>151</v>
      </c>
      <c r="C368" s="7" t="n">
        <v>47</v>
      </c>
      <c r="D368" s="7" t="n">
        <v>5</v>
      </c>
      <c r="E368" s="77" t="n">
        <v>44988</v>
      </c>
      <c r="F368" s="86" t="n">
        <v>0.0306597222222222</v>
      </c>
      <c r="G368" s="77" t="n">
        <v>44997</v>
      </c>
      <c r="H368" s="86" t="n">
        <v>0.628506944444444</v>
      </c>
      <c r="I368" s="7" t="s">
        <v>574</v>
      </c>
      <c r="J368" s="7" t="s">
        <v>33</v>
      </c>
    </row>
    <row r="369" customFormat="false" ht="15" hidden="false" customHeight="false" outlineLevel="0" collapsed="false">
      <c r="A369" s="2" t="n">
        <v>368</v>
      </c>
      <c r="B369" s="2" t="s">
        <v>230</v>
      </c>
      <c r="C369" s="2" t="n">
        <v>6</v>
      </c>
      <c r="D369" s="2" t="n">
        <v>3</v>
      </c>
      <c r="E369" s="82" t="n">
        <v>44989</v>
      </c>
      <c r="F369" s="87" t="n">
        <v>0.960671296296296</v>
      </c>
      <c r="G369" s="82" t="n">
        <v>44991</v>
      </c>
      <c r="H369" s="87" t="n">
        <v>0.119560185185185</v>
      </c>
      <c r="I369" s="2" t="s">
        <v>507</v>
      </c>
      <c r="J369" s="2" t="s">
        <v>33</v>
      </c>
    </row>
    <row r="370" customFormat="false" ht="15" hidden="false" customHeight="false" outlineLevel="0" collapsed="false">
      <c r="A370" s="7" t="n">
        <v>369</v>
      </c>
      <c r="B370" s="7" t="s">
        <v>161</v>
      </c>
      <c r="C370" s="7" t="n">
        <v>63</v>
      </c>
      <c r="D370" s="7" t="n">
        <v>3</v>
      </c>
      <c r="E370" s="77" t="n">
        <v>45145</v>
      </c>
      <c r="F370" s="86" t="n">
        <v>0.308148148148148</v>
      </c>
      <c r="G370" s="77" t="n">
        <v>45153</v>
      </c>
      <c r="H370" s="86" t="n">
        <v>0.186458333333333</v>
      </c>
      <c r="I370" s="7" t="s">
        <v>437</v>
      </c>
      <c r="J370" s="7" t="s">
        <v>165</v>
      </c>
    </row>
    <row r="371" customFormat="false" ht="15" hidden="false" customHeight="false" outlineLevel="0" collapsed="false">
      <c r="A371" s="2" t="n">
        <v>370</v>
      </c>
      <c r="B371" s="2" t="s">
        <v>319</v>
      </c>
      <c r="C371" s="2" t="n">
        <v>54</v>
      </c>
      <c r="D371" s="2" t="n">
        <v>2</v>
      </c>
      <c r="E371" s="82" t="n">
        <v>45116</v>
      </c>
      <c r="F371" s="87" t="n">
        <v>0.248368055555556</v>
      </c>
      <c r="G371" s="82" t="n">
        <v>45120</v>
      </c>
      <c r="H371" s="87" t="n">
        <v>0.792824074074074</v>
      </c>
      <c r="I371" s="2" t="s">
        <v>318</v>
      </c>
      <c r="J371" s="2" t="s">
        <v>168</v>
      </c>
    </row>
    <row r="372" customFormat="false" ht="15" hidden="false" customHeight="false" outlineLevel="0" collapsed="false">
      <c r="A372" s="7" t="n">
        <v>371</v>
      </c>
      <c r="B372" s="7" t="s">
        <v>366</v>
      </c>
      <c r="C372" s="7" t="n">
        <v>23</v>
      </c>
      <c r="D372" s="7" t="n">
        <v>4</v>
      </c>
      <c r="E372" s="77" t="n">
        <v>45061</v>
      </c>
      <c r="F372" s="86" t="n">
        <v>0.061087962962963</v>
      </c>
      <c r="G372" s="77" t="n">
        <v>45065</v>
      </c>
      <c r="H372" s="86" t="n">
        <v>0.436655092592593</v>
      </c>
      <c r="I372" s="7" t="s">
        <v>324</v>
      </c>
      <c r="J372" s="7" t="s">
        <v>168</v>
      </c>
    </row>
    <row r="373" customFormat="false" ht="15" hidden="false" customHeight="false" outlineLevel="0" collapsed="false">
      <c r="A373" s="2" t="n">
        <v>372</v>
      </c>
      <c r="B373" s="2" t="s">
        <v>139</v>
      </c>
      <c r="C373" s="2" t="n">
        <v>25</v>
      </c>
      <c r="D373" s="2" t="n">
        <v>3</v>
      </c>
      <c r="E373" s="82" t="n">
        <v>45238</v>
      </c>
      <c r="F373" s="87" t="n">
        <v>0.794733796296296</v>
      </c>
      <c r="G373" s="82" t="n">
        <v>45248</v>
      </c>
      <c r="H373" s="87" t="n">
        <v>0.769976851851852</v>
      </c>
      <c r="I373" s="2" t="s">
        <v>447</v>
      </c>
      <c r="J373" s="2" t="s">
        <v>168</v>
      </c>
    </row>
    <row r="374" customFormat="false" ht="15" hidden="false" customHeight="false" outlineLevel="0" collapsed="false">
      <c r="A374" s="7" t="n">
        <v>373</v>
      </c>
      <c r="B374" s="7" t="s">
        <v>190</v>
      </c>
      <c r="C374" s="7" t="n">
        <v>65</v>
      </c>
      <c r="D374" s="7" t="n">
        <v>2</v>
      </c>
      <c r="E374" s="77" t="n">
        <v>45084</v>
      </c>
      <c r="F374" s="86" t="n">
        <v>0.867488425925926</v>
      </c>
      <c r="G374" s="77" t="n">
        <v>45087</v>
      </c>
      <c r="H374" s="86" t="n">
        <v>0.99837962962963</v>
      </c>
      <c r="I374" s="7" t="s">
        <v>513</v>
      </c>
      <c r="J374" s="7" t="s">
        <v>165</v>
      </c>
    </row>
    <row r="375" customFormat="false" ht="15" hidden="false" customHeight="false" outlineLevel="0" collapsed="false">
      <c r="A375" s="2" t="n">
        <v>374</v>
      </c>
      <c r="B375" s="2" t="s">
        <v>357</v>
      </c>
      <c r="C375" s="2" t="n">
        <v>4</v>
      </c>
      <c r="D375" s="2" t="n">
        <v>1</v>
      </c>
      <c r="E375" s="82" t="n">
        <v>45237</v>
      </c>
      <c r="F375" s="87" t="n">
        <v>0.324675925925926</v>
      </c>
      <c r="G375" s="82" t="n">
        <v>45239</v>
      </c>
      <c r="H375" s="87" t="n">
        <v>0.939398148148148</v>
      </c>
      <c r="I375" s="2" t="s">
        <v>397</v>
      </c>
      <c r="J375" s="2" t="s">
        <v>32</v>
      </c>
    </row>
    <row r="376" customFormat="false" ht="15" hidden="false" customHeight="false" outlineLevel="0" collapsed="false">
      <c r="A376" s="7" t="n">
        <v>375</v>
      </c>
      <c r="B376" s="7" t="s">
        <v>369</v>
      </c>
      <c r="C376" s="7" t="n">
        <v>46</v>
      </c>
      <c r="D376" s="7" t="n">
        <v>1</v>
      </c>
      <c r="E376" s="77" t="n">
        <v>44968</v>
      </c>
      <c r="F376" s="86" t="n">
        <v>0.17806712962963</v>
      </c>
      <c r="G376" s="77" t="n">
        <v>44977</v>
      </c>
      <c r="H376" s="86" t="n">
        <v>0.817800925925926</v>
      </c>
      <c r="I376" s="7" t="s">
        <v>499</v>
      </c>
      <c r="J376" s="7" t="s">
        <v>168</v>
      </c>
    </row>
    <row r="377" customFormat="false" ht="15" hidden="false" customHeight="false" outlineLevel="0" collapsed="false">
      <c r="A377" s="2" t="n">
        <v>376</v>
      </c>
      <c r="B377" s="2" t="s">
        <v>385</v>
      </c>
      <c r="C377" s="2" t="n">
        <v>10</v>
      </c>
      <c r="D377" s="2" t="n">
        <v>2</v>
      </c>
      <c r="E377" s="82" t="n">
        <v>45060</v>
      </c>
      <c r="F377" s="87" t="n">
        <v>0.846203703703704</v>
      </c>
      <c r="G377" s="82" t="n">
        <v>45065</v>
      </c>
      <c r="H377" s="87" t="n">
        <v>0.991689814814815</v>
      </c>
      <c r="I377" s="2" t="s">
        <v>290</v>
      </c>
      <c r="J377" s="2" t="s">
        <v>31</v>
      </c>
    </row>
    <row r="378" customFormat="false" ht="15" hidden="false" customHeight="false" outlineLevel="0" collapsed="false">
      <c r="A378" s="7" t="n">
        <v>377</v>
      </c>
      <c r="B378" s="7" t="s">
        <v>159</v>
      </c>
      <c r="C378" s="7" t="n">
        <v>55</v>
      </c>
      <c r="D378" s="7" t="n">
        <v>4</v>
      </c>
      <c r="E378" s="77" t="n">
        <v>45164</v>
      </c>
      <c r="F378" s="86" t="n">
        <v>0.357013888888889</v>
      </c>
      <c r="G378" s="77" t="n">
        <v>45169</v>
      </c>
      <c r="H378" s="86" t="n">
        <v>0.491076388888889</v>
      </c>
      <c r="I378" s="7" t="s">
        <v>387</v>
      </c>
      <c r="J378" s="7" t="s">
        <v>40</v>
      </c>
    </row>
    <row r="379" customFormat="false" ht="15" hidden="false" customHeight="false" outlineLevel="0" collapsed="false">
      <c r="A379" s="2" t="n">
        <v>378</v>
      </c>
      <c r="B379" s="2" t="s">
        <v>224</v>
      </c>
      <c r="C379" s="2" t="n">
        <v>6</v>
      </c>
      <c r="D379" s="2" t="n">
        <v>2</v>
      </c>
      <c r="E379" s="82" t="n">
        <v>44986</v>
      </c>
      <c r="F379" s="87" t="n">
        <v>0.479398148148148</v>
      </c>
      <c r="G379" s="82" t="n">
        <v>44993</v>
      </c>
      <c r="H379" s="87" t="n">
        <v>0.810324074074074</v>
      </c>
      <c r="I379" s="2" t="s">
        <v>410</v>
      </c>
      <c r="J379" s="2" t="s">
        <v>33</v>
      </c>
    </row>
    <row r="380" customFormat="false" ht="15" hidden="false" customHeight="false" outlineLevel="0" collapsed="false">
      <c r="A380" s="7" t="n">
        <v>379</v>
      </c>
      <c r="B380" s="7" t="s">
        <v>334</v>
      </c>
      <c r="C380" s="7" t="n">
        <v>66</v>
      </c>
      <c r="D380" s="7" t="n">
        <v>1</v>
      </c>
      <c r="E380" s="77" t="n">
        <v>44988</v>
      </c>
      <c r="F380" s="86" t="n">
        <v>0.980335648148148</v>
      </c>
      <c r="G380" s="77" t="n">
        <v>44991</v>
      </c>
      <c r="H380" s="86" t="n">
        <v>0.447256944444445</v>
      </c>
      <c r="I380" s="7" t="s">
        <v>238</v>
      </c>
      <c r="J380" s="7" t="s">
        <v>33</v>
      </c>
    </row>
    <row r="381" customFormat="false" ht="15" hidden="false" customHeight="false" outlineLevel="0" collapsed="false">
      <c r="A381" s="2" t="n">
        <v>380</v>
      </c>
      <c r="B381" s="2" t="s">
        <v>148</v>
      </c>
      <c r="C381" s="2" t="n">
        <v>60</v>
      </c>
      <c r="D381" s="2" t="n">
        <v>4</v>
      </c>
      <c r="E381" s="82" t="n">
        <v>45238</v>
      </c>
      <c r="F381" s="87" t="n">
        <v>0.564606481481482</v>
      </c>
      <c r="G381" s="82" t="n">
        <v>45245</v>
      </c>
      <c r="H381" s="87" t="n">
        <v>0.986539351851852</v>
      </c>
      <c r="I381" s="2" t="s">
        <v>271</v>
      </c>
      <c r="J381" s="2" t="s">
        <v>32</v>
      </c>
    </row>
    <row r="382" customFormat="false" ht="15" hidden="false" customHeight="false" outlineLevel="0" collapsed="false">
      <c r="A382" s="7" t="n">
        <v>381</v>
      </c>
      <c r="B382" s="7" t="s">
        <v>159</v>
      </c>
      <c r="C382" s="7" t="n">
        <v>25</v>
      </c>
      <c r="D382" s="7" t="n">
        <v>3</v>
      </c>
      <c r="E382" s="77" t="n">
        <v>44951</v>
      </c>
      <c r="F382" s="86" t="n">
        <v>0.770868055555556</v>
      </c>
      <c r="G382" s="77" t="n">
        <v>44954</v>
      </c>
      <c r="H382" s="86" t="n">
        <v>0.264652777777778</v>
      </c>
      <c r="I382" s="7" t="s">
        <v>591</v>
      </c>
      <c r="J382" s="7" t="s">
        <v>168</v>
      </c>
    </row>
    <row r="383" customFormat="false" ht="15" hidden="false" customHeight="false" outlineLevel="0" collapsed="false">
      <c r="A383" s="2" t="n">
        <v>382</v>
      </c>
      <c r="B383" s="2" t="s">
        <v>130</v>
      </c>
      <c r="C383" s="2" t="n">
        <v>24</v>
      </c>
      <c r="D383" s="2" t="n">
        <v>1</v>
      </c>
      <c r="E383" s="82" t="n">
        <v>45080</v>
      </c>
      <c r="F383" s="87" t="n">
        <v>0.418275462962963</v>
      </c>
      <c r="G383" s="82" t="n">
        <v>45090</v>
      </c>
      <c r="H383" s="87" t="n">
        <v>0.912361111111111</v>
      </c>
      <c r="I383" s="2" t="s">
        <v>447</v>
      </c>
      <c r="J383" s="2" t="s">
        <v>31</v>
      </c>
    </row>
    <row r="384" customFormat="false" ht="15" hidden="false" customHeight="false" outlineLevel="0" collapsed="false">
      <c r="A384" s="7" t="n">
        <v>383</v>
      </c>
      <c r="B384" s="7" t="s">
        <v>167</v>
      </c>
      <c r="C384" s="7" t="n">
        <v>37</v>
      </c>
      <c r="D384" s="7" t="n">
        <v>1</v>
      </c>
      <c r="E384" s="77" t="n">
        <v>45236</v>
      </c>
      <c r="F384" s="86" t="n">
        <v>0.0116319444444444</v>
      </c>
      <c r="G384" s="77" t="n">
        <v>45238</v>
      </c>
      <c r="H384" s="86" t="n">
        <v>0.840185185185185</v>
      </c>
      <c r="I384" s="7" t="s">
        <v>519</v>
      </c>
      <c r="J384" s="7" t="s">
        <v>32</v>
      </c>
    </row>
    <row r="385" customFormat="false" ht="15" hidden="false" customHeight="false" outlineLevel="0" collapsed="false">
      <c r="A385" s="2" t="n">
        <v>384</v>
      </c>
      <c r="B385" s="2" t="s">
        <v>133</v>
      </c>
      <c r="C385" s="2" t="n">
        <v>25</v>
      </c>
      <c r="D385" s="2" t="n">
        <v>3</v>
      </c>
      <c r="E385" s="82" t="n">
        <v>45057</v>
      </c>
      <c r="F385" s="87" t="n">
        <v>0.706909722222222</v>
      </c>
      <c r="G385" s="82" t="n">
        <v>45061</v>
      </c>
      <c r="H385" s="87" t="n">
        <v>0.581400462962963</v>
      </c>
      <c r="I385" s="2" t="s">
        <v>241</v>
      </c>
      <c r="J385" s="2" t="s">
        <v>168</v>
      </c>
    </row>
    <row r="386" customFormat="false" ht="15" hidden="false" customHeight="false" outlineLevel="0" collapsed="false">
      <c r="A386" s="7" t="n">
        <v>385</v>
      </c>
      <c r="B386" s="7" t="s">
        <v>127</v>
      </c>
      <c r="C386" s="7" t="n">
        <v>50</v>
      </c>
      <c r="D386" s="7" t="n">
        <v>4</v>
      </c>
      <c r="E386" s="77" t="n">
        <v>44988</v>
      </c>
      <c r="F386" s="86" t="n">
        <v>0.0527893518518519</v>
      </c>
      <c r="G386" s="77" t="n">
        <v>44993</v>
      </c>
      <c r="H386" s="86" t="n">
        <v>0.448819444444444</v>
      </c>
      <c r="I386" s="7" t="s">
        <v>156</v>
      </c>
      <c r="J386" s="7" t="s">
        <v>33</v>
      </c>
    </row>
    <row r="387" customFormat="false" ht="15" hidden="false" customHeight="false" outlineLevel="0" collapsed="false">
      <c r="A387" s="2" t="n">
        <v>386</v>
      </c>
      <c r="B387" s="2" t="s">
        <v>369</v>
      </c>
      <c r="C387" s="2" t="n">
        <v>5</v>
      </c>
      <c r="D387" s="2" t="n">
        <v>4</v>
      </c>
      <c r="E387" s="82" t="n">
        <v>45081</v>
      </c>
      <c r="F387" s="87" t="n">
        <v>0.533159722222222</v>
      </c>
      <c r="G387" s="82" t="n">
        <v>45091</v>
      </c>
      <c r="H387" s="87" t="n">
        <v>0.899085648148148</v>
      </c>
      <c r="I387" s="2" t="s">
        <v>430</v>
      </c>
      <c r="J387" s="2" t="s">
        <v>165</v>
      </c>
    </row>
    <row r="388" customFormat="false" ht="15" hidden="false" customHeight="false" outlineLevel="0" collapsed="false">
      <c r="A388" s="7" t="n">
        <v>387</v>
      </c>
      <c r="B388" s="7" t="s">
        <v>285</v>
      </c>
      <c r="C388" s="7" t="n">
        <v>1</v>
      </c>
      <c r="D388" s="7" t="n">
        <v>2</v>
      </c>
      <c r="E388" s="77" t="n">
        <v>45046</v>
      </c>
      <c r="F388" s="86" t="n">
        <v>0.235011574074074</v>
      </c>
      <c r="G388" s="77" t="n">
        <v>45055</v>
      </c>
      <c r="H388" s="86" t="n">
        <v>0.0944212962962963</v>
      </c>
      <c r="I388" s="7" t="s">
        <v>132</v>
      </c>
      <c r="J388" s="7" t="s">
        <v>165</v>
      </c>
    </row>
    <row r="389" customFormat="false" ht="15" hidden="false" customHeight="false" outlineLevel="0" collapsed="false">
      <c r="A389" s="2" t="n">
        <v>388</v>
      </c>
      <c r="B389" s="2" t="s">
        <v>300</v>
      </c>
      <c r="C389" s="2" t="n">
        <v>36</v>
      </c>
      <c r="D389" s="2" t="n">
        <v>2</v>
      </c>
      <c r="E389" s="82" t="n">
        <v>45240</v>
      </c>
      <c r="F389" s="87" t="n">
        <v>0.0105324074074074</v>
      </c>
      <c r="G389" s="82" t="n">
        <v>45248</v>
      </c>
      <c r="H389" s="87" t="n">
        <v>0.442430555555556</v>
      </c>
      <c r="I389" s="2" t="s">
        <v>434</v>
      </c>
      <c r="J389" s="2" t="s">
        <v>31</v>
      </c>
    </row>
    <row r="390" customFormat="false" ht="15" hidden="false" customHeight="false" outlineLevel="0" collapsed="false">
      <c r="A390" s="7" t="n">
        <v>389</v>
      </c>
      <c r="B390" s="7" t="s">
        <v>285</v>
      </c>
      <c r="C390" s="7" t="n">
        <v>29</v>
      </c>
      <c r="D390" s="7" t="n">
        <v>2</v>
      </c>
      <c r="E390" s="77" t="n">
        <v>44991</v>
      </c>
      <c r="F390" s="86" t="n">
        <v>0.143263888888889</v>
      </c>
      <c r="G390" s="77" t="n">
        <v>45001</v>
      </c>
      <c r="H390" s="86" t="n">
        <v>0.759490740740741</v>
      </c>
      <c r="I390" s="7" t="s">
        <v>478</v>
      </c>
      <c r="J390" s="7" t="s">
        <v>33</v>
      </c>
    </row>
    <row r="391" customFormat="false" ht="15" hidden="false" customHeight="false" outlineLevel="0" collapsed="false">
      <c r="A391" s="2" t="n">
        <v>390</v>
      </c>
      <c r="B391" s="2" t="s">
        <v>233</v>
      </c>
      <c r="C391" s="2" t="n">
        <v>26</v>
      </c>
      <c r="D391" s="2" t="n">
        <v>4</v>
      </c>
      <c r="E391" s="82" t="n">
        <v>44988</v>
      </c>
      <c r="F391" s="87" t="n">
        <v>0.653425925925926</v>
      </c>
      <c r="G391" s="82" t="n">
        <v>44995</v>
      </c>
      <c r="H391" s="87" t="n">
        <v>0.959803240740741</v>
      </c>
      <c r="I391" s="2" t="s">
        <v>144</v>
      </c>
      <c r="J391" s="2" t="s">
        <v>33</v>
      </c>
    </row>
    <row r="392" customFormat="false" ht="15" hidden="false" customHeight="false" outlineLevel="0" collapsed="false">
      <c r="A392" s="7" t="n">
        <v>391</v>
      </c>
      <c r="B392" s="7" t="s">
        <v>347</v>
      </c>
      <c r="C392" s="7" t="n">
        <v>22</v>
      </c>
      <c r="D392" s="7" t="n">
        <v>4</v>
      </c>
      <c r="E392" s="77" t="n">
        <v>45289</v>
      </c>
      <c r="F392" s="86" t="n">
        <v>0.572291666666667</v>
      </c>
      <c r="G392" s="77" t="n">
        <v>45298</v>
      </c>
      <c r="H392" s="86" t="n">
        <v>0.540752314814815</v>
      </c>
      <c r="I392" s="7" t="s">
        <v>203</v>
      </c>
      <c r="J392" s="7" t="s">
        <v>165</v>
      </c>
    </row>
    <row r="393" customFormat="false" ht="15" hidden="false" customHeight="false" outlineLevel="0" collapsed="false">
      <c r="A393" s="2" t="n">
        <v>392</v>
      </c>
      <c r="B393" s="2" t="s">
        <v>353</v>
      </c>
      <c r="C393" s="2" t="n">
        <v>4</v>
      </c>
      <c r="D393" s="2" t="n">
        <v>2</v>
      </c>
      <c r="E393" s="82" t="n">
        <v>45235</v>
      </c>
      <c r="F393" s="87" t="n">
        <v>0.138136574074074</v>
      </c>
      <c r="G393" s="82" t="n">
        <v>45236</v>
      </c>
      <c r="H393" s="87" t="n">
        <v>0.786909722222222</v>
      </c>
      <c r="I393" s="2" t="s">
        <v>381</v>
      </c>
      <c r="J393" s="2" t="s">
        <v>32</v>
      </c>
    </row>
    <row r="394" customFormat="false" ht="15" hidden="false" customHeight="false" outlineLevel="0" collapsed="false">
      <c r="A394" s="7" t="n">
        <v>393</v>
      </c>
      <c r="B394" s="7" t="s">
        <v>357</v>
      </c>
      <c r="C394" s="7" t="n">
        <v>17</v>
      </c>
      <c r="D394" s="7" t="n">
        <v>5</v>
      </c>
      <c r="E394" s="77" t="n">
        <v>45244</v>
      </c>
      <c r="F394" s="86" t="n">
        <v>0.459236111111111</v>
      </c>
      <c r="G394" s="77" t="n">
        <v>45252</v>
      </c>
      <c r="H394" s="86" t="n">
        <v>0.674143518518519</v>
      </c>
      <c r="I394" s="7" t="s">
        <v>572</v>
      </c>
      <c r="J394" s="7" t="s">
        <v>168</v>
      </c>
    </row>
    <row r="395" customFormat="false" ht="15" hidden="false" customHeight="false" outlineLevel="0" collapsed="false">
      <c r="A395" s="2" t="n">
        <v>394</v>
      </c>
      <c r="B395" s="2" t="s">
        <v>194</v>
      </c>
      <c r="C395" s="2" t="n">
        <v>38</v>
      </c>
      <c r="D395" s="2" t="n">
        <v>5</v>
      </c>
      <c r="E395" s="82" t="n">
        <v>45008</v>
      </c>
      <c r="F395" s="87" t="n">
        <v>0.185150462962963</v>
      </c>
      <c r="G395" s="82" t="n">
        <v>45016</v>
      </c>
      <c r="H395" s="87" t="n">
        <v>0.809699074074074</v>
      </c>
      <c r="I395" s="2" t="s">
        <v>337</v>
      </c>
      <c r="J395" s="2" t="s">
        <v>31</v>
      </c>
    </row>
    <row r="396" customFormat="false" ht="15" hidden="false" customHeight="false" outlineLevel="0" collapsed="false">
      <c r="A396" s="7" t="n">
        <v>395</v>
      </c>
      <c r="B396" s="7" t="s">
        <v>303</v>
      </c>
      <c r="C396" s="7" t="n">
        <v>26</v>
      </c>
      <c r="D396" s="7" t="n">
        <v>2</v>
      </c>
      <c r="E396" s="77" t="n">
        <v>44988</v>
      </c>
      <c r="F396" s="86" t="n">
        <v>0.968680555555556</v>
      </c>
      <c r="G396" s="77" t="n">
        <v>44991</v>
      </c>
      <c r="H396" s="86" t="n">
        <v>0.772650462962963</v>
      </c>
      <c r="I396" s="7" t="s">
        <v>414</v>
      </c>
      <c r="J396" s="7" t="s">
        <v>33</v>
      </c>
    </row>
    <row r="397" customFormat="false" ht="15" hidden="false" customHeight="false" outlineLevel="0" collapsed="false">
      <c r="A397" s="2" t="n">
        <v>396</v>
      </c>
      <c r="B397" s="2" t="s">
        <v>306</v>
      </c>
      <c r="C397" s="2" t="n">
        <v>10</v>
      </c>
      <c r="D397" s="2" t="n">
        <v>5</v>
      </c>
      <c r="E397" s="82" t="n">
        <v>45000</v>
      </c>
      <c r="F397" s="87" t="n">
        <v>0.64650462962963</v>
      </c>
      <c r="G397" s="82" t="n">
        <v>45001</v>
      </c>
      <c r="H397" s="87" t="n">
        <v>0.0729282407407407</v>
      </c>
      <c r="I397" s="2" t="s">
        <v>595</v>
      </c>
      <c r="J397" s="2" t="s">
        <v>31</v>
      </c>
    </row>
    <row r="398" customFormat="false" ht="15" hidden="false" customHeight="false" outlineLevel="0" collapsed="false">
      <c r="A398" s="7" t="n">
        <v>397</v>
      </c>
      <c r="B398" s="7" t="s">
        <v>206</v>
      </c>
      <c r="C398" s="7" t="n">
        <v>4</v>
      </c>
      <c r="D398" s="7" t="n">
        <v>5</v>
      </c>
      <c r="E398" s="77" t="n">
        <v>45239</v>
      </c>
      <c r="F398" s="86" t="n">
        <v>0.2834375</v>
      </c>
      <c r="G398" s="77" t="n">
        <v>45244</v>
      </c>
      <c r="H398" s="86" t="n">
        <v>0.564282407407407</v>
      </c>
      <c r="I398" s="7" t="s">
        <v>443</v>
      </c>
      <c r="J398" s="7" t="s">
        <v>32</v>
      </c>
    </row>
    <row r="399" customFormat="false" ht="15" hidden="false" customHeight="false" outlineLevel="0" collapsed="false">
      <c r="A399" s="2" t="n">
        <v>398</v>
      </c>
      <c r="B399" s="2" t="s">
        <v>338</v>
      </c>
      <c r="C399" s="2" t="n">
        <v>54</v>
      </c>
      <c r="D399" s="2" t="n">
        <v>1</v>
      </c>
      <c r="E399" s="82" t="n">
        <v>45051</v>
      </c>
      <c r="F399" s="87" t="n">
        <v>0.364826388888889</v>
      </c>
      <c r="G399" s="82" t="n">
        <v>45061</v>
      </c>
      <c r="H399" s="87" t="n">
        <v>0.417858796296296</v>
      </c>
      <c r="I399" s="2" t="s">
        <v>327</v>
      </c>
      <c r="J399" s="2" t="s">
        <v>168</v>
      </c>
    </row>
    <row r="400" customFormat="false" ht="15" hidden="false" customHeight="false" outlineLevel="0" collapsed="false">
      <c r="A400" s="7" t="n">
        <v>399</v>
      </c>
      <c r="B400" s="7" t="s">
        <v>145</v>
      </c>
      <c r="C400" s="7" t="n">
        <v>68</v>
      </c>
      <c r="D400" s="7" t="n">
        <v>1</v>
      </c>
      <c r="E400" s="77" t="n">
        <v>44965</v>
      </c>
      <c r="F400" s="86" t="n">
        <v>0.265127314814815</v>
      </c>
      <c r="G400" s="77" t="n">
        <v>44972</v>
      </c>
      <c r="H400" s="86" t="n">
        <v>0.297384259259259</v>
      </c>
      <c r="I400" s="7" t="s">
        <v>203</v>
      </c>
      <c r="J400" s="7" t="s">
        <v>179</v>
      </c>
    </row>
    <row r="401" customFormat="false" ht="15" hidden="false" customHeight="false" outlineLevel="0" collapsed="false">
      <c r="A401" s="2" t="n">
        <v>400</v>
      </c>
      <c r="B401" s="2" t="s">
        <v>347</v>
      </c>
      <c r="C401" s="2" t="n">
        <v>45</v>
      </c>
      <c r="D401" s="2" t="n">
        <v>3</v>
      </c>
      <c r="E401" s="82" t="n">
        <v>45053</v>
      </c>
      <c r="F401" s="87" t="n">
        <v>0.58681712962963</v>
      </c>
      <c r="G401" s="82" t="n">
        <v>45061</v>
      </c>
      <c r="H401" s="87" t="n">
        <v>0.75755787037037</v>
      </c>
      <c r="I401" s="2" t="s">
        <v>469</v>
      </c>
      <c r="J401" s="2" t="s">
        <v>31</v>
      </c>
    </row>
    <row r="402" customFormat="false" ht="15" hidden="false" customHeight="false" outlineLevel="0" collapsed="false">
      <c r="A402" s="7" t="n">
        <v>401</v>
      </c>
      <c r="B402" s="7" t="s">
        <v>363</v>
      </c>
      <c r="C402" s="7" t="n">
        <v>9</v>
      </c>
      <c r="D402" s="7" t="n">
        <v>5</v>
      </c>
      <c r="E402" s="77" t="n">
        <v>45167</v>
      </c>
      <c r="F402" s="86" t="n">
        <v>0.828854166666667</v>
      </c>
      <c r="G402" s="77" t="n">
        <v>45173</v>
      </c>
      <c r="H402" s="86" t="n">
        <v>0.30494212962963</v>
      </c>
      <c r="I402" s="7" t="s">
        <v>232</v>
      </c>
      <c r="J402" s="7" t="s">
        <v>40</v>
      </c>
    </row>
    <row r="403" customFormat="false" ht="15" hidden="false" customHeight="false" outlineLevel="0" collapsed="false">
      <c r="A403" s="2" t="n">
        <v>402</v>
      </c>
      <c r="B403" s="2" t="s">
        <v>215</v>
      </c>
      <c r="C403" s="2" t="n">
        <v>29</v>
      </c>
      <c r="D403" s="2" t="n">
        <v>1</v>
      </c>
      <c r="E403" s="82" t="n">
        <v>44990</v>
      </c>
      <c r="F403" s="87" t="n">
        <v>0.696168981481481</v>
      </c>
      <c r="G403" s="82" t="n">
        <v>44993</v>
      </c>
      <c r="H403" s="87" t="n">
        <v>0.564467592592593</v>
      </c>
      <c r="I403" s="2" t="s">
        <v>589</v>
      </c>
      <c r="J403" s="2" t="s">
        <v>33</v>
      </c>
    </row>
    <row r="404" customFormat="false" ht="15" hidden="false" customHeight="false" outlineLevel="0" collapsed="false">
      <c r="A404" s="7" t="n">
        <v>403</v>
      </c>
      <c r="B404" s="7" t="s">
        <v>325</v>
      </c>
      <c r="C404" s="7" t="n">
        <v>57</v>
      </c>
      <c r="D404" s="7" t="n">
        <v>1</v>
      </c>
      <c r="E404" s="77" t="n">
        <v>44932</v>
      </c>
      <c r="F404" s="86" t="n">
        <v>0.489907407407407</v>
      </c>
      <c r="G404" s="77" t="n">
        <v>44942</v>
      </c>
      <c r="H404" s="86" t="n">
        <v>0.842662037037037</v>
      </c>
      <c r="I404" s="7" t="s">
        <v>305</v>
      </c>
      <c r="J404" s="7" t="s">
        <v>31</v>
      </c>
    </row>
    <row r="405" customFormat="false" ht="15" hidden="false" customHeight="false" outlineLevel="0" collapsed="false">
      <c r="A405" s="2" t="n">
        <v>404</v>
      </c>
      <c r="B405" s="2" t="s">
        <v>269</v>
      </c>
      <c r="C405" s="2" t="n">
        <v>21</v>
      </c>
      <c r="D405" s="2" t="n">
        <v>5</v>
      </c>
      <c r="E405" s="82" t="n">
        <v>45160</v>
      </c>
      <c r="F405" s="87" t="n">
        <v>0.330092592592593</v>
      </c>
      <c r="G405" s="82" t="n">
        <v>45162</v>
      </c>
      <c r="H405" s="87" t="n">
        <v>0.935636574074074</v>
      </c>
      <c r="I405" s="2" t="s">
        <v>574</v>
      </c>
      <c r="J405" s="2" t="s">
        <v>40</v>
      </c>
    </row>
    <row r="406" customFormat="false" ht="15" hidden="false" customHeight="false" outlineLevel="0" collapsed="false">
      <c r="A406" s="7" t="n">
        <v>405</v>
      </c>
      <c r="B406" s="7" t="s">
        <v>204</v>
      </c>
      <c r="C406" s="7" t="n">
        <v>49</v>
      </c>
      <c r="D406" s="7" t="n">
        <v>1</v>
      </c>
      <c r="E406" s="77" t="n">
        <v>44967</v>
      </c>
      <c r="F406" s="86" t="n">
        <v>0.961967592592593</v>
      </c>
      <c r="G406" s="77" t="n">
        <v>44975</v>
      </c>
      <c r="H406" s="86" t="n">
        <v>0.616412037037037</v>
      </c>
      <c r="I406" s="7" t="s">
        <v>401</v>
      </c>
      <c r="J406" s="7" t="s">
        <v>179</v>
      </c>
    </row>
    <row r="407" customFormat="false" ht="15" hidden="false" customHeight="false" outlineLevel="0" collapsed="false">
      <c r="A407" s="2" t="n">
        <v>406</v>
      </c>
      <c r="B407" s="2" t="s">
        <v>251</v>
      </c>
      <c r="C407" s="2" t="n">
        <v>55</v>
      </c>
      <c r="D407" s="2" t="n">
        <v>4</v>
      </c>
      <c r="E407" s="82" t="n">
        <v>45163</v>
      </c>
      <c r="F407" s="87" t="n">
        <v>0.666168981481482</v>
      </c>
      <c r="G407" s="82" t="n">
        <v>45171</v>
      </c>
      <c r="H407" s="87" t="n">
        <v>0.266585648148148</v>
      </c>
      <c r="I407" s="2" t="s">
        <v>576</v>
      </c>
      <c r="J407" s="2" t="s">
        <v>40</v>
      </c>
    </row>
    <row r="408" customFormat="false" ht="15" hidden="false" customHeight="false" outlineLevel="0" collapsed="false">
      <c r="A408" s="7" t="n">
        <v>407</v>
      </c>
      <c r="B408" s="7" t="s">
        <v>322</v>
      </c>
      <c r="C408" s="7" t="n">
        <v>69</v>
      </c>
      <c r="D408" s="7" t="n">
        <v>3</v>
      </c>
      <c r="E408" s="77" t="n">
        <v>44983</v>
      </c>
      <c r="F408" s="86" t="n">
        <v>0.369571759259259</v>
      </c>
      <c r="G408" s="77" t="n">
        <v>44985</v>
      </c>
      <c r="H408" s="86" t="n">
        <v>0.173425925925926</v>
      </c>
      <c r="I408" s="7" t="s">
        <v>436</v>
      </c>
      <c r="J408" s="7" t="s">
        <v>33</v>
      </c>
    </row>
    <row r="409" customFormat="false" ht="15" hidden="false" customHeight="false" outlineLevel="0" collapsed="false">
      <c r="A409" s="2" t="n">
        <v>408</v>
      </c>
      <c r="B409" s="2" t="s">
        <v>291</v>
      </c>
      <c r="C409" s="2" t="n">
        <v>31</v>
      </c>
      <c r="D409" s="2" t="n">
        <v>2</v>
      </c>
      <c r="E409" s="82" t="n">
        <v>44990</v>
      </c>
      <c r="F409" s="87" t="n">
        <v>0.51349537037037</v>
      </c>
      <c r="G409" s="82" t="n">
        <v>44996</v>
      </c>
      <c r="H409" s="87" t="n">
        <v>0.195578703703704</v>
      </c>
      <c r="I409" s="2" t="s">
        <v>404</v>
      </c>
      <c r="J409" s="2" t="s">
        <v>165</v>
      </c>
    </row>
    <row r="410" customFormat="false" ht="15" hidden="false" customHeight="false" outlineLevel="0" collapsed="false">
      <c r="A410" s="7" t="n">
        <v>409</v>
      </c>
      <c r="B410" s="7" t="s">
        <v>251</v>
      </c>
      <c r="C410" s="7" t="n">
        <v>50</v>
      </c>
      <c r="D410" s="7" t="n">
        <v>4</v>
      </c>
      <c r="E410" s="77" t="n">
        <v>44983</v>
      </c>
      <c r="F410" s="86" t="n">
        <v>0.738877314814815</v>
      </c>
      <c r="G410" s="77" t="n">
        <v>44985</v>
      </c>
      <c r="H410" s="86" t="n">
        <v>0.822881944444444</v>
      </c>
      <c r="I410" s="7" t="s">
        <v>454</v>
      </c>
      <c r="J410" s="7" t="s">
        <v>33</v>
      </c>
    </row>
    <row r="411" customFormat="false" ht="15" hidden="false" customHeight="false" outlineLevel="0" collapsed="false">
      <c r="A411" s="2" t="n">
        <v>410</v>
      </c>
      <c r="B411" s="2" t="s">
        <v>188</v>
      </c>
      <c r="C411" s="2" t="n">
        <v>24</v>
      </c>
      <c r="D411" s="2" t="n">
        <v>1</v>
      </c>
      <c r="E411" s="82" t="n">
        <v>44927</v>
      </c>
      <c r="F411" s="87" t="n">
        <v>0.847789351851852</v>
      </c>
      <c r="G411" s="82" t="n">
        <v>44928</v>
      </c>
      <c r="H411" s="87" t="n">
        <v>0.247986111111111</v>
      </c>
      <c r="I411" s="2" t="s">
        <v>580</v>
      </c>
      <c r="J411" s="2" t="s">
        <v>31</v>
      </c>
    </row>
    <row r="412" customFormat="false" ht="15" hidden="false" customHeight="false" outlineLevel="0" collapsed="false">
      <c r="A412" s="7" t="n">
        <v>411</v>
      </c>
      <c r="B412" s="7" t="s">
        <v>139</v>
      </c>
      <c r="C412" s="7" t="n">
        <v>48</v>
      </c>
      <c r="D412" s="7" t="n">
        <v>1</v>
      </c>
      <c r="E412" s="77" t="n">
        <v>45235</v>
      </c>
      <c r="F412" s="86" t="n">
        <v>0.688587962962963</v>
      </c>
      <c r="G412" s="77" t="n">
        <v>45238</v>
      </c>
      <c r="H412" s="86" t="n">
        <v>0.306550925925926</v>
      </c>
      <c r="I412" s="7" t="s">
        <v>500</v>
      </c>
      <c r="J412" s="7" t="s">
        <v>32</v>
      </c>
    </row>
    <row r="413" customFormat="false" ht="15" hidden="false" customHeight="false" outlineLevel="0" collapsed="false">
      <c r="A413" s="2" t="n">
        <v>412</v>
      </c>
      <c r="B413" s="2" t="s">
        <v>341</v>
      </c>
      <c r="C413" s="2" t="n">
        <v>67</v>
      </c>
      <c r="D413" s="2" t="n">
        <v>2</v>
      </c>
      <c r="E413" s="82" t="n">
        <v>45227</v>
      </c>
      <c r="F413" s="87" t="n">
        <v>0.394722222222222</v>
      </c>
      <c r="G413" s="82" t="n">
        <v>45230</v>
      </c>
      <c r="H413" s="87" t="n">
        <v>0.968368055555556</v>
      </c>
      <c r="I413" s="2" t="s">
        <v>479</v>
      </c>
      <c r="J413" s="2" t="s">
        <v>168</v>
      </c>
    </row>
    <row r="414" customFormat="false" ht="15" hidden="false" customHeight="false" outlineLevel="0" collapsed="false">
      <c r="A414" s="7" t="n">
        <v>413</v>
      </c>
      <c r="B414" s="7" t="s">
        <v>254</v>
      </c>
      <c r="C414" s="7" t="n">
        <v>59</v>
      </c>
      <c r="D414" s="7" t="n">
        <v>5</v>
      </c>
      <c r="E414" s="77" t="n">
        <v>45160</v>
      </c>
      <c r="F414" s="86" t="n">
        <v>0.230752314814815</v>
      </c>
      <c r="G414" s="77" t="n">
        <v>45168</v>
      </c>
      <c r="H414" s="86" t="n">
        <v>0.848043981481482</v>
      </c>
      <c r="I414" s="7" t="s">
        <v>171</v>
      </c>
      <c r="J414" s="7" t="s">
        <v>40</v>
      </c>
    </row>
    <row r="415" customFormat="false" ht="15" hidden="false" customHeight="false" outlineLevel="0" collapsed="false">
      <c r="A415" s="2" t="n">
        <v>414</v>
      </c>
      <c r="B415" s="2" t="s">
        <v>206</v>
      </c>
      <c r="C415" s="2" t="n">
        <v>7</v>
      </c>
      <c r="D415" s="2" t="n">
        <v>4</v>
      </c>
      <c r="E415" s="82" t="n">
        <v>44985</v>
      </c>
      <c r="F415" s="87" t="n">
        <v>0.887627314814815</v>
      </c>
      <c r="G415" s="82" t="n">
        <v>44992</v>
      </c>
      <c r="H415" s="87" t="n">
        <v>0.0468865740740741</v>
      </c>
      <c r="I415" s="2" t="s">
        <v>546</v>
      </c>
      <c r="J415" s="2" t="s">
        <v>33</v>
      </c>
    </row>
    <row r="416" customFormat="false" ht="15" hidden="false" customHeight="false" outlineLevel="0" collapsed="false">
      <c r="A416" s="7" t="n">
        <v>415</v>
      </c>
      <c r="B416" s="7" t="s">
        <v>297</v>
      </c>
      <c r="C416" s="7" t="n">
        <v>14</v>
      </c>
      <c r="D416" s="7" t="n">
        <v>4</v>
      </c>
      <c r="E416" s="77" t="n">
        <v>45085</v>
      </c>
      <c r="F416" s="86" t="n">
        <v>0.839236111111111</v>
      </c>
      <c r="G416" s="77" t="n">
        <v>45087</v>
      </c>
      <c r="H416" s="86" t="n">
        <v>0.0562037037037037</v>
      </c>
      <c r="I416" s="7" t="s">
        <v>403</v>
      </c>
      <c r="J416" s="7" t="s">
        <v>31</v>
      </c>
    </row>
    <row r="417" customFormat="false" ht="15" hidden="false" customHeight="false" outlineLevel="0" collapsed="false">
      <c r="A417" s="2" t="n">
        <v>416</v>
      </c>
      <c r="B417" s="2" t="s">
        <v>139</v>
      </c>
      <c r="C417" s="2" t="n">
        <v>58</v>
      </c>
      <c r="D417" s="2" t="n">
        <v>5</v>
      </c>
      <c r="E417" s="82" t="n">
        <v>44969</v>
      </c>
      <c r="F417" s="87" t="n">
        <v>0.695162037037037</v>
      </c>
      <c r="G417" s="82" t="n">
        <v>44974</v>
      </c>
      <c r="H417" s="87" t="n">
        <v>0.400706018518519</v>
      </c>
      <c r="I417" s="2" t="s">
        <v>551</v>
      </c>
      <c r="J417" s="2" t="s">
        <v>179</v>
      </c>
    </row>
    <row r="418" customFormat="false" ht="15" hidden="false" customHeight="false" outlineLevel="0" collapsed="false">
      <c r="A418" s="7" t="n">
        <v>417</v>
      </c>
      <c r="B418" s="7" t="s">
        <v>133</v>
      </c>
      <c r="C418" s="7" t="n">
        <v>62</v>
      </c>
      <c r="D418" s="7" t="n">
        <v>4</v>
      </c>
      <c r="E418" s="77" t="n">
        <v>44992</v>
      </c>
      <c r="F418" s="86" t="n">
        <v>0.944907407407407</v>
      </c>
      <c r="G418" s="77" t="n">
        <v>44996</v>
      </c>
      <c r="H418" s="86" t="n">
        <v>0.247604166666667</v>
      </c>
      <c r="I418" s="7" t="s">
        <v>454</v>
      </c>
      <c r="J418" s="7" t="s">
        <v>33</v>
      </c>
    </row>
    <row r="419" customFormat="false" ht="15" hidden="false" customHeight="false" outlineLevel="0" collapsed="false">
      <c r="A419" s="2" t="n">
        <v>418</v>
      </c>
      <c r="B419" s="2" t="s">
        <v>309</v>
      </c>
      <c r="C419" s="2" t="n">
        <v>64</v>
      </c>
      <c r="D419" s="2" t="n">
        <v>3</v>
      </c>
      <c r="E419" s="82" t="n">
        <v>45162</v>
      </c>
      <c r="F419" s="87" t="n">
        <v>0.553726851851852</v>
      </c>
      <c r="G419" s="82" t="n">
        <v>45170</v>
      </c>
      <c r="H419" s="87" t="n">
        <v>0.484143518518519</v>
      </c>
      <c r="I419" s="2" t="s">
        <v>450</v>
      </c>
      <c r="J419" s="2" t="s">
        <v>40</v>
      </c>
    </row>
    <row r="420" customFormat="false" ht="15" hidden="false" customHeight="false" outlineLevel="0" collapsed="false">
      <c r="A420" s="7" t="n">
        <v>419</v>
      </c>
      <c r="B420" s="7" t="s">
        <v>297</v>
      </c>
      <c r="C420" s="7" t="n">
        <v>47</v>
      </c>
      <c r="D420" s="7" t="n">
        <v>3</v>
      </c>
      <c r="E420" s="77" t="n">
        <v>44990</v>
      </c>
      <c r="F420" s="86" t="n">
        <v>0.721423611111111</v>
      </c>
      <c r="G420" s="77" t="n">
        <v>44996</v>
      </c>
      <c r="H420" s="86" t="n">
        <v>0.578888888888889</v>
      </c>
      <c r="I420" s="7" t="s">
        <v>126</v>
      </c>
      <c r="J420" s="7" t="s">
        <v>33</v>
      </c>
    </row>
    <row r="421" customFormat="false" ht="15" hidden="false" customHeight="false" outlineLevel="0" collapsed="false">
      <c r="A421" s="2" t="n">
        <v>420</v>
      </c>
      <c r="B421" s="2" t="s">
        <v>221</v>
      </c>
      <c r="C421" s="2" t="n">
        <v>6</v>
      </c>
      <c r="D421" s="2" t="n">
        <v>3</v>
      </c>
      <c r="E421" s="82" t="n">
        <v>44984</v>
      </c>
      <c r="F421" s="87" t="n">
        <v>0.358564814814815</v>
      </c>
      <c r="G421" s="82" t="n">
        <v>44985</v>
      </c>
      <c r="H421" s="87" t="n">
        <v>0.00519675925925926</v>
      </c>
      <c r="I421" s="2" t="s">
        <v>465</v>
      </c>
      <c r="J421" s="2" t="s">
        <v>33</v>
      </c>
    </row>
    <row r="422" customFormat="false" ht="15" hidden="false" customHeight="false" outlineLevel="0" collapsed="false">
      <c r="A422" s="7" t="n">
        <v>421</v>
      </c>
      <c r="B422" s="7" t="s">
        <v>300</v>
      </c>
      <c r="C422" s="7" t="n">
        <v>38</v>
      </c>
      <c r="D422" s="7" t="n">
        <v>4</v>
      </c>
      <c r="E422" s="77" t="n">
        <v>45146</v>
      </c>
      <c r="F422" s="86" t="n">
        <v>0.844791666666667</v>
      </c>
      <c r="G422" s="77" t="n">
        <v>45150</v>
      </c>
      <c r="H422" s="86" t="n">
        <v>0.794444444444444</v>
      </c>
      <c r="I422" s="7" t="s">
        <v>561</v>
      </c>
      <c r="J422" s="7" t="s">
        <v>31</v>
      </c>
    </row>
    <row r="423" customFormat="false" ht="15" hidden="false" customHeight="false" outlineLevel="0" collapsed="false">
      <c r="A423" s="2" t="n">
        <v>422</v>
      </c>
      <c r="B423" s="2" t="s">
        <v>236</v>
      </c>
      <c r="C423" s="2" t="n">
        <v>53</v>
      </c>
      <c r="D423" s="2" t="n">
        <v>2</v>
      </c>
      <c r="E423" s="82" t="n">
        <v>45158</v>
      </c>
      <c r="F423" s="87" t="n">
        <v>0.12775462962963</v>
      </c>
      <c r="G423" s="82" t="n">
        <v>45167</v>
      </c>
      <c r="H423" s="87" t="n">
        <v>0.170590277777778</v>
      </c>
      <c r="I423" s="2" t="s">
        <v>359</v>
      </c>
      <c r="J423" s="2" t="s">
        <v>40</v>
      </c>
    </row>
    <row r="424" customFormat="false" ht="15" hidden="false" customHeight="false" outlineLevel="0" collapsed="false">
      <c r="A424" s="7" t="n">
        <v>423</v>
      </c>
      <c r="B424" s="7" t="s">
        <v>303</v>
      </c>
      <c r="C424" s="7" t="n">
        <v>19</v>
      </c>
      <c r="D424" s="7" t="n">
        <v>1</v>
      </c>
      <c r="E424" s="77" t="n">
        <v>44968</v>
      </c>
      <c r="F424" s="86" t="n">
        <v>0.699282407407407</v>
      </c>
      <c r="G424" s="77" t="n">
        <v>44974</v>
      </c>
      <c r="H424" s="86" t="n">
        <v>0.00700231481481482</v>
      </c>
      <c r="I424" s="7" t="s">
        <v>147</v>
      </c>
      <c r="J424" s="7" t="s">
        <v>179</v>
      </c>
    </row>
    <row r="425" customFormat="false" ht="15" hidden="false" customHeight="false" outlineLevel="0" collapsed="false">
      <c r="A425" s="2" t="n">
        <v>424</v>
      </c>
      <c r="B425" s="2" t="s">
        <v>316</v>
      </c>
      <c r="C425" s="2" t="n">
        <v>7</v>
      </c>
      <c r="D425" s="2" t="n">
        <v>4</v>
      </c>
      <c r="E425" s="82" t="n">
        <v>44986</v>
      </c>
      <c r="F425" s="87" t="n">
        <v>0.128425925925926</v>
      </c>
      <c r="G425" s="82" t="n">
        <v>44994</v>
      </c>
      <c r="H425" s="87" t="n">
        <v>0.435451388888889</v>
      </c>
      <c r="I425" s="2" t="s">
        <v>459</v>
      </c>
      <c r="J425" s="2" t="s">
        <v>33</v>
      </c>
    </row>
    <row r="426" customFormat="false" ht="15" hidden="false" customHeight="false" outlineLevel="0" collapsed="false">
      <c r="A426" s="7" t="n">
        <v>425</v>
      </c>
      <c r="B426" s="7" t="s">
        <v>313</v>
      </c>
      <c r="C426" s="7" t="n">
        <v>56</v>
      </c>
      <c r="D426" s="7" t="n">
        <v>1</v>
      </c>
      <c r="E426" s="77" t="n">
        <v>45199</v>
      </c>
      <c r="F426" s="86" t="n">
        <v>0.00145833333333333</v>
      </c>
      <c r="G426" s="77" t="n">
        <v>45208</v>
      </c>
      <c r="H426" s="86" t="n">
        <v>0.957962962962963</v>
      </c>
      <c r="I426" s="7" t="s">
        <v>513</v>
      </c>
      <c r="J426" s="7" t="s">
        <v>168</v>
      </c>
    </row>
    <row r="427" customFormat="false" ht="15" hidden="false" customHeight="false" outlineLevel="0" collapsed="false">
      <c r="A427" s="2" t="n">
        <v>426</v>
      </c>
      <c r="B427" s="2" t="s">
        <v>319</v>
      </c>
      <c r="C427" s="2" t="n">
        <v>2</v>
      </c>
      <c r="D427" s="2" t="n">
        <v>2</v>
      </c>
      <c r="E427" s="82" t="n">
        <v>44970</v>
      </c>
      <c r="F427" s="87" t="n">
        <v>0.958263888888889</v>
      </c>
      <c r="G427" s="82" t="n">
        <v>44974</v>
      </c>
      <c r="H427" s="87" t="n">
        <v>0.577083333333333</v>
      </c>
      <c r="I427" s="2" t="s">
        <v>456</v>
      </c>
      <c r="J427" s="2" t="s">
        <v>179</v>
      </c>
    </row>
    <row r="428" customFormat="false" ht="15" hidden="false" customHeight="false" outlineLevel="0" collapsed="false">
      <c r="A428" s="7" t="n">
        <v>427</v>
      </c>
      <c r="B428" s="7" t="s">
        <v>230</v>
      </c>
      <c r="C428" s="7" t="n">
        <v>48</v>
      </c>
      <c r="D428" s="7" t="n">
        <v>5</v>
      </c>
      <c r="E428" s="77" t="n">
        <v>45233</v>
      </c>
      <c r="F428" s="86" t="n">
        <v>0.330925925925926</v>
      </c>
      <c r="G428" s="77" t="n">
        <v>45243</v>
      </c>
      <c r="H428" s="86" t="n">
        <v>0.94875</v>
      </c>
      <c r="I428" s="7" t="s">
        <v>395</v>
      </c>
      <c r="J428" s="7" t="s">
        <v>32</v>
      </c>
    </row>
    <row r="429" customFormat="false" ht="15" hidden="false" customHeight="false" outlineLevel="0" collapsed="false">
      <c r="A429" s="2" t="n">
        <v>428</v>
      </c>
      <c r="B429" s="2" t="s">
        <v>218</v>
      </c>
      <c r="C429" s="2" t="n">
        <v>10</v>
      </c>
      <c r="D429" s="2" t="n">
        <v>2</v>
      </c>
      <c r="E429" s="82" t="n">
        <v>45266</v>
      </c>
      <c r="F429" s="87" t="n">
        <v>0.147662037037037</v>
      </c>
      <c r="G429" s="82" t="n">
        <v>45272</v>
      </c>
      <c r="H429" s="87" t="n">
        <v>0.817372685185185</v>
      </c>
      <c r="I429" s="2" t="s">
        <v>457</v>
      </c>
      <c r="J429" s="2" t="s">
        <v>31</v>
      </c>
    </row>
    <row r="430" customFormat="false" ht="15" hidden="false" customHeight="false" outlineLevel="0" collapsed="false">
      <c r="A430" s="7" t="n">
        <v>429</v>
      </c>
      <c r="B430" s="7" t="s">
        <v>142</v>
      </c>
      <c r="C430" s="7" t="n">
        <v>9</v>
      </c>
      <c r="D430" s="7" t="n">
        <v>5</v>
      </c>
      <c r="E430" s="77" t="n">
        <v>45160</v>
      </c>
      <c r="F430" s="86" t="n">
        <v>0.949270833333333</v>
      </c>
      <c r="G430" s="77" t="n">
        <v>45169</v>
      </c>
      <c r="H430" s="86" t="n">
        <v>0.530462962962963</v>
      </c>
      <c r="I430" s="7" t="s">
        <v>191</v>
      </c>
      <c r="J430" s="7" t="s">
        <v>40</v>
      </c>
    </row>
    <row r="431" customFormat="false" ht="15" hidden="false" customHeight="false" outlineLevel="0" collapsed="false">
      <c r="A431" s="2" t="n">
        <v>430</v>
      </c>
      <c r="B431" s="2" t="s">
        <v>239</v>
      </c>
      <c r="C431" s="2" t="n">
        <v>27</v>
      </c>
      <c r="D431" s="2" t="n">
        <v>2</v>
      </c>
      <c r="E431" s="82" t="n">
        <v>45165</v>
      </c>
      <c r="F431" s="87" t="n">
        <v>0.305902777777778</v>
      </c>
      <c r="G431" s="82" t="n">
        <v>45169</v>
      </c>
      <c r="H431" s="87" t="n">
        <v>0.41912037037037</v>
      </c>
      <c r="I431" s="2" t="s">
        <v>549</v>
      </c>
      <c r="J431" s="2" t="s">
        <v>40</v>
      </c>
    </row>
    <row r="432" customFormat="false" ht="15" hidden="false" customHeight="false" outlineLevel="0" collapsed="false">
      <c r="A432" s="7" t="n">
        <v>431</v>
      </c>
      <c r="B432" s="7" t="s">
        <v>275</v>
      </c>
      <c r="C432" s="7" t="n">
        <v>1</v>
      </c>
      <c r="D432" s="7" t="n">
        <v>4</v>
      </c>
      <c r="E432" s="77" t="n">
        <v>45273</v>
      </c>
      <c r="F432" s="86" t="n">
        <v>0.80119212962963</v>
      </c>
      <c r="G432" s="77" t="n">
        <v>45279</v>
      </c>
      <c r="H432" s="86" t="n">
        <v>0.876666666666667</v>
      </c>
      <c r="I432" s="7" t="s">
        <v>603</v>
      </c>
      <c r="J432" s="7" t="s">
        <v>165</v>
      </c>
    </row>
    <row r="433" customFormat="false" ht="15" hidden="false" customHeight="false" outlineLevel="0" collapsed="false">
      <c r="A433" s="2" t="n">
        <v>432</v>
      </c>
      <c r="B433" s="2" t="s">
        <v>372</v>
      </c>
      <c r="C433" s="2" t="n">
        <v>12</v>
      </c>
      <c r="D433" s="2" t="n">
        <v>4</v>
      </c>
      <c r="E433" s="82" t="n">
        <v>44931</v>
      </c>
      <c r="F433" s="87" t="n">
        <v>0.5065625</v>
      </c>
      <c r="G433" s="82" t="n">
        <v>44939</v>
      </c>
      <c r="H433" s="87" t="n">
        <v>0.819884259259259</v>
      </c>
      <c r="I433" s="2" t="s">
        <v>193</v>
      </c>
      <c r="J433" s="2" t="s">
        <v>168</v>
      </c>
    </row>
    <row r="434" customFormat="false" ht="15" hidden="false" customHeight="false" outlineLevel="0" collapsed="false">
      <c r="A434" s="7" t="n">
        <v>433</v>
      </c>
      <c r="B434" s="7" t="s">
        <v>306</v>
      </c>
      <c r="C434" s="7" t="n">
        <v>7</v>
      </c>
      <c r="D434" s="7" t="n">
        <v>5</v>
      </c>
      <c r="E434" s="77" t="n">
        <v>44983</v>
      </c>
      <c r="F434" s="86" t="n">
        <v>0.981840277777778</v>
      </c>
      <c r="G434" s="77" t="n">
        <v>44987</v>
      </c>
      <c r="H434" s="86" t="n">
        <v>0.180509259259259</v>
      </c>
      <c r="I434" s="7" t="s">
        <v>169</v>
      </c>
      <c r="J434" s="7" t="s">
        <v>33</v>
      </c>
    </row>
    <row r="435" customFormat="false" ht="15" hidden="false" customHeight="false" outlineLevel="0" collapsed="false">
      <c r="A435" s="2" t="n">
        <v>434</v>
      </c>
      <c r="B435" s="2" t="s">
        <v>176</v>
      </c>
      <c r="C435" s="2" t="n">
        <v>51</v>
      </c>
      <c r="D435" s="2" t="n">
        <v>4</v>
      </c>
      <c r="E435" s="82" t="n">
        <v>45258</v>
      </c>
      <c r="F435" s="87" t="n">
        <v>0.307708333333333</v>
      </c>
      <c r="G435" s="82" t="n">
        <v>45259</v>
      </c>
      <c r="H435" s="87" t="n">
        <v>0.821898148148148</v>
      </c>
      <c r="I435" s="2" t="s">
        <v>458</v>
      </c>
      <c r="J435" s="2" t="s">
        <v>165</v>
      </c>
    </row>
    <row r="436" customFormat="false" ht="15" hidden="false" customHeight="false" outlineLevel="0" collapsed="false">
      <c r="A436" s="7" t="n">
        <v>435</v>
      </c>
      <c r="B436" s="7" t="s">
        <v>170</v>
      </c>
      <c r="C436" s="7" t="n">
        <v>53</v>
      </c>
      <c r="D436" s="7" t="n">
        <v>4</v>
      </c>
      <c r="E436" s="77" t="n">
        <v>45160</v>
      </c>
      <c r="F436" s="86" t="n">
        <v>0.727430555555556</v>
      </c>
      <c r="G436" s="77" t="n">
        <v>45165</v>
      </c>
      <c r="H436" s="86" t="n">
        <v>0.524467592592593</v>
      </c>
      <c r="I436" s="7" t="s">
        <v>489</v>
      </c>
      <c r="J436" s="7" t="s">
        <v>40</v>
      </c>
    </row>
    <row r="437" customFormat="false" ht="15" hidden="false" customHeight="false" outlineLevel="0" collapsed="false">
      <c r="A437" s="2" t="n">
        <v>436</v>
      </c>
      <c r="B437" s="2" t="s">
        <v>278</v>
      </c>
      <c r="C437" s="2" t="n">
        <v>8</v>
      </c>
      <c r="D437" s="2" t="n">
        <v>1</v>
      </c>
      <c r="E437" s="82" t="n">
        <v>44953</v>
      </c>
      <c r="F437" s="87" t="n">
        <v>0.255555555555556</v>
      </c>
      <c r="G437" s="82" t="n">
        <v>44960</v>
      </c>
      <c r="H437" s="87" t="n">
        <v>0.34431712962963</v>
      </c>
      <c r="I437" s="2" t="s">
        <v>553</v>
      </c>
      <c r="J437" s="2" t="s">
        <v>168</v>
      </c>
    </row>
    <row r="438" customFormat="false" ht="15" hidden="false" customHeight="false" outlineLevel="0" collapsed="false">
      <c r="A438" s="7" t="n">
        <v>437</v>
      </c>
      <c r="B438" s="7" t="s">
        <v>151</v>
      </c>
      <c r="C438" s="7" t="n">
        <v>55</v>
      </c>
      <c r="D438" s="7" t="n">
        <v>1</v>
      </c>
      <c r="E438" s="77" t="n">
        <v>45162</v>
      </c>
      <c r="F438" s="86" t="n">
        <v>0.271377314814815</v>
      </c>
      <c r="G438" s="77" t="n">
        <v>45165</v>
      </c>
      <c r="H438" s="86" t="n">
        <v>0.95599537037037</v>
      </c>
      <c r="I438" s="7" t="s">
        <v>601</v>
      </c>
      <c r="J438" s="7" t="s">
        <v>40</v>
      </c>
    </row>
    <row r="439" customFormat="false" ht="15" hidden="false" customHeight="false" outlineLevel="0" collapsed="false">
      <c r="A439" s="2" t="n">
        <v>438</v>
      </c>
      <c r="B439" s="2" t="s">
        <v>215</v>
      </c>
      <c r="C439" s="2" t="n">
        <v>34</v>
      </c>
      <c r="D439" s="2" t="n">
        <v>2</v>
      </c>
      <c r="E439" s="82" t="n">
        <v>45164</v>
      </c>
      <c r="F439" s="87" t="n">
        <v>0.393946759259259</v>
      </c>
      <c r="G439" s="82" t="n">
        <v>45165</v>
      </c>
      <c r="H439" s="87" t="n">
        <v>0.137858796296296</v>
      </c>
      <c r="I439" s="2" t="s">
        <v>582</v>
      </c>
      <c r="J439" s="2" t="s">
        <v>40</v>
      </c>
    </row>
    <row r="440" customFormat="false" ht="15" hidden="false" customHeight="false" outlineLevel="0" collapsed="false">
      <c r="A440" s="7" t="n">
        <v>439</v>
      </c>
      <c r="B440" s="7" t="s">
        <v>215</v>
      </c>
      <c r="C440" s="7" t="n">
        <v>12</v>
      </c>
      <c r="D440" s="7" t="n">
        <v>3</v>
      </c>
      <c r="E440" s="77" t="n">
        <v>45273</v>
      </c>
      <c r="F440" s="86" t="n">
        <v>0.372349537037037</v>
      </c>
      <c r="G440" s="77" t="n">
        <v>45282</v>
      </c>
      <c r="H440" s="86" t="n">
        <v>0.535486111111111</v>
      </c>
      <c r="I440" s="7" t="s">
        <v>418</v>
      </c>
      <c r="J440" s="7" t="s">
        <v>168</v>
      </c>
    </row>
    <row r="441" customFormat="false" ht="15" hidden="false" customHeight="false" outlineLevel="0" collapsed="false">
      <c r="A441" s="2" t="n">
        <v>440</v>
      </c>
      <c r="B441" s="2" t="s">
        <v>172</v>
      </c>
      <c r="C441" s="2" t="n">
        <v>13</v>
      </c>
      <c r="D441" s="2" t="n">
        <v>4</v>
      </c>
      <c r="E441" s="82" t="n">
        <v>44992</v>
      </c>
      <c r="F441" s="87" t="n">
        <v>0.398275462962963</v>
      </c>
      <c r="G441" s="82" t="n">
        <v>44994</v>
      </c>
      <c r="H441" s="87" t="n">
        <v>0.0565856481481482</v>
      </c>
      <c r="I441" s="2" t="s">
        <v>395</v>
      </c>
      <c r="J441" s="2" t="s">
        <v>33</v>
      </c>
    </row>
    <row r="442" customFormat="false" ht="15" hidden="false" customHeight="false" outlineLevel="0" collapsed="false">
      <c r="A442" s="7" t="n">
        <v>441</v>
      </c>
      <c r="B442" s="7" t="s">
        <v>260</v>
      </c>
      <c r="C442" s="7" t="n">
        <v>26</v>
      </c>
      <c r="D442" s="7" t="n">
        <v>2</v>
      </c>
      <c r="E442" s="77" t="n">
        <v>44983</v>
      </c>
      <c r="F442" s="86" t="n">
        <v>0.474953703703704</v>
      </c>
      <c r="G442" s="77" t="n">
        <v>44991</v>
      </c>
      <c r="H442" s="86" t="n">
        <v>0.693634259259259</v>
      </c>
      <c r="I442" s="7" t="s">
        <v>470</v>
      </c>
      <c r="J442" s="7" t="s">
        <v>33</v>
      </c>
    </row>
    <row r="443" customFormat="false" ht="15" hidden="false" customHeight="false" outlineLevel="0" collapsed="false">
      <c r="A443" s="2" t="n">
        <v>442</v>
      </c>
      <c r="B443" s="2" t="s">
        <v>183</v>
      </c>
      <c r="C443" s="2" t="n">
        <v>3</v>
      </c>
      <c r="D443" s="2" t="n">
        <v>3</v>
      </c>
      <c r="E443" s="82" t="n">
        <v>44965</v>
      </c>
      <c r="F443" s="87" t="n">
        <v>0.752314814814815</v>
      </c>
      <c r="G443" s="82" t="n">
        <v>44972</v>
      </c>
      <c r="H443" s="87" t="n">
        <v>0.337256944444444</v>
      </c>
      <c r="I443" s="2" t="s">
        <v>455</v>
      </c>
      <c r="J443" s="2" t="s">
        <v>179</v>
      </c>
    </row>
    <row r="444" customFormat="false" ht="15" hidden="false" customHeight="false" outlineLevel="0" collapsed="false">
      <c r="A444" s="7" t="n">
        <v>443</v>
      </c>
      <c r="B444" s="7" t="s">
        <v>242</v>
      </c>
      <c r="C444" s="7" t="n">
        <v>49</v>
      </c>
      <c r="D444" s="7" t="n">
        <v>3</v>
      </c>
      <c r="E444" s="77" t="n">
        <v>44961</v>
      </c>
      <c r="F444" s="86" t="n">
        <v>0.932164351851852</v>
      </c>
      <c r="G444" s="77" t="n">
        <v>44970</v>
      </c>
      <c r="H444" s="86" t="n">
        <v>0.0944444444444444</v>
      </c>
      <c r="I444" s="7" t="s">
        <v>560</v>
      </c>
      <c r="J444" s="7" t="s">
        <v>179</v>
      </c>
    </row>
    <row r="445" customFormat="false" ht="15" hidden="false" customHeight="false" outlineLevel="0" collapsed="false">
      <c r="A445" s="2" t="n">
        <v>444</v>
      </c>
      <c r="B445" s="2" t="s">
        <v>178</v>
      </c>
      <c r="C445" s="2" t="n">
        <v>60</v>
      </c>
      <c r="D445" s="2" t="n">
        <v>3</v>
      </c>
      <c r="E445" s="82" t="n">
        <v>45232</v>
      </c>
      <c r="F445" s="87" t="n">
        <v>0.0425115740740741</v>
      </c>
      <c r="G445" s="82" t="n">
        <v>45239</v>
      </c>
      <c r="H445" s="87" t="n">
        <v>0.412731481481482</v>
      </c>
      <c r="I445" s="2" t="s">
        <v>434</v>
      </c>
      <c r="J445" s="2" t="s">
        <v>32</v>
      </c>
    </row>
    <row r="446" customFormat="false" ht="15" hidden="false" customHeight="false" outlineLevel="0" collapsed="false">
      <c r="A446" s="7" t="n">
        <v>445</v>
      </c>
      <c r="B446" s="7" t="s">
        <v>245</v>
      </c>
      <c r="C446" s="7" t="n">
        <v>30</v>
      </c>
      <c r="D446" s="7" t="n">
        <v>5</v>
      </c>
      <c r="E446" s="77" t="n">
        <v>45091</v>
      </c>
      <c r="F446" s="86" t="n">
        <v>0.839375</v>
      </c>
      <c r="G446" s="77" t="n">
        <v>45092</v>
      </c>
      <c r="H446" s="86" t="n">
        <v>0.598923611111111</v>
      </c>
      <c r="I446" s="7" t="s">
        <v>451</v>
      </c>
      <c r="J446" s="7" t="s">
        <v>168</v>
      </c>
    </row>
    <row r="447" customFormat="false" ht="15" hidden="false" customHeight="false" outlineLevel="0" collapsed="false">
      <c r="A447" s="2" t="n">
        <v>446</v>
      </c>
      <c r="B447" s="2" t="s">
        <v>336</v>
      </c>
      <c r="C447" s="2" t="n">
        <v>33</v>
      </c>
      <c r="D447" s="2" t="n">
        <v>5</v>
      </c>
      <c r="E447" s="82" t="n">
        <v>44969</v>
      </c>
      <c r="F447" s="87" t="n">
        <v>0.12087962962963</v>
      </c>
      <c r="G447" s="82" t="n">
        <v>44972</v>
      </c>
      <c r="H447" s="87" t="n">
        <v>0.460740740740741</v>
      </c>
      <c r="I447" s="2" t="s">
        <v>284</v>
      </c>
      <c r="J447" s="2" t="s">
        <v>179</v>
      </c>
    </row>
    <row r="448" customFormat="false" ht="15" hidden="false" customHeight="false" outlineLevel="0" collapsed="false">
      <c r="A448" s="7" t="n">
        <v>447</v>
      </c>
      <c r="B448" s="7" t="s">
        <v>202</v>
      </c>
      <c r="C448" s="7" t="n">
        <v>47</v>
      </c>
      <c r="D448" s="7" t="n">
        <v>4</v>
      </c>
      <c r="E448" s="77" t="n">
        <v>44984</v>
      </c>
      <c r="F448" s="86" t="n">
        <v>0.114976851851852</v>
      </c>
      <c r="G448" s="77" t="n">
        <v>44989</v>
      </c>
      <c r="H448" s="86" t="n">
        <v>0.628425925925926</v>
      </c>
      <c r="I448" s="7" t="s">
        <v>244</v>
      </c>
      <c r="J448" s="7" t="s">
        <v>33</v>
      </c>
    </row>
    <row r="449" customFormat="false" ht="15" hidden="false" customHeight="false" outlineLevel="0" collapsed="false">
      <c r="A449" s="2" t="n">
        <v>448</v>
      </c>
      <c r="B449" s="2" t="s">
        <v>355</v>
      </c>
      <c r="C449" s="2" t="n">
        <v>16</v>
      </c>
      <c r="D449" s="2" t="n">
        <v>1</v>
      </c>
      <c r="E449" s="82" t="n">
        <v>44987</v>
      </c>
      <c r="F449" s="87" t="n">
        <v>0.113125</v>
      </c>
      <c r="G449" s="82" t="n">
        <v>44988</v>
      </c>
      <c r="H449" s="87" t="n">
        <v>0.571111111111111</v>
      </c>
      <c r="I449" s="2" t="s">
        <v>290</v>
      </c>
      <c r="J449" s="2" t="s">
        <v>33</v>
      </c>
    </row>
    <row r="450" customFormat="false" ht="15" hidden="false" customHeight="false" outlineLevel="0" collapsed="false">
      <c r="A450" s="7" t="n">
        <v>449</v>
      </c>
      <c r="B450" s="7" t="s">
        <v>239</v>
      </c>
      <c r="C450" s="7" t="n">
        <v>49</v>
      </c>
      <c r="D450" s="7" t="n">
        <v>4</v>
      </c>
      <c r="E450" s="77" t="n">
        <v>44970</v>
      </c>
      <c r="F450" s="86" t="n">
        <v>0.137800925925926</v>
      </c>
      <c r="G450" s="77" t="n">
        <v>44973</v>
      </c>
      <c r="H450" s="86" t="n">
        <v>0.423391203703704</v>
      </c>
      <c r="I450" s="7" t="s">
        <v>420</v>
      </c>
      <c r="J450" s="7" t="s">
        <v>179</v>
      </c>
    </row>
    <row r="451" customFormat="false" ht="15" hidden="false" customHeight="false" outlineLevel="0" collapsed="false">
      <c r="A451" s="2" t="n">
        <v>450</v>
      </c>
      <c r="B451" s="2" t="s">
        <v>382</v>
      </c>
      <c r="C451" s="2" t="n">
        <v>39</v>
      </c>
      <c r="D451" s="2" t="n">
        <v>5</v>
      </c>
      <c r="E451" s="82" t="n">
        <v>45262</v>
      </c>
      <c r="F451" s="87" t="n">
        <v>0.332002314814815</v>
      </c>
      <c r="G451" s="82" t="n">
        <v>45272</v>
      </c>
      <c r="H451" s="87" t="n">
        <v>0.423587962962963</v>
      </c>
      <c r="I451" s="2" t="s">
        <v>575</v>
      </c>
      <c r="J451" s="2" t="s">
        <v>165</v>
      </c>
    </row>
    <row r="452" customFormat="false" ht="15" hidden="false" customHeight="false" outlineLevel="0" collapsed="false">
      <c r="A452" s="7" t="n">
        <v>451</v>
      </c>
      <c r="B452" s="7" t="s">
        <v>336</v>
      </c>
      <c r="C452" s="7" t="n">
        <v>33</v>
      </c>
      <c r="D452" s="7" t="n">
        <v>5</v>
      </c>
      <c r="E452" s="77" t="n">
        <v>44964</v>
      </c>
      <c r="F452" s="86" t="n">
        <v>0.011712962962963</v>
      </c>
      <c r="G452" s="77" t="n">
        <v>44970</v>
      </c>
      <c r="H452" s="86" t="n">
        <v>0.882604166666667</v>
      </c>
      <c r="I452" s="7" t="s">
        <v>599</v>
      </c>
      <c r="J452" s="7" t="s">
        <v>179</v>
      </c>
    </row>
    <row r="453" customFormat="false" ht="15" hidden="false" customHeight="false" outlineLevel="0" collapsed="false">
      <c r="A453" s="2" t="n">
        <v>452</v>
      </c>
      <c r="B453" s="2" t="s">
        <v>239</v>
      </c>
      <c r="C453" s="2" t="n">
        <v>70</v>
      </c>
      <c r="D453" s="2" t="n">
        <v>3</v>
      </c>
      <c r="E453" s="82" t="n">
        <v>45116</v>
      </c>
      <c r="F453" s="87" t="n">
        <v>0.831585648148148</v>
      </c>
      <c r="G453" s="82" t="n">
        <v>45124</v>
      </c>
      <c r="H453" s="87" t="n">
        <v>0.487708333333333</v>
      </c>
      <c r="I453" s="2" t="s">
        <v>478</v>
      </c>
      <c r="J453" s="2" t="s">
        <v>31</v>
      </c>
    </row>
    <row r="454" customFormat="false" ht="15" hidden="false" customHeight="false" outlineLevel="0" collapsed="false">
      <c r="A454" s="7" t="n">
        <v>453</v>
      </c>
      <c r="B454" s="7" t="s">
        <v>202</v>
      </c>
      <c r="C454" s="7" t="n">
        <v>27</v>
      </c>
      <c r="D454" s="7" t="n">
        <v>2</v>
      </c>
      <c r="E454" s="77" t="n">
        <v>45159</v>
      </c>
      <c r="F454" s="86" t="n">
        <v>0.424756944444445</v>
      </c>
      <c r="G454" s="77" t="n">
        <v>45169</v>
      </c>
      <c r="H454" s="86" t="n">
        <v>0.5196875</v>
      </c>
      <c r="I454" s="7" t="s">
        <v>603</v>
      </c>
      <c r="J454" s="7" t="s">
        <v>40</v>
      </c>
    </row>
    <row r="455" customFormat="false" ht="15" hidden="false" customHeight="false" outlineLevel="0" collapsed="false">
      <c r="A455" s="2" t="n">
        <v>454</v>
      </c>
      <c r="B455" s="2" t="s">
        <v>360</v>
      </c>
      <c r="C455" s="2" t="n">
        <v>3</v>
      </c>
      <c r="D455" s="2" t="n">
        <v>2</v>
      </c>
      <c r="E455" s="82" t="n">
        <v>44964</v>
      </c>
      <c r="F455" s="87" t="n">
        <v>0.976956018518519</v>
      </c>
      <c r="G455" s="82" t="n">
        <v>44966</v>
      </c>
      <c r="H455" s="87" t="n">
        <v>0.0568981481481482</v>
      </c>
      <c r="I455" s="2" t="s">
        <v>581</v>
      </c>
      <c r="J455" s="2" t="s">
        <v>179</v>
      </c>
    </row>
    <row r="456" customFormat="false" ht="15" hidden="false" customHeight="false" outlineLevel="0" collapsed="false">
      <c r="A456" s="7" t="n">
        <v>455</v>
      </c>
      <c r="B456" s="7" t="s">
        <v>316</v>
      </c>
      <c r="C456" s="7" t="n">
        <v>1</v>
      </c>
      <c r="D456" s="7" t="n">
        <v>2</v>
      </c>
      <c r="E456" s="77" t="n">
        <v>45219</v>
      </c>
      <c r="F456" s="86" t="n">
        <v>0.940162037037037</v>
      </c>
      <c r="G456" s="77" t="n">
        <v>45224</v>
      </c>
      <c r="H456" s="86" t="n">
        <v>0.753009259259259</v>
      </c>
      <c r="I456" s="7" t="s">
        <v>359</v>
      </c>
      <c r="J456" s="7" t="s">
        <v>165</v>
      </c>
    </row>
    <row r="457" customFormat="false" ht="15" hidden="false" customHeight="false" outlineLevel="0" collapsed="false">
      <c r="A457" s="2" t="n">
        <v>456</v>
      </c>
      <c r="B457" s="2" t="s">
        <v>313</v>
      </c>
      <c r="C457" s="2" t="n">
        <v>33</v>
      </c>
      <c r="D457" s="2" t="n">
        <v>2</v>
      </c>
      <c r="E457" s="82" t="n">
        <v>44969</v>
      </c>
      <c r="F457" s="87" t="n">
        <v>0.952534722222222</v>
      </c>
      <c r="G457" s="82" t="n">
        <v>44972</v>
      </c>
      <c r="H457" s="87" t="n">
        <v>0.926458333333333</v>
      </c>
      <c r="I457" s="2" t="s">
        <v>505</v>
      </c>
      <c r="J457" s="2" t="s">
        <v>179</v>
      </c>
    </row>
    <row r="458" customFormat="false" ht="15" hidden="false" customHeight="false" outlineLevel="0" collapsed="false">
      <c r="A458" s="7" t="n">
        <v>457</v>
      </c>
      <c r="B458" s="7" t="s">
        <v>212</v>
      </c>
      <c r="C458" s="7" t="n">
        <v>22</v>
      </c>
      <c r="D458" s="7" t="n">
        <v>5</v>
      </c>
      <c r="E458" s="77" t="n">
        <v>45073</v>
      </c>
      <c r="F458" s="86" t="n">
        <v>0.5803125</v>
      </c>
      <c r="G458" s="77" t="n">
        <v>45075</v>
      </c>
      <c r="H458" s="86" t="n">
        <v>0.693344907407407</v>
      </c>
      <c r="I458" s="7" t="s">
        <v>491</v>
      </c>
      <c r="J458" s="7" t="s">
        <v>165</v>
      </c>
    </row>
    <row r="459" customFormat="false" ht="15" hidden="false" customHeight="false" outlineLevel="0" collapsed="false">
      <c r="A459" s="2" t="n">
        <v>458</v>
      </c>
      <c r="B459" s="2" t="s">
        <v>266</v>
      </c>
      <c r="C459" s="2" t="n">
        <v>32</v>
      </c>
      <c r="D459" s="2" t="n">
        <v>2</v>
      </c>
      <c r="E459" s="82" t="n">
        <v>45126</v>
      </c>
      <c r="F459" s="87" t="n">
        <v>0.723263888888889</v>
      </c>
      <c r="G459" s="82" t="n">
        <v>45131</v>
      </c>
      <c r="H459" s="87" t="n">
        <v>0.856064814814815</v>
      </c>
      <c r="I459" s="2" t="s">
        <v>542</v>
      </c>
      <c r="J459" s="2" t="s">
        <v>31</v>
      </c>
    </row>
    <row r="460" customFormat="false" ht="15" hidden="false" customHeight="false" outlineLevel="0" collapsed="false">
      <c r="A460" s="7" t="n">
        <v>459</v>
      </c>
      <c r="B460" s="7" t="s">
        <v>375</v>
      </c>
      <c r="C460" s="7" t="n">
        <v>12</v>
      </c>
      <c r="D460" s="7" t="n">
        <v>2</v>
      </c>
      <c r="E460" s="77" t="n">
        <v>45014</v>
      </c>
      <c r="F460" s="86" t="n">
        <v>0.308969907407407</v>
      </c>
      <c r="G460" s="77" t="n">
        <v>45015</v>
      </c>
      <c r="H460" s="86" t="n">
        <v>0.315636574074074</v>
      </c>
      <c r="I460" s="7" t="s">
        <v>544</v>
      </c>
      <c r="J460" s="7" t="s">
        <v>168</v>
      </c>
    </row>
    <row r="461" customFormat="false" ht="15" hidden="false" customHeight="false" outlineLevel="0" collapsed="false">
      <c r="A461" s="2" t="n">
        <v>460</v>
      </c>
      <c r="B461" s="2" t="s">
        <v>142</v>
      </c>
      <c r="C461" s="2" t="n">
        <v>29</v>
      </c>
      <c r="D461" s="2" t="n">
        <v>2</v>
      </c>
      <c r="E461" s="82" t="n">
        <v>44989</v>
      </c>
      <c r="F461" s="87" t="n">
        <v>0.332326388888889</v>
      </c>
      <c r="G461" s="82" t="n">
        <v>44991</v>
      </c>
      <c r="H461" s="87" t="n">
        <v>0.00516203703703704</v>
      </c>
      <c r="I461" s="2" t="s">
        <v>461</v>
      </c>
      <c r="J461" s="2" t="s">
        <v>33</v>
      </c>
    </row>
    <row r="462" customFormat="false" ht="15" hidden="false" customHeight="false" outlineLevel="0" collapsed="false">
      <c r="A462" s="7" t="n">
        <v>461</v>
      </c>
      <c r="B462" s="7" t="s">
        <v>347</v>
      </c>
      <c r="C462" s="7" t="n">
        <v>12</v>
      </c>
      <c r="D462" s="7" t="n">
        <v>4</v>
      </c>
      <c r="E462" s="77" t="n">
        <v>45099</v>
      </c>
      <c r="F462" s="86" t="n">
        <v>0.342094907407407</v>
      </c>
      <c r="G462" s="77" t="n">
        <v>45104</v>
      </c>
      <c r="H462" s="86" t="n">
        <v>0.620092592592593</v>
      </c>
      <c r="I462" s="7" t="s">
        <v>577</v>
      </c>
      <c r="J462" s="7" t="s">
        <v>168</v>
      </c>
    </row>
    <row r="463" customFormat="false" ht="15" hidden="false" customHeight="false" outlineLevel="0" collapsed="false">
      <c r="A463" s="2" t="n">
        <v>462</v>
      </c>
      <c r="B463" s="2" t="s">
        <v>309</v>
      </c>
      <c r="C463" s="2" t="n">
        <v>60</v>
      </c>
      <c r="D463" s="2" t="n">
        <v>5</v>
      </c>
      <c r="E463" s="82" t="n">
        <v>45234</v>
      </c>
      <c r="F463" s="87" t="n">
        <v>0.757013888888889</v>
      </c>
      <c r="G463" s="82" t="n">
        <v>45243</v>
      </c>
      <c r="H463" s="87" t="n">
        <v>0.597384259259259</v>
      </c>
      <c r="I463" s="2" t="s">
        <v>458</v>
      </c>
      <c r="J463" s="2" t="s">
        <v>32</v>
      </c>
    </row>
    <row r="464" customFormat="false" ht="15" hidden="false" customHeight="false" outlineLevel="0" collapsed="false">
      <c r="A464" s="7" t="n">
        <v>463</v>
      </c>
      <c r="B464" s="7" t="s">
        <v>334</v>
      </c>
      <c r="C464" s="7" t="n">
        <v>18</v>
      </c>
      <c r="D464" s="7" t="n">
        <v>3</v>
      </c>
      <c r="E464" s="77" t="n">
        <v>45193</v>
      </c>
      <c r="F464" s="86" t="n">
        <v>0.93318287037037</v>
      </c>
      <c r="G464" s="77" t="n">
        <v>45199</v>
      </c>
      <c r="H464" s="86" t="n">
        <v>0.0361458333333333</v>
      </c>
      <c r="I464" s="7" t="s">
        <v>408</v>
      </c>
      <c r="J464" s="7" t="s">
        <v>31</v>
      </c>
    </row>
    <row r="465" customFormat="false" ht="15" hidden="false" customHeight="false" outlineLevel="0" collapsed="false">
      <c r="A465" s="2" t="n">
        <v>464</v>
      </c>
      <c r="B465" s="2" t="s">
        <v>161</v>
      </c>
      <c r="C465" s="2" t="n">
        <v>18</v>
      </c>
      <c r="D465" s="2" t="n">
        <v>3</v>
      </c>
      <c r="E465" s="82" t="n">
        <v>45112</v>
      </c>
      <c r="F465" s="87" t="n">
        <v>0.12806712962963</v>
      </c>
      <c r="G465" s="82" t="n">
        <v>45115</v>
      </c>
      <c r="H465" s="87" t="n">
        <v>0.568576388888889</v>
      </c>
      <c r="I465" s="2" t="s">
        <v>296</v>
      </c>
      <c r="J465" s="2" t="s">
        <v>31</v>
      </c>
    </row>
    <row r="466" customFormat="false" ht="15" hidden="false" customHeight="false" outlineLevel="0" collapsed="false">
      <c r="A466" s="7" t="n">
        <v>465</v>
      </c>
      <c r="B466" s="7" t="s">
        <v>196</v>
      </c>
      <c r="C466" s="7" t="n">
        <v>55</v>
      </c>
      <c r="D466" s="7" t="n">
        <v>5</v>
      </c>
      <c r="E466" s="77" t="n">
        <v>45161</v>
      </c>
      <c r="F466" s="86" t="n">
        <v>0.990416666666667</v>
      </c>
      <c r="G466" s="77" t="n">
        <v>45164</v>
      </c>
      <c r="H466" s="86" t="n">
        <v>0.56193287037037</v>
      </c>
      <c r="I466" s="7" t="s">
        <v>477</v>
      </c>
      <c r="J466" s="7" t="s">
        <v>40</v>
      </c>
    </row>
    <row r="467" customFormat="false" ht="15" hidden="false" customHeight="false" outlineLevel="0" collapsed="false">
      <c r="A467" s="2" t="n">
        <v>466</v>
      </c>
      <c r="B467" s="2" t="s">
        <v>263</v>
      </c>
      <c r="C467" s="2" t="n">
        <v>23</v>
      </c>
      <c r="D467" s="2" t="n">
        <v>1</v>
      </c>
      <c r="E467" s="82" t="n">
        <v>45202</v>
      </c>
      <c r="F467" s="87" t="n">
        <v>0.582199074074074</v>
      </c>
      <c r="G467" s="82" t="n">
        <v>45210</v>
      </c>
      <c r="H467" s="87" t="n">
        <v>0.416446759259259</v>
      </c>
      <c r="I467" s="2" t="s">
        <v>195</v>
      </c>
      <c r="J467" s="2" t="s">
        <v>168</v>
      </c>
    </row>
    <row r="468" customFormat="false" ht="15" hidden="false" customHeight="false" outlineLevel="0" collapsed="false">
      <c r="A468" s="7" t="n">
        <v>467</v>
      </c>
      <c r="B468" s="7" t="s">
        <v>272</v>
      </c>
      <c r="C468" s="7" t="n">
        <v>53</v>
      </c>
      <c r="D468" s="7" t="n">
        <v>1</v>
      </c>
      <c r="E468" s="77" t="n">
        <v>45166</v>
      </c>
      <c r="F468" s="86" t="n">
        <v>0.596342592592593</v>
      </c>
      <c r="G468" s="77" t="n">
        <v>45171</v>
      </c>
      <c r="H468" s="86" t="n">
        <v>0.639016203703704</v>
      </c>
      <c r="I468" s="7" t="s">
        <v>376</v>
      </c>
      <c r="J468" s="7" t="s">
        <v>40</v>
      </c>
    </row>
    <row r="469" customFormat="false" ht="15" hidden="false" customHeight="false" outlineLevel="0" collapsed="false">
      <c r="A469" s="2" t="n">
        <v>468</v>
      </c>
      <c r="B469" s="2" t="s">
        <v>142</v>
      </c>
      <c r="C469" s="2" t="n">
        <v>5</v>
      </c>
      <c r="D469" s="2" t="n">
        <v>2</v>
      </c>
      <c r="E469" s="82" t="n">
        <v>45132</v>
      </c>
      <c r="F469" s="87" t="n">
        <v>0.331550925925926</v>
      </c>
      <c r="G469" s="82" t="n">
        <v>45142</v>
      </c>
      <c r="H469" s="87" t="n">
        <v>0.0588773148148148</v>
      </c>
      <c r="I469" s="2" t="s">
        <v>538</v>
      </c>
      <c r="J469" s="2" t="s">
        <v>165</v>
      </c>
    </row>
    <row r="470" customFormat="false" ht="15" hidden="false" customHeight="false" outlineLevel="0" collapsed="false">
      <c r="A470" s="7" t="n">
        <v>469</v>
      </c>
      <c r="B470" s="7" t="s">
        <v>257</v>
      </c>
      <c r="C470" s="7" t="n">
        <v>42</v>
      </c>
      <c r="D470" s="7" t="n">
        <v>4</v>
      </c>
      <c r="E470" s="77" t="n">
        <v>45275</v>
      </c>
      <c r="F470" s="86" t="n">
        <v>0.295833333333333</v>
      </c>
      <c r="G470" s="77" t="n">
        <v>45279</v>
      </c>
      <c r="H470" s="86" t="n">
        <v>0.539456018518519</v>
      </c>
      <c r="I470" s="7" t="s">
        <v>447</v>
      </c>
      <c r="J470" s="7" t="s">
        <v>165</v>
      </c>
    </row>
    <row r="471" customFormat="false" ht="15" hidden="false" customHeight="false" outlineLevel="0" collapsed="false">
      <c r="A471" s="2" t="n">
        <v>470</v>
      </c>
      <c r="B471" s="2" t="s">
        <v>200</v>
      </c>
      <c r="C471" s="2" t="n">
        <v>47</v>
      </c>
      <c r="D471" s="2" t="n">
        <v>5</v>
      </c>
      <c r="E471" s="82" t="n">
        <v>44985</v>
      </c>
      <c r="F471" s="87" t="n">
        <v>0.731990740740741</v>
      </c>
      <c r="G471" s="82" t="n">
        <v>44991</v>
      </c>
      <c r="H471" s="87" t="n">
        <v>0.645474537037037</v>
      </c>
      <c r="I471" s="2" t="s">
        <v>238</v>
      </c>
      <c r="J471" s="2" t="s">
        <v>33</v>
      </c>
    </row>
    <row r="472" customFormat="false" ht="15" hidden="false" customHeight="false" outlineLevel="0" collapsed="false">
      <c r="A472" s="7" t="n">
        <v>471</v>
      </c>
      <c r="B472" s="7" t="s">
        <v>372</v>
      </c>
      <c r="C472" s="7" t="n">
        <v>23</v>
      </c>
      <c r="D472" s="7" t="n">
        <v>2</v>
      </c>
      <c r="E472" s="77" t="n">
        <v>44957</v>
      </c>
      <c r="F472" s="86" t="n">
        <v>0.506261574074074</v>
      </c>
      <c r="G472" s="77" t="n">
        <v>44967</v>
      </c>
      <c r="H472" s="86" t="n">
        <v>0.243125</v>
      </c>
      <c r="I472" s="7" t="s">
        <v>592</v>
      </c>
      <c r="J472" s="7" t="s">
        <v>168</v>
      </c>
    </row>
    <row r="473" customFormat="false" ht="15" hidden="false" customHeight="false" outlineLevel="0" collapsed="false">
      <c r="A473" s="2" t="n">
        <v>472</v>
      </c>
      <c r="B473" s="2" t="s">
        <v>164</v>
      </c>
      <c r="C473" s="2" t="n">
        <v>56</v>
      </c>
      <c r="D473" s="2" t="n">
        <v>1</v>
      </c>
      <c r="E473" s="82" t="n">
        <v>45284</v>
      </c>
      <c r="F473" s="87" t="n">
        <v>0.314328703703704</v>
      </c>
      <c r="G473" s="82" t="n">
        <v>45290</v>
      </c>
      <c r="H473" s="87" t="n">
        <v>0.948819444444444</v>
      </c>
      <c r="I473" s="2" t="s">
        <v>454</v>
      </c>
      <c r="J473" s="2" t="s">
        <v>168</v>
      </c>
    </row>
    <row r="474" customFormat="false" ht="15" hidden="false" customHeight="false" outlineLevel="0" collapsed="false">
      <c r="A474" s="7" t="n">
        <v>473</v>
      </c>
      <c r="B474" s="7" t="s">
        <v>285</v>
      </c>
      <c r="C474" s="7" t="n">
        <v>22</v>
      </c>
      <c r="D474" s="7" t="n">
        <v>3</v>
      </c>
      <c r="E474" s="77" t="n">
        <v>45013</v>
      </c>
      <c r="F474" s="86" t="n">
        <v>0.343020833333333</v>
      </c>
      <c r="G474" s="77" t="n">
        <v>45020</v>
      </c>
      <c r="H474" s="86" t="n">
        <v>0.655763888888889</v>
      </c>
      <c r="I474" s="7" t="s">
        <v>389</v>
      </c>
      <c r="J474" s="7" t="s">
        <v>165</v>
      </c>
    </row>
    <row r="475" customFormat="false" ht="15" hidden="false" customHeight="false" outlineLevel="0" collapsed="false">
      <c r="A475" s="2" t="n">
        <v>474</v>
      </c>
      <c r="B475" s="2" t="s">
        <v>257</v>
      </c>
      <c r="C475" s="2" t="n">
        <v>1</v>
      </c>
      <c r="D475" s="2" t="n">
        <v>4</v>
      </c>
      <c r="E475" s="82" t="n">
        <v>44964</v>
      </c>
      <c r="F475" s="87" t="n">
        <v>0.272210648148148</v>
      </c>
      <c r="G475" s="82" t="n">
        <v>44971</v>
      </c>
      <c r="H475" s="87" t="n">
        <v>0.0834143518518519</v>
      </c>
      <c r="I475" s="2" t="s">
        <v>349</v>
      </c>
      <c r="J475" s="2" t="s">
        <v>165</v>
      </c>
    </row>
    <row r="476" customFormat="false" ht="15" hidden="false" customHeight="false" outlineLevel="0" collapsed="false">
      <c r="A476" s="7" t="n">
        <v>475</v>
      </c>
      <c r="B476" s="7" t="s">
        <v>390</v>
      </c>
      <c r="C476" s="7" t="n">
        <v>46</v>
      </c>
      <c r="D476" s="7" t="n">
        <v>2</v>
      </c>
      <c r="E476" s="77" t="n">
        <v>45264</v>
      </c>
      <c r="F476" s="86" t="n">
        <v>0.306516203703704</v>
      </c>
      <c r="G476" s="77" t="n">
        <v>45268</v>
      </c>
      <c r="H476" s="86" t="n">
        <v>0.564143518518519</v>
      </c>
      <c r="I476" s="7" t="s">
        <v>432</v>
      </c>
      <c r="J476" s="7" t="s">
        <v>168</v>
      </c>
    </row>
    <row r="477" customFormat="false" ht="15" hidden="false" customHeight="false" outlineLevel="0" collapsed="false">
      <c r="A477" s="2" t="n">
        <v>476</v>
      </c>
      <c r="B477" s="2" t="s">
        <v>303</v>
      </c>
      <c r="C477" s="2" t="n">
        <v>40</v>
      </c>
      <c r="D477" s="2" t="n">
        <v>2</v>
      </c>
      <c r="E477" s="82" t="n">
        <v>45187</v>
      </c>
      <c r="F477" s="87" t="n">
        <v>0.0536805555555556</v>
      </c>
      <c r="G477" s="82" t="n">
        <v>45189</v>
      </c>
      <c r="H477" s="87" t="n">
        <v>0.745300925925926</v>
      </c>
      <c r="I477" s="2" t="s">
        <v>492</v>
      </c>
      <c r="J477" s="2" t="s">
        <v>168</v>
      </c>
    </row>
    <row r="478" customFormat="false" ht="15" hidden="false" customHeight="false" outlineLevel="0" collapsed="false">
      <c r="A478" s="7" t="n">
        <v>477</v>
      </c>
      <c r="B478" s="7" t="s">
        <v>390</v>
      </c>
      <c r="C478" s="7" t="n">
        <v>33</v>
      </c>
      <c r="D478" s="7" t="n">
        <v>4</v>
      </c>
      <c r="E478" s="77" t="n">
        <v>44969</v>
      </c>
      <c r="F478" s="86" t="n">
        <v>0.7209375</v>
      </c>
      <c r="G478" s="77" t="n">
        <v>44971</v>
      </c>
      <c r="H478" s="86" t="n">
        <v>0.133240740740741</v>
      </c>
      <c r="I478" s="7" t="s">
        <v>381</v>
      </c>
      <c r="J478" s="7" t="s">
        <v>179</v>
      </c>
    </row>
    <row r="479" customFormat="false" ht="15" hidden="false" customHeight="false" outlineLevel="0" collapsed="false">
      <c r="A479" s="2" t="n">
        <v>478</v>
      </c>
      <c r="B479" s="2" t="s">
        <v>130</v>
      </c>
      <c r="C479" s="2" t="n">
        <v>11</v>
      </c>
      <c r="D479" s="2" t="n">
        <v>5</v>
      </c>
      <c r="E479" s="82" t="n">
        <v>44965</v>
      </c>
      <c r="F479" s="87" t="n">
        <v>0.0495486111111111</v>
      </c>
      <c r="G479" s="82" t="n">
        <v>44966</v>
      </c>
      <c r="H479" s="87" t="n">
        <v>0.40994212962963</v>
      </c>
      <c r="I479" s="2" t="s">
        <v>163</v>
      </c>
      <c r="J479" s="2" t="s">
        <v>179</v>
      </c>
    </row>
    <row r="480" customFormat="false" ht="15" hidden="false" customHeight="false" outlineLevel="0" collapsed="false">
      <c r="A480" s="7" t="n">
        <v>479</v>
      </c>
      <c r="B480" s="7" t="s">
        <v>313</v>
      </c>
      <c r="C480" s="7" t="n">
        <v>11</v>
      </c>
      <c r="D480" s="7" t="n">
        <v>1</v>
      </c>
      <c r="E480" s="77" t="n">
        <v>44964</v>
      </c>
      <c r="F480" s="86" t="n">
        <v>0.741909722222222</v>
      </c>
      <c r="G480" s="77" t="n">
        <v>44968</v>
      </c>
      <c r="H480" s="86" t="n">
        <v>0.450150462962963</v>
      </c>
      <c r="I480" s="7" t="s">
        <v>387</v>
      </c>
      <c r="J480" s="7" t="s">
        <v>179</v>
      </c>
    </row>
    <row r="481" customFormat="false" ht="15" hidden="false" customHeight="false" outlineLevel="0" collapsed="false">
      <c r="A481" s="2" t="n">
        <v>480</v>
      </c>
      <c r="B481" s="2" t="s">
        <v>281</v>
      </c>
      <c r="C481" s="2" t="n">
        <v>62</v>
      </c>
      <c r="D481" s="2" t="n">
        <v>4</v>
      </c>
      <c r="E481" s="82" t="n">
        <v>44991</v>
      </c>
      <c r="F481" s="87" t="n">
        <v>0.187164351851852</v>
      </c>
      <c r="G481" s="82" t="n">
        <v>45001</v>
      </c>
      <c r="H481" s="87" t="n">
        <v>0.930243055555556</v>
      </c>
      <c r="I481" s="2" t="s">
        <v>550</v>
      </c>
      <c r="J481" s="2" t="s">
        <v>33</v>
      </c>
    </row>
    <row r="482" customFormat="false" ht="15" hidden="false" customHeight="false" outlineLevel="0" collapsed="false">
      <c r="A482" s="7" t="n">
        <v>481</v>
      </c>
      <c r="B482" s="7" t="s">
        <v>236</v>
      </c>
      <c r="C482" s="7" t="n">
        <v>12</v>
      </c>
      <c r="D482" s="7" t="n">
        <v>5</v>
      </c>
      <c r="E482" s="77" t="n">
        <v>45159</v>
      </c>
      <c r="F482" s="86" t="n">
        <v>0.000613425925925926</v>
      </c>
      <c r="G482" s="77" t="n">
        <v>45163</v>
      </c>
      <c r="H482" s="86" t="n">
        <v>0.775289351851852</v>
      </c>
      <c r="I482" s="7" t="s">
        <v>253</v>
      </c>
      <c r="J482" s="7" t="s">
        <v>168</v>
      </c>
    </row>
    <row r="483" customFormat="false" ht="15" hidden="false" customHeight="false" outlineLevel="0" collapsed="false">
      <c r="A483" s="2" t="n">
        <v>482</v>
      </c>
      <c r="B483" s="2" t="s">
        <v>254</v>
      </c>
      <c r="C483" s="2" t="n">
        <v>23</v>
      </c>
      <c r="D483" s="2" t="n">
        <v>3</v>
      </c>
      <c r="E483" s="82" t="n">
        <v>45082</v>
      </c>
      <c r="F483" s="87" t="n">
        <v>0.856689814814815</v>
      </c>
      <c r="G483" s="82" t="n">
        <v>45091</v>
      </c>
      <c r="H483" s="87" t="n">
        <v>0.872627314814815</v>
      </c>
      <c r="I483" s="2" t="s">
        <v>474</v>
      </c>
      <c r="J483" s="2" t="s">
        <v>168</v>
      </c>
    </row>
    <row r="484" customFormat="false" ht="15" hidden="false" customHeight="false" outlineLevel="0" collapsed="false">
      <c r="A484" s="7" t="n">
        <v>483</v>
      </c>
      <c r="B484" s="7" t="s">
        <v>142</v>
      </c>
      <c r="C484" s="7" t="n">
        <v>59</v>
      </c>
      <c r="D484" s="7" t="n">
        <v>2</v>
      </c>
      <c r="E484" s="77" t="n">
        <v>45166</v>
      </c>
      <c r="F484" s="86" t="n">
        <v>0.267395833333333</v>
      </c>
      <c r="G484" s="77" t="n">
        <v>45169</v>
      </c>
      <c r="H484" s="86" t="n">
        <v>0.212523148148148</v>
      </c>
      <c r="I484" s="7" t="s">
        <v>518</v>
      </c>
      <c r="J484" s="7" t="s">
        <v>40</v>
      </c>
    </row>
    <row r="485" customFormat="false" ht="15" hidden="false" customHeight="false" outlineLevel="0" collapsed="false">
      <c r="A485" s="2" t="n">
        <v>484</v>
      </c>
      <c r="B485" s="2" t="s">
        <v>206</v>
      </c>
      <c r="C485" s="2" t="n">
        <v>1</v>
      </c>
      <c r="D485" s="2" t="n">
        <v>5</v>
      </c>
      <c r="E485" s="82" t="n">
        <v>45072</v>
      </c>
      <c r="F485" s="87" t="n">
        <v>0.794386574074074</v>
      </c>
      <c r="G485" s="82" t="n">
        <v>45080</v>
      </c>
      <c r="H485" s="87" t="n">
        <v>0.814085648148148</v>
      </c>
      <c r="I485" s="2" t="s">
        <v>494</v>
      </c>
      <c r="J485" s="2" t="s">
        <v>165</v>
      </c>
    </row>
    <row r="486" customFormat="false" ht="15" hidden="false" customHeight="false" outlineLevel="0" collapsed="false">
      <c r="A486" s="7" t="n">
        <v>485</v>
      </c>
      <c r="B486" s="7" t="s">
        <v>196</v>
      </c>
      <c r="C486" s="7" t="n">
        <v>43</v>
      </c>
      <c r="D486" s="7" t="n">
        <v>4</v>
      </c>
      <c r="E486" s="77" t="n">
        <v>45236</v>
      </c>
      <c r="F486" s="86" t="n">
        <v>0.805833333333333</v>
      </c>
      <c r="G486" s="77" t="n">
        <v>45244</v>
      </c>
      <c r="H486" s="86" t="n">
        <v>0.810578703703704</v>
      </c>
      <c r="I486" s="7" t="s">
        <v>262</v>
      </c>
      <c r="J486" s="7" t="s">
        <v>32</v>
      </c>
    </row>
    <row r="487" customFormat="false" ht="15" hidden="false" customHeight="false" outlineLevel="0" collapsed="false">
      <c r="A487" s="2" t="n">
        <v>486</v>
      </c>
      <c r="B487" s="2" t="s">
        <v>198</v>
      </c>
      <c r="C487" s="2" t="n">
        <v>24</v>
      </c>
      <c r="D487" s="2" t="n">
        <v>1</v>
      </c>
      <c r="E487" s="82" t="n">
        <v>45132</v>
      </c>
      <c r="F487" s="87" t="n">
        <v>0.607291666666667</v>
      </c>
      <c r="G487" s="82" t="n">
        <v>45137</v>
      </c>
      <c r="H487" s="87" t="n">
        <v>0.707349537037037</v>
      </c>
      <c r="I487" s="2" t="s">
        <v>166</v>
      </c>
      <c r="J487" s="2" t="s">
        <v>31</v>
      </c>
    </row>
    <row r="488" customFormat="false" ht="15" hidden="false" customHeight="false" outlineLevel="0" collapsed="false">
      <c r="A488" s="7" t="n">
        <v>487</v>
      </c>
      <c r="B488" s="7" t="s">
        <v>263</v>
      </c>
      <c r="C488" s="7" t="n">
        <v>51</v>
      </c>
      <c r="D488" s="7" t="n">
        <v>1</v>
      </c>
      <c r="E488" s="77" t="n">
        <v>44931</v>
      </c>
      <c r="F488" s="86" t="n">
        <v>0.699270833333333</v>
      </c>
      <c r="G488" s="77" t="n">
        <v>44935</v>
      </c>
      <c r="H488" s="86" t="n">
        <v>0.186319444444445</v>
      </c>
      <c r="I488" s="7" t="s">
        <v>557</v>
      </c>
      <c r="J488" s="7" t="s">
        <v>165</v>
      </c>
    </row>
    <row r="489" customFormat="false" ht="15" hidden="false" customHeight="false" outlineLevel="0" collapsed="false">
      <c r="A489" s="2" t="n">
        <v>488</v>
      </c>
      <c r="B489" s="2" t="s">
        <v>188</v>
      </c>
      <c r="C489" s="2" t="n">
        <v>21</v>
      </c>
      <c r="D489" s="2" t="n">
        <v>4</v>
      </c>
      <c r="E489" s="82" t="n">
        <v>45166</v>
      </c>
      <c r="F489" s="87" t="n">
        <v>0.926041666666667</v>
      </c>
      <c r="G489" s="82" t="n">
        <v>45167</v>
      </c>
      <c r="H489" s="87" t="n">
        <v>0.226956018518519</v>
      </c>
      <c r="I489" s="2" t="s">
        <v>511</v>
      </c>
      <c r="J489" s="2" t="s">
        <v>40</v>
      </c>
    </row>
    <row r="490" customFormat="false" ht="15" hidden="false" customHeight="false" outlineLevel="0" collapsed="false">
      <c r="A490" s="7" t="n">
        <v>489</v>
      </c>
      <c r="B490" s="7" t="s">
        <v>316</v>
      </c>
      <c r="C490" s="7" t="n">
        <v>10</v>
      </c>
      <c r="D490" s="7" t="n">
        <v>1</v>
      </c>
      <c r="E490" s="77" t="n">
        <v>45166</v>
      </c>
      <c r="F490" s="86" t="n">
        <v>0.93537037037037</v>
      </c>
      <c r="G490" s="77" t="n">
        <v>45171</v>
      </c>
      <c r="H490" s="86" t="n">
        <v>0.188032407407407</v>
      </c>
      <c r="I490" s="7" t="s">
        <v>458</v>
      </c>
      <c r="J490" s="7" t="s">
        <v>31</v>
      </c>
    </row>
    <row r="491" customFormat="false" ht="15" hidden="false" customHeight="false" outlineLevel="0" collapsed="false">
      <c r="A491" s="2" t="n">
        <v>490</v>
      </c>
      <c r="B491" s="2" t="s">
        <v>325</v>
      </c>
      <c r="C491" s="2" t="n">
        <v>2</v>
      </c>
      <c r="D491" s="2" t="n">
        <v>1</v>
      </c>
      <c r="E491" s="82" t="n">
        <v>44969</v>
      </c>
      <c r="F491" s="87" t="n">
        <v>0.519479166666667</v>
      </c>
      <c r="G491" s="82" t="n">
        <v>44971</v>
      </c>
      <c r="H491" s="87" t="n">
        <v>0.518969907407407</v>
      </c>
      <c r="I491" s="2" t="s">
        <v>359</v>
      </c>
      <c r="J491" s="2" t="s">
        <v>179</v>
      </c>
    </row>
    <row r="492" customFormat="false" ht="15" hidden="false" customHeight="false" outlineLevel="0" collapsed="false">
      <c r="A492" s="7" t="n">
        <v>491</v>
      </c>
      <c r="B492" s="7" t="s">
        <v>379</v>
      </c>
      <c r="C492" s="7" t="n">
        <v>30</v>
      </c>
      <c r="D492" s="7" t="n">
        <v>1</v>
      </c>
      <c r="E492" s="77" t="n">
        <v>45223</v>
      </c>
      <c r="F492" s="86" t="n">
        <v>0.260115740740741</v>
      </c>
      <c r="G492" s="77" t="n">
        <v>45232</v>
      </c>
      <c r="H492" s="86" t="n">
        <v>0.95787037037037</v>
      </c>
      <c r="I492" s="7" t="s">
        <v>497</v>
      </c>
      <c r="J492" s="7" t="s">
        <v>168</v>
      </c>
    </row>
    <row r="493" customFormat="false" ht="15" hidden="false" customHeight="false" outlineLevel="0" collapsed="false">
      <c r="A493" s="2" t="n">
        <v>492</v>
      </c>
      <c r="B493" s="2" t="s">
        <v>245</v>
      </c>
      <c r="C493" s="2" t="n">
        <v>33</v>
      </c>
      <c r="D493" s="2" t="n">
        <v>2</v>
      </c>
      <c r="E493" s="82" t="n">
        <v>44961</v>
      </c>
      <c r="F493" s="87" t="n">
        <v>0.579456018518519</v>
      </c>
      <c r="G493" s="82" t="n">
        <v>44970</v>
      </c>
      <c r="H493" s="87" t="n">
        <v>0.503159722222222</v>
      </c>
      <c r="I493" s="2" t="s">
        <v>553</v>
      </c>
      <c r="J493" s="2" t="s">
        <v>179</v>
      </c>
    </row>
    <row r="494" customFormat="false" ht="15" hidden="false" customHeight="false" outlineLevel="0" collapsed="false">
      <c r="A494" s="7" t="n">
        <v>493</v>
      </c>
      <c r="B494" s="7" t="s">
        <v>209</v>
      </c>
      <c r="C494" s="7" t="n">
        <v>11</v>
      </c>
      <c r="D494" s="7" t="n">
        <v>1</v>
      </c>
      <c r="E494" s="77" t="n">
        <v>44962</v>
      </c>
      <c r="F494" s="86" t="n">
        <v>0.924583333333333</v>
      </c>
      <c r="G494" s="77" t="n">
        <v>44963</v>
      </c>
      <c r="H494" s="86" t="n">
        <v>0.654988425925926</v>
      </c>
      <c r="I494" s="7" t="s">
        <v>391</v>
      </c>
      <c r="J494" s="7" t="s">
        <v>179</v>
      </c>
    </row>
    <row r="495" customFormat="false" ht="15" hidden="false" customHeight="false" outlineLevel="0" collapsed="false">
      <c r="A495" s="2" t="n">
        <v>494</v>
      </c>
      <c r="B495" s="2" t="s">
        <v>344</v>
      </c>
      <c r="C495" s="2" t="n">
        <v>7</v>
      </c>
      <c r="D495" s="2" t="n">
        <v>4</v>
      </c>
      <c r="E495" s="82" t="n">
        <v>44985</v>
      </c>
      <c r="F495" s="87" t="n">
        <v>0.132893518518519</v>
      </c>
      <c r="G495" s="82" t="n">
        <v>44993</v>
      </c>
      <c r="H495" s="87" t="n">
        <v>0.796388888888889</v>
      </c>
      <c r="I495" s="2" t="s">
        <v>547</v>
      </c>
      <c r="J495" s="2" t="s">
        <v>33</v>
      </c>
    </row>
    <row r="496" customFormat="false" ht="15" hidden="false" customHeight="false" outlineLevel="0" collapsed="false">
      <c r="A496" s="7" t="n">
        <v>495</v>
      </c>
      <c r="B496" s="7" t="s">
        <v>142</v>
      </c>
      <c r="C496" s="7" t="n">
        <v>20</v>
      </c>
      <c r="D496" s="7" t="n">
        <v>1</v>
      </c>
      <c r="E496" s="77" t="n">
        <v>45166</v>
      </c>
      <c r="F496" s="86" t="n">
        <v>0.737835648148148</v>
      </c>
      <c r="G496" s="77" t="n">
        <v>45167</v>
      </c>
      <c r="H496" s="86" t="n">
        <v>0.95244212962963</v>
      </c>
      <c r="I496" s="7" t="s">
        <v>528</v>
      </c>
      <c r="J496" s="7" t="s">
        <v>168</v>
      </c>
    </row>
    <row r="497" customFormat="false" ht="15" hidden="false" customHeight="false" outlineLevel="0" collapsed="false">
      <c r="A497" s="2" t="n">
        <v>496</v>
      </c>
      <c r="B497" s="2" t="s">
        <v>178</v>
      </c>
      <c r="C497" s="2" t="n">
        <v>11</v>
      </c>
      <c r="D497" s="2" t="n">
        <v>4</v>
      </c>
      <c r="E497" s="82" t="n">
        <v>44966</v>
      </c>
      <c r="F497" s="87" t="n">
        <v>0.605520833333333</v>
      </c>
      <c r="G497" s="82" t="n">
        <v>44973</v>
      </c>
      <c r="H497" s="87" t="n">
        <v>0.545613425925926</v>
      </c>
      <c r="I497" s="2" t="s">
        <v>555</v>
      </c>
      <c r="J497" s="2" t="s">
        <v>179</v>
      </c>
    </row>
    <row r="498" customFormat="false" ht="15" hidden="false" customHeight="false" outlineLevel="0" collapsed="false">
      <c r="A498" s="7" t="n">
        <v>497</v>
      </c>
      <c r="B498" s="7" t="s">
        <v>341</v>
      </c>
      <c r="C498" s="7" t="n">
        <v>64</v>
      </c>
      <c r="D498" s="7" t="n">
        <v>2</v>
      </c>
      <c r="E498" s="77" t="n">
        <v>45167</v>
      </c>
      <c r="F498" s="86" t="n">
        <v>0.84306712962963</v>
      </c>
      <c r="G498" s="77" t="n">
        <v>45170</v>
      </c>
      <c r="H498" s="86" t="n">
        <v>0.196481481481482</v>
      </c>
      <c r="I498" s="7" t="s">
        <v>156</v>
      </c>
      <c r="J498" s="7" t="s">
        <v>40</v>
      </c>
    </row>
    <row r="499" customFormat="false" ht="15" hidden="false" customHeight="false" outlineLevel="0" collapsed="false">
      <c r="A499" s="2" t="n">
        <v>498</v>
      </c>
      <c r="B499" s="2" t="s">
        <v>392</v>
      </c>
      <c r="C499" s="2" t="n">
        <v>19</v>
      </c>
      <c r="D499" s="2" t="n">
        <v>4</v>
      </c>
      <c r="E499" s="82" t="n">
        <v>44970</v>
      </c>
      <c r="F499" s="87" t="n">
        <v>0.89912037037037</v>
      </c>
      <c r="G499" s="82" t="n">
        <v>44977</v>
      </c>
      <c r="H499" s="87" t="n">
        <v>0.885</v>
      </c>
      <c r="I499" s="2" t="s">
        <v>265</v>
      </c>
      <c r="J499" s="2" t="s">
        <v>179</v>
      </c>
    </row>
    <row r="500" customFormat="false" ht="15" hidden="false" customHeight="false" outlineLevel="0" collapsed="false">
      <c r="A500" s="7" t="n">
        <v>499</v>
      </c>
      <c r="B500" s="7" t="s">
        <v>200</v>
      </c>
      <c r="C500" s="7" t="n">
        <v>59</v>
      </c>
      <c r="D500" s="7" t="n">
        <v>1</v>
      </c>
      <c r="E500" s="77" t="n">
        <v>45165</v>
      </c>
      <c r="F500" s="86" t="n">
        <v>0.506481481481482</v>
      </c>
      <c r="G500" s="77" t="n">
        <v>45171</v>
      </c>
      <c r="H500" s="86" t="n">
        <v>0.41912037037037</v>
      </c>
      <c r="I500" s="7" t="s">
        <v>420</v>
      </c>
      <c r="J500" s="7" t="s">
        <v>40</v>
      </c>
    </row>
    <row r="501" customFormat="false" ht="15" hidden="false" customHeight="false" outlineLevel="0" collapsed="false">
      <c r="A501" s="2" t="n">
        <v>500</v>
      </c>
      <c r="B501" s="2" t="s">
        <v>159</v>
      </c>
      <c r="C501" s="2" t="n">
        <v>61</v>
      </c>
      <c r="D501" s="2" t="n">
        <v>2</v>
      </c>
      <c r="E501" s="82" t="n">
        <v>45106</v>
      </c>
      <c r="F501" s="87" t="n">
        <v>0.42212962962963</v>
      </c>
      <c r="G501" s="82" t="n">
        <v>45112</v>
      </c>
      <c r="H501" s="87" t="n">
        <v>0.510011574074074</v>
      </c>
      <c r="I501" s="2" t="s">
        <v>287</v>
      </c>
      <c r="J501" s="2" t="s">
        <v>168</v>
      </c>
    </row>
    <row r="502" customFormat="false" ht="15" hidden="false" customHeight="false" outlineLevel="0" collapsed="false">
      <c r="A502" s="7" t="n">
        <v>501</v>
      </c>
      <c r="B502" s="7" t="s">
        <v>300</v>
      </c>
      <c r="C502" s="7" t="n">
        <v>46</v>
      </c>
      <c r="D502" s="7" t="n">
        <v>2</v>
      </c>
      <c r="E502" s="77" t="n">
        <v>45171</v>
      </c>
      <c r="F502" s="86" t="n">
        <v>0.685891203703704</v>
      </c>
      <c r="G502" s="77" t="n">
        <v>45177</v>
      </c>
      <c r="H502" s="86" t="n">
        <v>0.315</v>
      </c>
      <c r="I502" s="7" t="s">
        <v>508</v>
      </c>
      <c r="J502" s="7" t="s">
        <v>168</v>
      </c>
    </row>
    <row r="503" customFormat="false" ht="15" hidden="false" customHeight="false" outlineLevel="0" collapsed="false">
      <c r="A503" s="2" t="n">
        <v>502</v>
      </c>
      <c r="B503" s="2" t="s">
        <v>390</v>
      </c>
      <c r="C503" s="2" t="n">
        <v>22</v>
      </c>
      <c r="D503" s="2" t="n">
        <v>5</v>
      </c>
      <c r="E503" s="82" t="n">
        <v>45101</v>
      </c>
      <c r="F503" s="87" t="n">
        <v>0.231481481481482</v>
      </c>
      <c r="G503" s="82" t="n">
        <v>45107</v>
      </c>
      <c r="H503" s="87" t="n">
        <v>0.0387037037037037</v>
      </c>
      <c r="I503" s="2" t="s">
        <v>496</v>
      </c>
      <c r="J503" s="2" t="s">
        <v>165</v>
      </c>
    </row>
    <row r="504" customFormat="false" ht="15" hidden="false" customHeight="false" outlineLevel="0" collapsed="false">
      <c r="A504" s="7" t="n">
        <v>503</v>
      </c>
      <c r="B504" s="7" t="s">
        <v>176</v>
      </c>
      <c r="C504" s="7" t="n">
        <v>34</v>
      </c>
      <c r="D504" s="7" t="n">
        <v>1</v>
      </c>
      <c r="E504" s="77" t="n">
        <v>45167</v>
      </c>
      <c r="F504" s="86" t="n">
        <v>0.865104166666667</v>
      </c>
      <c r="G504" s="77" t="n">
        <v>45175</v>
      </c>
      <c r="H504" s="86" t="n">
        <v>0.326319444444444</v>
      </c>
      <c r="I504" s="7" t="s">
        <v>330</v>
      </c>
      <c r="J504" s="7" t="s">
        <v>40</v>
      </c>
    </row>
    <row r="505" customFormat="false" ht="15" hidden="false" customHeight="false" outlineLevel="0" collapsed="false">
      <c r="A505" s="2" t="n">
        <v>504</v>
      </c>
      <c r="B505" s="2" t="s">
        <v>278</v>
      </c>
      <c r="C505" s="2" t="n">
        <v>25</v>
      </c>
      <c r="D505" s="2" t="n">
        <v>1</v>
      </c>
      <c r="E505" s="82" t="n">
        <v>45121</v>
      </c>
      <c r="F505" s="87" t="n">
        <v>0.544930555555556</v>
      </c>
      <c r="G505" s="82" t="n">
        <v>45131</v>
      </c>
      <c r="H505" s="87" t="n">
        <v>0.222638888888889</v>
      </c>
      <c r="I505" s="2" t="s">
        <v>487</v>
      </c>
      <c r="J505" s="2" t="s">
        <v>168</v>
      </c>
    </row>
    <row r="506" customFormat="false" ht="15" hidden="false" customHeight="false" outlineLevel="0" collapsed="false">
      <c r="A506" s="7" t="n">
        <v>505</v>
      </c>
      <c r="B506" s="7" t="s">
        <v>194</v>
      </c>
      <c r="C506" s="7" t="n">
        <v>45</v>
      </c>
      <c r="D506" s="7" t="n">
        <v>3</v>
      </c>
      <c r="E506" s="77" t="n">
        <v>45079</v>
      </c>
      <c r="F506" s="86" t="n">
        <v>0.555150462962963</v>
      </c>
      <c r="G506" s="77" t="n">
        <v>45082</v>
      </c>
      <c r="H506" s="86" t="n">
        <v>0.0830092592592593</v>
      </c>
      <c r="I506" s="7" t="s">
        <v>153</v>
      </c>
      <c r="J506" s="7" t="s">
        <v>31</v>
      </c>
    </row>
    <row r="507" customFormat="false" ht="15" hidden="false" customHeight="false" outlineLevel="0" collapsed="false">
      <c r="A507" s="2" t="n">
        <v>506</v>
      </c>
      <c r="B507" s="2" t="s">
        <v>278</v>
      </c>
      <c r="C507" s="2" t="n">
        <v>55</v>
      </c>
      <c r="D507" s="2" t="n">
        <v>4</v>
      </c>
      <c r="E507" s="82" t="n">
        <v>45165</v>
      </c>
      <c r="F507" s="87" t="n">
        <v>0.369490740740741</v>
      </c>
      <c r="G507" s="82" t="n">
        <v>45171</v>
      </c>
      <c r="H507" s="87" t="n">
        <v>0.488472222222222</v>
      </c>
      <c r="I507" s="2" t="s">
        <v>589</v>
      </c>
      <c r="J507" s="2" t="s">
        <v>40</v>
      </c>
    </row>
    <row r="508" customFormat="false" ht="15" hidden="false" customHeight="false" outlineLevel="0" collapsed="false">
      <c r="A508" s="7" t="n">
        <v>507</v>
      </c>
      <c r="B508" s="7" t="s">
        <v>194</v>
      </c>
      <c r="C508" s="7" t="n">
        <v>13</v>
      </c>
      <c r="D508" s="7" t="n">
        <v>4</v>
      </c>
      <c r="E508" s="77" t="n">
        <v>44992</v>
      </c>
      <c r="F508" s="86" t="n">
        <v>0.0195717592592593</v>
      </c>
      <c r="G508" s="77" t="n">
        <v>44998</v>
      </c>
      <c r="H508" s="86" t="n">
        <v>0.841388888888889</v>
      </c>
      <c r="I508" s="7" t="s">
        <v>480</v>
      </c>
      <c r="J508" s="7" t="s">
        <v>33</v>
      </c>
    </row>
    <row r="509" customFormat="false" ht="15" hidden="false" customHeight="false" outlineLevel="0" collapsed="false">
      <c r="A509" s="2" t="n">
        <v>508</v>
      </c>
      <c r="B509" s="2" t="s">
        <v>209</v>
      </c>
      <c r="C509" s="2" t="n">
        <v>69</v>
      </c>
      <c r="D509" s="2" t="n">
        <v>1</v>
      </c>
      <c r="E509" s="82" t="n">
        <v>44983</v>
      </c>
      <c r="F509" s="87" t="n">
        <v>0.728796296296296</v>
      </c>
      <c r="G509" s="82" t="n">
        <v>44989</v>
      </c>
      <c r="H509" s="87" t="n">
        <v>0.299375</v>
      </c>
      <c r="I509" s="2" t="s">
        <v>603</v>
      </c>
      <c r="J509" s="2" t="s">
        <v>33</v>
      </c>
    </row>
    <row r="510" customFormat="false" ht="15" hidden="false" customHeight="false" outlineLevel="0" collapsed="false">
      <c r="A510" s="7" t="n">
        <v>509</v>
      </c>
      <c r="B510" s="7" t="s">
        <v>130</v>
      </c>
      <c r="C510" s="7" t="n">
        <v>13</v>
      </c>
      <c r="D510" s="7" t="n">
        <v>5</v>
      </c>
      <c r="E510" s="77" t="n">
        <v>44990</v>
      </c>
      <c r="F510" s="86" t="n">
        <v>0.533969907407408</v>
      </c>
      <c r="G510" s="77" t="n">
        <v>44994</v>
      </c>
      <c r="H510" s="86" t="n">
        <v>0.324490740740741</v>
      </c>
      <c r="I510" s="7" t="s">
        <v>601</v>
      </c>
      <c r="J510" s="7" t="s">
        <v>33</v>
      </c>
    </row>
    <row r="511" customFormat="false" ht="15" hidden="false" customHeight="false" outlineLevel="0" collapsed="false">
      <c r="A511" s="2" t="n">
        <v>510</v>
      </c>
      <c r="B511" s="2" t="s">
        <v>170</v>
      </c>
      <c r="C511" s="2" t="n">
        <v>54</v>
      </c>
      <c r="D511" s="2" t="n">
        <v>5</v>
      </c>
      <c r="E511" s="82" t="n">
        <v>45268</v>
      </c>
      <c r="F511" s="87" t="n">
        <v>0.541724537037037</v>
      </c>
      <c r="G511" s="82" t="n">
        <v>45277</v>
      </c>
      <c r="H511" s="87" t="n">
        <v>0.260266203703704</v>
      </c>
      <c r="I511" s="2" t="s">
        <v>521</v>
      </c>
      <c r="J511" s="2" t="s">
        <v>168</v>
      </c>
    </row>
    <row r="512" customFormat="false" ht="15" hidden="false" customHeight="false" outlineLevel="0" collapsed="false">
      <c r="A512" s="7" t="n">
        <v>511</v>
      </c>
      <c r="B512" s="7" t="s">
        <v>269</v>
      </c>
      <c r="C512" s="7" t="n">
        <v>47</v>
      </c>
      <c r="D512" s="7" t="n">
        <v>2</v>
      </c>
      <c r="E512" s="77" t="n">
        <v>44984</v>
      </c>
      <c r="F512" s="86" t="n">
        <v>0.540335648148148</v>
      </c>
      <c r="G512" s="77" t="n">
        <v>44989</v>
      </c>
      <c r="H512" s="86" t="n">
        <v>0.0320717592592593</v>
      </c>
      <c r="I512" s="7" t="s">
        <v>349</v>
      </c>
      <c r="J512" s="7" t="s">
        <v>33</v>
      </c>
    </row>
    <row r="513" customFormat="false" ht="15" hidden="false" customHeight="false" outlineLevel="0" collapsed="false">
      <c r="A513" s="2" t="n">
        <v>512</v>
      </c>
      <c r="B513" s="2" t="s">
        <v>145</v>
      </c>
      <c r="C513" s="2" t="n">
        <v>41</v>
      </c>
      <c r="D513" s="2" t="n">
        <v>1</v>
      </c>
      <c r="E513" s="82" t="n">
        <v>45235</v>
      </c>
      <c r="F513" s="87" t="n">
        <v>0.112974537037037</v>
      </c>
      <c r="G513" s="82" t="n">
        <v>45241</v>
      </c>
      <c r="H513" s="87" t="n">
        <v>0.549074074074074</v>
      </c>
      <c r="I513" s="2" t="s">
        <v>544</v>
      </c>
      <c r="J513" s="2" t="s">
        <v>32</v>
      </c>
    </row>
    <row r="514" customFormat="false" ht="15" hidden="false" customHeight="false" outlineLevel="0" collapsed="false">
      <c r="A514" s="7" t="n">
        <v>513</v>
      </c>
      <c r="B514" s="7" t="s">
        <v>360</v>
      </c>
      <c r="C514" s="7" t="n">
        <v>1</v>
      </c>
      <c r="D514" s="7" t="n">
        <v>4</v>
      </c>
      <c r="E514" s="77" t="n">
        <v>45012</v>
      </c>
      <c r="F514" s="86" t="n">
        <v>0.414953703703704</v>
      </c>
      <c r="G514" s="77" t="n">
        <v>45018</v>
      </c>
      <c r="H514" s="86" t="n">
        <v>0.581030092592593</v>
      </c>
      <c r="I514" s="7" t="s">
        <v>504</v>
      </c>
      <c r="J514" s="7" t="s">
        <v>165</v>
      </c>
    </row>
    <row r="515" customFormat="false" ht="15" hidden="false" customHeight="false" outlineLevel="0" collapsed="false">
      <c r="A515" s="2" t="n">
        <v>514</v>
      </c>
      <c r="B515" s="2" t="s">
        <v>366</v>
      </c>
      <c r="C515" s="2" t="n">
        <v>24</v>
      </c>
      <c r="D515" s="2" t="n">
        <v>1</v>
      </c>
      <c r="E515" s="82" t="n">
        <v>44927</v>
      </c>
      <c r="F515" s="87" t="n">
        <v>0.41400462962963</v>
      </c>
      <c r="G515" s="82" t="n">
        <v>44935</v>
      </c>
      <c r="H515" s="87" t="n">
        <v>0.747824074074074</v>
      </c>
      <c r="I515" s="2" t="s">
        <v>153</v>
      </c>
      <c r="J515" s="2" t="s">
        <v>31</v>
      </c>
    </row>
    <row r="516" customFormat="false" ht="15" hidden="false" customHeight="false" outlineLevel="0" collapsed="false">
      <c r="A516" s="7" t="n">
        <v>515</v>
      </c>
      <c r="B516" s="7" t="s">
        <v>334</v>
      </c>
      <c r="C516" s="7" t="n">
        <v>14</v>
      </c>
      <c r="D516" s="7" t="n">
        <v>5</v>
      </c>
      <c r="E516" s="77" t="n">
        <v>45220</v>
      </c>
      <c r="F516" s="86" t="n">
        <v>0.9740625</v>
      </c>
      <c r="G516" s="77" t="n">
        <v>45226</v>
      </c>
      <c r="H516" s="86" t="n">
        <v>0.624872685185185</v>
      </c>
      <c r="I516" s="7" t="s">
        <v>602</v>
      </c>
      <c r="J516" s="7" t="s">
        <v>31</v>
      </c>
    </row>
    <row r="517" customFormat="false" ht="15" hidden="false" customHeight="false" outlineLevel="0" collapsed="false">
      <c r="A517" s="2" t="n">
        <v>516</v>
      </c>
      <c r="B517" s="2" t="s">
        <v>176</v>
      </c>
      <c r="C517" s="2" t="n">
        <v>22</v>
      </c>
      <c r="D517" s="2" t="n">
        <v>2</v>
      </c>
      <c r="E517" s="82" t="n">
        <v>45112</v>
      </c>
      <c r="F517" s="87" t="n">
        <v>0.870092592592593</v>
      </c>
      <c r="G517" s="82" t="n">
        <v>45113</v>
      </c>
      <c r="H517" s="87" t="n">
        <v>0.0460648148148148</v>
      </c>
      <c r="I517" s="2" t="s">
        <v>384</v>
      </c>
      <c r="J517" s="2" t="s">
        <v>165</v>
      </c>
    </row>
    <row r="518" customFormat="false" ht="15" hidden="false" customHeight="false" outlineLevel="0" collapsed="false">
      <c r="A518" s="7" t="n">
        <v>517</v>
      </c>
      <c r="B518" s="7" t="s">
        <v>294</v>
      </c>
      <c r="C518" s="7" t="n">
        <v>60</v>
      </c>
      <c r="D518" s="7" t="n">
        <v>5</v>
      </c>
      <c r="E518" s="77" t="n">
        <v>45239</v>
      </c>
      <c r="F518" s="86" t="n">
        <v>0.0425115740740741</v>
      </c>
      <c r="G518" s="77" t="n">
        <v>45247</v>
      </c>
      <c r="H518" s="86" t="n">
        <v>0.795081018518519</v>
      </c>
      <c r="I518" s="7" t="s">
        <v>150</v>
      </c>
      <c r="J518" s="7" t="s">
        <v>32</v>
      </c>
    </row>
    <row r="519" customFormat="false" ht="15" hidden="false" customHeight="false" outlineLevel="0" collapsed="false">
      <c r="A519" s="2" t="n">
        <v>518</v>
      </c>
      <c r="B519" s="2" t="s">
        <v>239</v>
      </c>
      <c r="C519" s="2" t="n">
        <v>45</v>
      </c>
      <c r="D519" s="2" t="n">
        <v>3</v>
      </c>
      <c r="E519" s="82" t="n">
        <v>45025</v>
      </c>
      <c r="F519" s="87" t="n">
        <v>0.199085648148148</v>
      </c>
      <c r="G519" s="82" t="n">
        <v>45031</v>
      </c>
      <c r="H519" s="87" t="n">
        <v>0.819976851851852</v>
      </c>
      <c r="I519" s="2" t="s">
        <v>135</v>
      </c>
      <c r="J519" s="2" t="s">
        <v>31</v>
      </c>
    </row>
    <row r="520" customFormat="false" ht="15" hidden="false" customHeight="false" outlineLevel="0" collapsed="false">
      <c r="A520" s="7" t="n">
        <v>519</v>
      </c>
      <c r="B520" s="7" t="s">
        <v>161</v>
      </c>
      <c r="C520" s="7" t="n">
        <v>52</v>
      </c>
      <c r="D520" s="7" t="n">
        <v>4</v>
      </c>
      <c r="E520" s="77" t="n">
        <v>44964</v>
      </c>
      <c r="F520" s="86" t="n">
        <v>0.965717592592593</v>
      </c>
      <c r="G520" s="77" t="n">
        <v>44972</v>
      </c>
      <c r="H520" s="86" t="n">
        <v>0.278009259259259</v>
      </c>
      <c r="I520" s="7" t="s">
        <v>410</v>
      </c>
      <c r="J520" s="7" t="s">
        <v>179</v>
      </c>
    </row>
    <row r="521" customFormat="false" ht="15" hidden="false" customHeight="false" outlineLevel="0" collapsed="false">
      <c r="A521" s="2" t="n">
        <v>520</v>
      </c>
      <c r="B521" s="2" t="s">
        <v>190</v>
      </c>
      <c r="C521" s="2" t="n">
        <v>14</v>
      </c>
      <c r="D521" s="2" t="n">
        <v>5</v>
      </c>
      <c r="E521" s="82" t="n">
        <v>45023</v>
      </c>
      <c r="F521" s="87" t="n">
        <v>0.197118055555556</v>
      </c>
      <c r="G521" s="82" t="n">
        <v>45024</v>
      </c>
      <c r="H521" s="87" t="n">
        <v>0.34837962962963</v>
      </c>
      <c r="I521" s="2" t="s">
        <v>499</v>
      </c>
      <c r="J521" s="2" t="s">
        <v>31</v>
      </c>
    </row>
    <row r="522" customFormat="false" ht="15" hidden="false" customHeight="false" outlineLevel="0" collapsed="false">
      <c r="A522" s="7" t="n">
        <v>521</v>
      </c>
      <c r="B522" s="7" t="s">
        <v>288</v>
      </c>
      <c r="C522" s="7" t="n">
        <v>33</v>
      </c>
      <c r="D522" s="7" t="n">
        <v>5</v>
      </c>
      <c r="E522" s="77" t="n">
        <v>44961</v>
      </c>
      <c r="F522" s="86" t="n">
        <v>0.875196759259259</v>
      </c>
      <c r="G522" s="77" t="n">
        <v>44965</v>
      </c>
      <c r="H522" s="86" t="n">
        <v>0.103217592592593</v>
      </c>
      <c r="I522" s="7" t="s">
        <v>512</v>
      </c>
      <c r="J522" s="7" t="s">
        <v>179</v>
      </c>
    </row>
    <row r="523" customFormat="false" ht="15" hidden="false" customHeight="false" outlineLevel="0" collapsed="false">
      <c r="A523" s="2" t="n">
        <v>522</v>
      </c>
      <c r="B523" s="2" t="s">
        <v>154</v>
      </c>
      <c r="C523" s="2" t="n">
        <v>50</v>
      </c>
      <c r="D523" s="2" t="n">
        <v>3</v>
      </c>
      <c r="E523" s="82" t="n">
        <v>44984</v>
      </c>
      <c r="F523" s="87" t="n">
        <v>0.878101851851852</v>
      </c>
      <c r="G523" s="82" t="n">
        <v>44993</v>
      </c>
      <c r="H523" s="87" t="n">
        <v>0.0658564814814815</v>
      </c>
      <c r="I523" s="2" t="s">
        <v>189</v>
      </c>
      <c r="J523" s="2" t="s">
        <v>33</v>
      </c>
    </row>
    <row r="524" customFormat="false" ht="15" hidden="false" customHeight="false" outlineLevel="0" collapsed="false">
      <c r="A524" s="7" t="n">
        <v>523</v>
      </c>
      <c r="B524" s="7" t="s">
        <v>313</v>
      </c>
      <c r="C524" s="7" t="n">
        <v>30</v>
      </c>
      <c r="D524" s="7" t="n">
        <v>3</v>
      </c>
      <c r="E524" s="77" t="n">
        <v>45109</v>
      </c>
      <c r="F524" s="86" t="n">
        <v>0.567453703703704</v>
      </c>
      <c r="G524" s="77" t="n">
        <v>45116</v>
      </c>
      <c r="H524" s="86" t="n">
        <v>0.651805555555556</v>
      </c>
      <c r="I524" s="7" t="s">
        <v>498</v>
      </c>
      <c r="J524" s="7" t="s">
        <v>168</v>
      </c>
    </row>
    <row r="525" customFormat="false" ht="15" hidden="false" customHeight="false" outlineLevel="0" collapsed="false">
      <c r="A525" s="2" t="n">
        <v>524</v>
      </c>
      <c r="B525" s="2" t="s">
        <v>350</v>
      </c>
      <c r="C525" s="2" t="n">
        <v>45</v>
      </c>
      <c r="D525" s="2" t="n">
        <v>1</v>
      </c>
      <c r="E525" s="82" t="n">
        <v>45153</v>
      </c>
      <c r="F525" s="87" t="n">
        <v>0.579791666666667</v>
      </c>
      <c r="G525" s="82" t="n">
        <v>45160</v>
      </c>
      <c r="H525" s="87" t="n">
        <v>0.52068287037037</v>
      </c>
      <c r="I525" s="2" t="s">
        <v>430</v>
      </c>
      <c r="J525" s="2" t="s">
        <v>31</v>
      </c>
    </row>
    <row r="526" customFormat="false" ht="15" hidden="false" customHeight="false" outlineLevel="0" collapsed="false">
      <c r="A526" s="7" t="n">
        <v>525</v>
      </c>
      <c r="B526" s="7" t="s">
        <v>204</v>
      </c>
      <c r="C526" s="7" t="n">
        <v>16</v>
      </c>
      <c r="D526" s="7" t="n">
        <v>2</v>
      </c>
      <c r="E526" s="77" t="n">
        <v>44987</v>
      </c>
      <c r="F526" s="86" t="n">
        <v>0.837592592592593</v>
      </c>
      <c r="G526" s="77" t="n">
        <v>44996</v>
      </c>
      <c r="H526" s="86" t="n">
        <v>0.932349537037037</v>
      </c>
      <c r="I526" s="7" t="s">
        <v>226</v>
      </c>
      <c r="J526" s="7" t="s">
        <v>33</v>
      </c>
    </row>
    <row r="527" customFormat="false" ht="15" hidden="false" customHeight="false" outlineLevel="0" collapsed="false">
      <c r="A527" s="2" t="n">
        <v>526</v>
      </c>
      <c r="B527" s="2" t="s">
        <v>145</v>
      </c>
      <c r="C527" s="2" t="n">
        <v>13</v>
      </c>
      <c r="D527" s="2" t="n">
        <v>5</v>
      </c>
      <c r="E527" s="82" t="n">
        <v>44987</v>
      </c>
      <c r="F527" s="87" t="n">
        <v>0.254398148148148</v>
      </c>
      <c r="G527" s="82" t="n">
        <v>44993</v>
      </c>
      <c r="H527" s="87" t="n">
        <v>0.0660300925925926</v>
      </c>
      <c r="I527" s="2" t="s">
        <v>197</v>
      </c>
      <c r="J527" s="2" t="s">
        <v>33</v>
      </c>
    </row>
    <row r="528" customFormat="false" ht="15" hidden="false" customHeight="false" outlineLevel="0" collapsed="false">
      <c r="A528" s="7" t="n">
        <v>527</v>
      </c>
      <c r="B528" s="7" t="s">
        <v>212</v>
      </c>
      <c r="C528" s="7" t="n">
        <v>33</v>
      </c>
      <c r="D528" s="7" t="n">
        <v>3</v>
      </c>
      <c r="E528" s="77" t="n">
        <v>44968</v>
      </c>
      <c r="F528" s="86" t="n">
        <v>0.53587962962963</v>
      </c>
      <c r="G528" s="77" t="n">
        <v>44976</v>
      </c>
      <c r="H528" s="86" t="n">
        <v>0.665358796296296</v>
      </c>
      <c r="I528" s="7" t="s">
        <v>201</v>
      </c>
      <c r="J528" s="7" t="s">
        <v>179</v>
      </c>
    </row>
    <row r="529" customFormat="false" ht="15" hidden="false" customHeight="false" outlineLevel="0" collapsed="false">
      <c r="A529" s="2" t="n">
        <v>528</v>
      </c>
      <c r="B529" s="2" t="s">
        <v>124</v>
      </c>
      <c r="C529" s="2" t="n">
        <v>27</v>
      </c>
      <c r="D529" s="2" t="n">
        <v>3</v>
      </c>
      <c r="E529" s="82" t="n">
        <v>45165</v>
      </c>
      <c r="F529" s="87" t="n">
        <v>0.209212962962963</v>
      </c>
      <c r="G529" s="82" t="n">
        <v>45168</v>
      </c>
      <c r="H529" s="87" t="n">
        <v>0.710914351851852</v>
      </c>
      <c r="I529" s="2" t="s">
        <v>592</v>
      </c>
      <c r="J529" s="2" t="s">
        <v>40</v>
      </c>
    </row>
    <row r="530" customFormat="false" ht="15" hidden="false" customHeight="false" outlineLevel="0" collapsed="false">
      <c r="A530" s="7" t="n">
        <v>529</v>
      </c>
      <c r="B530" s="7" t="s">
        <v>159</v>
      </c>
      <c r="C530" s="7" t="n">
        <v>64</v>
      </c>
      <c r="D530" s="7" t="n">
        <v>2</v>
      </c>
      <c r="E530" s="77" t="n">
        <v>45163</v>
      </c>
      <c r="F530" s="86" t="n">
        <v>0.657962962962963</v>
      </c>
      <c r="G530" s="77" t="n">
        <v>45166</v>
      </c>
      <c r="H530" s="86" t="n">
        <v>0.587013888888889</v>
      </c>
      <c r="I530" s="7" t="s">
        <v>477</v>
      </c>
      <c r="J530" s="7" t="s">
        <v>40</v>
      </c>
    </row>
    <row r="531" customFormat="false" ht="15" hidden="false" customHeight="false" outlineLevel="0" collapsed="false">
      <c r="A531" s="2" t="n">
        <v>530</v>
      </c>
      <c r="B531" s="2" t="s">
        <v>145</v>
      </c>
      <c r="C531" s="2" t="n">
        <v>5</v>
      </c>
      <c r="D531" s="2" t="n">
        <v>2</v>
      </c>
      <c r="E531" s="82" t="n">
        <v>45157</v>
      </c>
      <c r="F531" s="87" t="n">
        <v>0.448159722222222</v>
      </c>
      <c r="G531" s="82" t="n">
        <v>45165</v>
      </c>
      <c r="H531" s="87" t="n">
        <v>0.0166203703703704</v>
      </c>
      <c r="I531" s="2" t="s">
        <v>333</v>
      </c>
      <c r="J531" s="2" t="s">
        <v>165</v>
      </c>
    </row>
    <row r="532" customFormat="false" ht="15" hidden="false" customHeight="false" outlineLevel="0" collapsed="false">
      <c r="A532" s="7" t="n">
        <v>531</v>
      </c>
      <c r="B532" s="7" t="s">
        <v>196</v>
      </c>
      <c r="C532" s="7" t="n">
        <v>28</v>
      </c>
      <c r="D532" s="7" t="n">
        <v>5</v>
      </c>
      <c r="E532" s="77" t="n">
        <v>45167</v>
      </c>
      <c r="F532" s="86" t="n">
        <v>0.563981481481482</v>
      </c>
      <c r="G532" s="77" t="n">
        <v>45176</v>
      </c>
      <c r="H532" s="86" t="n">
        <v>0.363321759259259</v>
      </c>
      <c r="I532" s="7" t="s">
        <v>327</v>
      </c>
      <c r="J532" s="7" t="s">
        <v>40</v>
      </c>
    </row>
    <row r="533" customFormat="false" ht="15" hidden="false" customHeight="false" outlineLevel="0" collapsed="false">
      <c r="A533" s="2" t="n">
        <v>532</v>
      </c>
      <c r="B533" s="2" t="s">
        <v>212</v>
      </c>
      <c r="C533" s="2" t="n">
        <v>30</v>
      </c>
      <c r="D533" s="2" t="n">
        <v>5</v>
      </c>
      <c r="E533" s="82" t="n">
        <v>45171</v>
      </c>
      <c r="F533" s="87" t="n">
        <v>0.559097222222222</v>
      </c>
      <c r="G533" s="82" t="n">
        <v>45179</v>
      </c>
      <c r="H533" s="87" t="n">
        <v>0.121608796296296</v>
      </c>
      <c r="I533" s="2" t="s">
        <v>232</v>
      </c>
      <c r="J533" s="2" t="s">
        <v>168</v>
      </c>
    </row>
    <row r="534" customFormat="false" ht="15" hidden="false" customHeight="false" outlineLevel="0" collapsed="false">
      <c r="A534" s="7" t="n">
        <v>533</v>
      </c>
      <c r="B534" s="7" t="s">
        <v>139</v>
      </c>
      <c r="C534" s="7" t="n">
        <v>14</v>
      </c>
      <c r="D534" s="7" t="n">
        <v>3</v>
      </c>
      <c r="E534" s="77" t="n">
        <v>45034</v>
      </c>
      <c r="F534" s="86" t="n">
        <v>0.305462962962963</v>
      </c>
      <c r="G534" s="77" t="n">
        <v>45036</v>
      </c>
      <c r="H534" s="86" t="n">
        <v>0.738715277777778</v>
      </c>
      <c r="I534" s="7" t="s">
        <v>546</v>
      </c>
      <c r="J534" s="7" t="s">
        <v>31</v>
      </c>
    </row>
    <row r="535" customFormat="false" ht="15" hidden="false" customHeight="false" outlineLevel="0" collapsed="false">
      <c r="A535" s="2" t="n">
        <v>534</v>
      </c>
      <c r="B535" s="2" t="s">
        <v>285</v>
      </c>
      <c r="C535" s="2" t="n">
        <v>31</v>
      </c>
      <c r="D535" s="2" t="n">
        <v>2</v>
      </c>
      <c r="E535" s="82" t="n">
        <v>45257</v>
      </c>
      <c r="F535" s="87" t="n">
        <v>0.152962962962963</v>
      </c>
      <c r="G535" s="82" t="n">
        <v>45264</v>
      </c>
      <c r="H535" s="87" t="n">
        <v>0.474039351851852</v>
      </c>
      <c r="I535" s="2" t="s">
        <v>502</v>
      </c>
      <c r="J535" s="2" t="s">
        <v>165</v>
      </c>
    </row>
    <row r="536" customFormat="false" ht="15" hidden="false" customHeight="false" outlineLevel="0" collapsed="false">
      <c r="A536" s="7" t="n">
        <v>535</v>
      </c>
      <c r="B536" s="7" t="s">
        <v>170</v>
      </c>
      <c r="C536" s="7" t="n">
        <v>25</v>
      </c>
      <c r="D536" s="7" t="n">
        <v>3</v>
      </c>
      <c r="E536" s="77" t="n">
        <v>45115</v>
      </c>
      <c r="F536" s="86" t="n">
        <v>0.916296296296296</v>
      </c>
      <c r="G536" s="77" t="n">
        <v>45118</v>
      </c>
      <c r="H536" s="86" t="n">
        <v>0.271296296296296</v>
      </c>
      <c r="I536" s="7" t="s">
        <v>552</v>
      </c>
      <c r="J536" s="7" t="s">
        <v>168</v>
      </c>
    </row>
    <row r="537" customFormat="false" ht="15" hidden="false" customHeight="false" outlineLevel="0" collapsed="false">
      <c r="A537" s="2" t="n">
        <v>536</v>
      </c>
      <c r="B537" s="2" t="s">
        <v>248</v>
      </c>
      <c r="C537" s="2" t="n">
        <v>59</v>
      </c>
      <c r="D537" s="2" t="n">
        <v>3</v>
      </c>
      <c r="E537" s="82" t="n">
        <v>45163</v>
      </c>
      <c r="F537" s="87" t="n">
        <v>0.635324074074074</v>
      </c>
      <c r="G537" s="82" t="n">
        <v>45168</v>
      </c>
      <c r="H537" s="87" t="n">
        <v>0.467476851851852</v>
      </c>
      <c r="I537" s="2" t="s">
        <v>465</v>
      </c>
      <c r="J537" s="2" t="s">
        <v>40</v>
      </c>
    </row>
    <row r="538" customFormat="false" ht="15" hidden="false" customHeight="false" outlineLevel="0" collapsed="false">
      <c r="A538" s="7" t="n">
        <v>537</v>
      </c>
      <c r="B538" s="7" t="s">
        <v>294</v>
      </c>
      <c r="C538" s="7" t="n">
        <v>42</v>
      </c>
      <c r="D538" s="7" t="n">
        <v>3</v>
      </c>
      <c r="E538" s="77" t="n">
        <v>45216</v>
      </c>
      <c r="F538" s="86" t="n">
        <v>0.263472222222222</v>
      </c>
      <c r="G538" s="77" t="n">
        <v>45224</v>
      </c>
      <c r="H538" s="86" t="n">
        <v>0.131342592592593</v>
      </c>
      <c r="I538" s="7" t="s">
        <v>464</v>
      </c>
      <c r="J538" s="7" t="s">
        <v>165</v>
      </c>
    </row>
    <row r="539" customFormat="false" ht="15" hidden="false" customHeight="false" outlineLevel="0" collapsed="false">
      <c r="A539" s="2" t="n">
        <v>538</v>
      </c>
      <c r="B539" s="2" t="s">
        <v>385</v>
      </c>
      <c r="C539" s="2" t="n">
        <v>24</v>
      </c>
      <c r="D539" s="2" t="n">
        <v>5</v>
      </c>
      <c r="E539" s="82" t="n">
        <v>45064</v>
      </c>
      <c r="F539" s="87" t="n">
        <v>0.547986111111111</v>
      </c>
      <c r="G539" s="82" t="n">
        <v>45065</v>
      </c>
      <c r="H539" s="87" t="n">
        <v>0.941851851851852</v>
      </c>
      <c r="I539" s="2" t="s">
        <v>387</v>
      </c>
      <c r="J539" s="2" t="s">
        <v>31</v>
      </c>
    </row>
    <row r="540" customFormat="false" ht="15" hidden="false" customHeight="false" outlineLevel="0" collapsed="false">
      <c r="A540" s="7" t="n">
        <v>539</v>
      </c>
      <c r="B540" s="7" t="s">
        <v>272</v>
      </c>
      <c r="C540" s="7" t="n">
        <v>20</v>
      </c>
      <c r="D540" s="7" t="n">
        <v>3</v>
      </c>
      <c r="E540" s="77" t="n">
        <v>45086</v>
      </c>
      <c r="F540" s="86" t="n">
        <v>0.652291666666667</v>
      </c>
      <c r="G540" s="77" t="n">
        <v>45093</v>
      </c>
      <c r="H540" s="86" t="n">
        <v>0.595196759259259</v>
      </c>
      <c r="I540" s="7" t="s">
        <v>439</v>
      </c>
      <c r="J540" s="7" t="s">
        <v>168</v>
      </c>
    </row>
    <row r="541" customFormat="false" ht="15" hidden="false" customHeight="false" outlineLevel="0" collapsed="false">
      <c r="A541" s="2" t="n">
        <v>540</v>
      </c>
      <c r="B541" s="2" t="s">
        <v>344</v>
      </c>
      <c r="C541" s="2" t="n">
        <v>22</v>
      </c>
      <c r="D541" s="2" t="n">
        <v>4</v>
      </c>
      <c r="E541" s="82" t="n">
        <v>45175</v>
      </c>
      <c r="F541" s="87" t="n">
        <v>0.79693287037037</v>
      </c>
      <c r="G541" s="82" t="n">
        <v>45178</v>
      </c>
      <c r="H541" s="87" t="n">
        <v>0.0597222222222222</v>
      </c>
      <c r="I541" s="2" t="s">
        <v>493</v>
      </c>
      <c r="J541" s="2" t="s">
        <v>165</v>
      </c>
    </row>
    <row r="542" customFormat="false" ht="15" hidden="false" customHeight="false" outlineLevel="0" collapsed="false">
      <c r="A542" s="7" t="n">
        <v>541</v>
      </c>
      <c r="B542" s="7" t="s">
        <v>142</v>
      </c>
      <c r="C542" s="7" t="n">
        <v>24</v>
      </c>
      <c r="D542" s="7" t="n">
        <v>3</v>
      </c>
      <c r="E542" s="77" t="n">
        <v>45243</v>
      </c>
      <c r="F542" s="86" t="n">
        <v>0.243854166666667</v>
      </c>
      <c r="G542" s="77" t="n">
        <v>45246</v>
      </c>
      <c r="H542" s="86" t="n">
        <v>0.955949074074074</v>
      </c>
      <c r="I542" s="7" t="s">
        <v>557</v>
      </c>
      <c r="J542" s="7" t="s">
        <v>31</v>
      </c>
    </row>
    <row r="543" customFormat="false" ht="15" hidden="false" customHeight="false" outlineLevel="0" collapsed="false">
      <c r="A543" s="2" t="n">
        <v>542</v>
      </c>
      <c r="B543" s="2" t="s">
        <v>257</v>
      </c>
      <c r="C543" s="2" t="n">
        <v>54</v>
      </c>
      <c r="D543" s="2" t="n">
        <v>5</v>
      </c>
      <c r="E543" s="82" t="n">
        <v>45114</v>
      </c>
      <c r="F543" s="87" t="n">
        <v>0.82037037037037</v>
      </c>
      <c r="G543" s="82" t="n">
        <v>45119</v>
      </c>
      <c r="H543" s="87" t="n">
        <v>0.41125</v>
      </c>
      <c r="I543" s="2" t="s">
        <v>558</v>
      </c>
      <c r="J543" s="2" t="s">
        <v>168</v>
      </c>
    </row>
    <row r="544" customFormat="false" ht="15" hidden="false" customHeight="false" outlineLevel="0" collapsed="false">
      <c r="A544" s="7" t="n">
        <v>543</v>
      </c>
      <c r="B544" s="7" t="s">
        <v>183</v>
      </c>
      <c r="C544" s="7" t="n">
        <v>51</v>
      </c>
      <c r="D544" s="7" t="n">
        <v>4</v>
      </c>
      <c r="E544" s="77" t="n">
        <v>44969</v>
      </c>
      <c r="F544" s="86" t="n">
        <v>0.910532407407407</v>
      </c>
      <c r="G544" s="77" t="n">
        <v>44974</v>
      </c>
      <c r="H544" s="86" t="n">
        <v>0.495243055555556</v>
      </c>
      <c r="I544" s="7" t="s">
        <v>551</v>
      </c>
      <c r="J544" s="7" t="s">
        <v>165</v>
      </c>
    </row>
    <row r="545" customFormat="false" ht="15" hidden="false" customHeight="false" outlineLevel="0" collapsed="false">
      <c r="A545" s="2" t="n">
        <v>544</v>
      </c>
      <c r="B545" s="2" t="s">
        <v>198</v>
      </c>
      <c r="C545" s="2" t="n">
        <v>29</v>
      </c>
      <c r="D545" s="2" t="n">
        <v>2</v>
      </c>
      <c r="E545" s="82" t="n">
        <v>44986</v>
      </c>
      <c r="F545" s="87" t="n">
        <v>0.105486111111111</v>
      </c>
      <c r="G545" s="82" t="n">
        <v>44996</v>
      </c>
      <c r="H545" s="87" t="n">
        <v>0.398518518518519</v>
      </c>
      <c r="I545" s="2" t="s">
        <v>211</v>
      </c>
      <c r="J545" s="2" t="s">
        <v>33</v>
      </c>
    </row>
    <row r="546" customFormat="false" ht="15" hidden="false" customHeight="false" outlineLevel="0" collapsed="false">
      <c r="A546" s="7" t="n">
        <v>545</v>
      </c>
      <c r="B546" s="7" t="s">
        <v>347</v>
      </c>
      <c r="C546" s="7" t="n">
        <v>9</v>
      </c>
      <c r="D546" s="7" t="n">
        <v>5</v>
      </c>
      <c r="E546" s="77" t="n">
        <v>45158</v>
      </c>
      <c r="F546" s="86" t="n">
        <v>0.0797685185185185</v>
      </c>
      <c r="G546" s="77" t="n">
        <v>45164</v>
      </c>
      <c r="H546" s="86" t="n">
        <v>0.338414351851852</v>
      </c>
      <c r="I546" s="7" t="s">
        <v>545</v>
      </c>
      <c r="J546" s="7" t="s">
        <v>40</v>
      </c>
    </row>
    <row r="547" customFormat="false" ht="15" hidden="false" customHeight="false" outlineLevel="0" collapsed="false">
      <c r="A547" s="2" t="n">
        <v>546</v>
      </c>
      <c r="B547" s="2" t="s">
        <v>294</v>
      </c>
      <c r="C547" s="2" t="n">
        <v>25</v>
      </c>
      <c r="D547" s="2" t="n">
        <v>3</v>
      </c>
      <c r="E547" s="82" t="n">
        <v>44959</v>
      </c>
      <c r="F547" s="87" t="n">
        <v>0.92005787037037</v>
      </c>
      <c r="G547" s="82" t="n">
        <v>44968</v>
      </c>
      <c r="H547" s="87" t="n">
        <v>0.416747685185185</v>
      </c>
      <c r="I547" s="2" t="s">
        <v>495</v>
      </c>
      <c r="J547" s="2" t="s">
        <v>168</v>
      </c>
    </row>
    <row r="548" customFormat="false" ht="15" hidden="false" customHeight="false" outlineLevel="0" collapsed="false">
      <c r="A548" s="7" t="n">
        <v>547</v>
      </c>
      <c r="B548" s="7" t="s">
        <v>360</v>
      </c>
      <c r="C548" s="7" t="n">
        <v>30</v>
      </c>
      <c r="D548" s="7" t="n">
        <v>5</v>
      </c>
      <c r="E548" s="77" t="n">
        <v>44936</v>
      </c>
      <c r="F548" s="86" t="n">
        <v>0.104305555555556</v>
      </c>
      <c r="G548" s="77" t="n">
        <v>44945</v>
      </c>
      <c r="H548" s="86" t="n">
        <v>0.581030092592593</v>
      </c>
      <c r="I548" s="7" t="s">
        <v>132</v>
      </c>
      <c r="J548" s="7" t="s">
        <v>168</v>
      </c>
    </row>
    <row r="549" customFormat="false" ht="15" hidden="false" customHeight="false" outlineLevel="0" collapsed="false">
      <c r="A549" s="2" t="n">
        <v>548</v>
      </c>
      <c r="B549" s="2" t="s">
        <v>157</v>
      </c>
      <c r="C549" s="2" t="n">
        <v>25</v>
      </c>
      <c r="D549" s="2" t="n">
        <v>2</v>
      </c>
      <c r="E549" s="82" t="n">
        <v>44978</v>
      </c>
      <c r="F549" s="87" t="n">
        <v>0.522800925925926</v>
      </c>
      <c r="G549" s="82" t="n">
        <v>44979</v>
      </c>
      <c r="H549" s="87" t="n">
        <v>0.824814814814815</v>
      </c>
      <c r="I549" s="2" t="s">
        <v>394</v>
      </c>
      <c r="J549" s="2" t="s">
        <v>168</v>
      </c>
    </row>
    <row r="550" customFormat="false" ht="15" hidden="false" customHeight="false" outlineLevel="0" collapsed="false">
      <c r="A550" s="7" t="n">
        <v>549</v>
      </c>
      <c r="B550" s="7" t="s">
        <v>178</v>
      </c>
      <c r="C550" s="7" t="n">
        <v>64</v>
      </c>
      <c r="D550" s="7" t="n">
        <v>1</v>
      </c>
      <c r="E550" s="77" t="n">
        <v>45160</v>
      </c>
      <c r="F550" s="86" t="n">
        <v>0.812303240740741</v>
      </c>
      <c r="G550" s="77" t="n">
        <v>45170</v>
      </c>
      <c r="H550" s="86" t="n">
        <v>0.103587962962963</v>
      </c>
      <c r="I550" s="7" t="s">
        <v>362</v>
      </c>
      <c r="J550" s="7" t="s">
        <v>40</v>
      </c>
    </row>
    <row r="551" customFormat="false" ht="15" hidden="false" customHeight="false" outlineLevel="0" collapsed="false">
      <c r="A551" s="2" t="n">
        <v>550</v>
      </c>
      <c r="B551" s="2" t="s">
        <v>183</v>
      </c>
      <c r="C551" s="2" t="n">
        <v>29</v>
      </c>
      <c r="D551" s="2" t="n">
        <v>5</v>
      </c>
      <c r="E551" s="82" t="n">
        <v>44984</v>
      </c>
      <c r="F551" s="87" t="n">
        <v>0.81125</v>
      </c>
      <c r="G551" s="82" t="n">
        <v>44990</v>
      </c>
      <c r="H551" s="87" t="n">
        <v>0.710868055555556</v>
      </c>
      <c r="I551" s="2" t="s">
        <v>223</v>
      </c>
      <c r="J551" s="2" t="s">
        <v>33</v>
      </c>
    </row>
    <row r="552" customFormat="false" ht="15" hidden="false" customHeight="false" outlineLevel="0" collapsed="false">
      <c r="A552" s="7" t="n">
        <v>551</v>
      </c>
      <c r="B552" s="7" t="s">
        <v>360</v>
      </c>
      <c r="C552" s="7" t="n">
        <v>67</v>
      </c>
      <c r="D552" s="7" t="n">
        <v>1</v>
      </c>
      <c r="E552" s="77" t="n">
        <v>45035</v>
      </c>
      <c r="F552" s="86" t="n">
        <v>0.863680555555556</v>
      </c>
      <c r="G552" s="77" t="n">
        <v>45039</v>
      </c>
      <c r="H552" s="86" t="n">
        <v>0.642407407407407</v>
      </c>
      <c r="I552" s="7" t="s">
        <v>470</v>
      </c>
      <c r="J552" s="7" t="s">
        <v>168</v>
      </c>
    </row>
    <row r="553" customFormat="false" ht="15" hidden="false" customHeight="false" outlineLevel="0" collapsed="false">
      <c r="A553" s="2" t="n">
        <v>552</v>
      </c>
      <c r="B553" s="2" t="s">
        <v>294</v>
      </c>
      <c r="C553" s="2" t="n">
        <v>31</v>
      </c>
      <c r="D553" s="2" t="n">
        <v>3</v>
      </c>
      <c r="E553" s="82" t="n">
        <v>45056</v>
      </c>
      <c r="F553" s="87" t="n">
        <v>0.791331018518519</v>
      </c>
      <c r="G553" s="82" t="n">
        <v>45057</v>
      </c>
      <c r="H553" s="87" t="n">
        <v>0.714664351851852</v>
      </c>
      <c r="I553" s="2" t="s">
        <v>585</v>
      </c>
      <c r="J553" s="2" t="s">
        <v>165</v>
      </c>
    </row>
    <row r="554" customFormat="false" ht="15" hidden="false" customHeight="false" outlineLevel="0" collapsed="false">
      <c r="A554" s="7" t="n">
        <v>553</v>
      </c>
      <c r="B554" s="7" t="s">
        <v>350</v>
      </c>
      <c r="C554" s="7" t="n">
        <v>39</v>
      </c>
      <c r="D554" s="7" t="n">
        <v>2</v>
      </c>
      <c r="E554" s="77" t="n">
        <v>45160</v>
      </c>
      <c r="F554" s="86" t="n">
        <v>0.0574189814814815</v>
      </c>
      <c r="G554" s="77" t="n">
        <v>45164</v>
      </c>
      <c r="H554" s="86" t="n">
        <v>0.321840277777778</v>
      </c>
      <c r="I554" s="7" t="s">
        <v>156</v>
      </c>
      <c r="J554" s="7" t="s">
        <v>165</v>
      </c>
    </row>
    <row r="555" customFormat="false" ht="15" hidden="false" customHeight="false" outlineLevel="0" collapsed="false">
      <c r="A555" s="2" t="n">
        <v>554</v>
      </c>
      <c r="B555" s="2" t="s">
        <v>239</v>
      </c>
      <c r="C555" s="2" t="n">
        <v>29</v>
      </c>
      <c r="D555" s="2" t="n">
        <v>4</v>
      </c>
      <c r="E555" s="82" t="n">
        <v>44985</v>
      </c>
      <c r="F555" s="87" t="n">
        <v>0.850775462962963</v>
      </c>
      <c r="G555" s="82" t="n">
        <v>44988</v>
      </c>
      <c r="H555" s="87" t="n">
        <v>0.700706018518519</v>
      </c>
      <c r="I555" s="2" t="s">
        <v>556</v>
      </c>
      <c r="J555" s="2" t="s">
        <v>33</v>
      </c>
    </row>
    <row r="556" customFormat="false" ht="15" hidden="false" customHeight="false" outlineLevel="0" collapsed="false">
      <c r="A556" s="7" t="n">
        <v>555</v>
      </c>
      <c r="B556" s="7" t="s">
        <v>392</v>
      </c>
      <c r="C556" s="7" t="n">
        <v>56</v>
      </c>
      <c r="D556" s="7" t="n">
        <v>4</v>
      </c>
      <c r="E556" s="77" t="n">
        <v>45105</v>
      </c>
      <c r="F556" s="86" t="n">
        <v>0.503969907407407</v>
      </c>
      <c r="G556" s="77" t="n">
        <v>45107</v>
      </c>
      <c r="H556" s="86" t="n">
        <v>0.74875</v>
      </c>
      <c r="I556" s="7" t="s">
        <v>545</v>
      </c>
      <c r="J556" s="7" t="s">
        <v>168</v>
      </c>
    </row>
    <row r="557" customFormat="false" ht="15" hidden="false" customHeight="false" outlineLevel="0" collapsed="false">
      <c r="A557" s="2" t="n">
        <v>556</v>
      </c>
      <c r="B557" s="2" t="s">
        <v>319</v>
      </c>
      <c r="C557" s="2" t="n">
        <v>17</v>
      </c>
      <c r="D557" s="2" t="n">
        <v>1</v>
      </c>
      <c r="E557" s="82" t="n">
        <v>45273</v>
      </c>
      <c r="F557" s="87" t="n">
        <v>0.648865740740741</v>
      </c>
      <c r="G557" s="82" t="n">
        <v>45281</v>
      </c>
      <c r="H557" s="87" t="n">
        <v>0.659583333333333</v>
      </c>
      <c r="I557" s="2" t="s">
        <v>315</v>
      </c>
      <c r="J557" s="2" t="s">
        <v>168</v>
      </c>
    </row>
    <row r="558" customFormat="false" ht="15" hidden="false" customHeight="false" outlineLevel="0" collapsed="false">
      <c r="A558" s="7" t="n">
        <v>557</v>
      </c>
      <c r="B558" s="7" t="s">
        <v>221</v>
      </c>
      <c r="C558" s="7" t="n">
        <v>47</v>
      </c>
      <c r="D558" s="7" t="n">
        <v>3</v>
      </c>
      <c r="E558" s="77" t="n">
        <v>44986</v>
      </c>
      <c r="F558" s="86" t="n">
        <v>0.125486111111111</v>
      </c>
      <c r="G558" s="77" t="n">
        <v>44993</v>
      </c>
      <c r="H558" s="86" t="n">
        <v>0.0907291666666667</v>
      </c>
      <c r="I558" s="7" t="s">
        <v>453</v>
      </c>
      <c r="J558" s="7" t="s">
        <v>33</v>
      </c>
    </row>
    <row r="559" customFormat="false" ht="15" hidden="false" customHeight="false" outlineLevel="0" collapsed="false">
      <c r="A559" s="2" t="n">
        <v>558</v>
      </c>
      <c r="B559" s="2" t="s">
        <v>369</v>
      </c>
      <c r="C559" s="2" t="n">
        <v>64</v>
      </c>
      <c r="D559" s="2" t="n">
        <v>3</v>
      </c>
      <c r="E559" s="82" t="n">
        <v>45160</v>
      </c>
      <c r="F559" s="87" t="n">
        <v>0.029837962962963</v>
      </c>
      <c r="G559" s="82" t="n">
        <v>45163</v>
      </c>
      <c r="H559" s="87" t="n">
        <v>0.0172685185185185</v>
      </c>
      <c r="I559" s="2" t="s">
        <v>498</v>
      </c>
      <c r="J559" s="2" t="s">
        <v>40</v>
      </c>
    </row>
    <row r="560" customFormat="false" ht="15" hidden="false" customHeight="false" outlineLevel="0" collapsed="false">
      <c r="A560" s="7" t="n">
        <v>559</v>
      </c>
      <c r="B560" s="7" t="s">
        <v>350</v>
      </c>
      <c r="C560" s="7" t="n">
        <v>45</v>
      </c>
      <c r="D560" s="7" t="n">
        <v>1</v>
      </c>
      <c r="E560" s="77" t="n">
        <v>45279</v>
      </c>
      <c r="F560" s="86" t="n">
        <v>0.692488425925926</v>
      </c>
      <c r="G560" s="77" t="n">
        <v>45286</v>
      </c>
      <c r="H560" s="86" t="n">
        <v>0.774803240740741</v>
      </c>
      <c r="I560" s="7" t="s">
        <v>485</v>
      </c>
      <c r="J560" s="7" t="s">
        <v>31</v>
      </c>
    </row>
    <row r="561" customFormat="false" ht="15" hidden="false" customHeight="false" outlineLevel="0" collapsed="false">
      <c r="A561" s="2" t="n">
        <v>560</v>
      </c>
      <c r="B561" s="2" t="s">
        <v>174</v>
      </c>
      <c r="C561" s="2" t="n">
        <v>39</v>
      </c>
      <c r="D561" s="2" t="n">
        <v>2</v>
      </c>
      <c r="E561" s="82" t="n">
        <v>45142</v>
      </c>
      <c r="F561" s="87" t="n">
        <v>0.536342592592593</v>
      </c>
      <c r="G561" s="82" t="n">
        <v>45147</v>
      </c>
      <c r="H561" s="87" t="n">
        <v>0.410335648148148</v>
      </c>
      <c r="I561" s="2" t="s">
        <v>189</v>
      </c>
      <c r="J561" s="2" t="s">
        <v>165</v>
      </c>
    </row>
    <row r="562" customFormat="false" ht="15" hidden="false" customHeight="false" outlineLevel="0" collapsed="false">
      <c r="A562" s="7" t="n">
        <v>561</v>
      </c>
      <c r="B562" s="7" t="s">
        <v>390</v>
      </c>
      <c r="C562" s="7" t="n">
        <v>49</v>
      </c>
      <c r="D562" s="7" t="n">
        <v>5</v>
      </c>
      <c r="E562" s="77" t="n">
        <v>44969</v>
      </c>
      <c r="F562" s="86" t="n">
        <v>0.517071759259259</v>
      </c>
      <c r="G562" s="77" t="n">
        <v>44978</v>
      </c>
      <c r="H562" s="86" t="n">
        <v>0.724699074074074</v>
      </c>
      <c r="I562" s="7" t="s">
        <v>387</v>
      </c>
      <c r="J562" s="7" t="s">
        <v>179</v>
      </c>
    </row>
    <row r="563" customFormat="false" ht="15" hidden="false" customHeight="false" outlineLevel="0" collapsed="false">
      <c r="A563" s="2" t="n">
        <v>562</v>
      </c>
      <c r="B563" s="2" t="s">
        <v>300</v>
      </c>
      <c r="C563" s="2" t="n">
        <v>24</v>
      </c>
      <c r="D563" s="2" t="n">
        <v>4</v>
      </c>
      <c r="E563" s="82" t="n">
        <v>45147</v>
      </c>
      <c r="F563" s="87" t="n">
        <v>0.387731481481482</v>
      </c>
      <c r="G563" s="82" t="n">
        <v>45154</v>
      </c>
      <c r="H563" s="87" t="n">
        <v>0.0653587962962963</v>
      </c>
      <c r="I563" s="2" t="s">
        <v>544</v>
      </c>
      <c r="J563" s="2" t="s">
        <v>31</v>
      </c>
    </row>
    <row r="564" customFormat="false" ht="15" hidden="false" customHeight="false" outlineLevel="0" collapsed="false">
      <c r="A564" s="7" t="n">
        <v>563</v>
      </c>
      <c r="B564" s="7" t="s">
        <v>331</v>
      </c>
      <c r="C564" s="7" t="n">
        <v>58</v>
      </c>
      <c r="D564" s="7" t="n">
        <v>5</v>
      </c>
      <c r="E564" s="77" t="n">
        <v>44968</v>
      </c>
      <c r="F564" s="86" t="n">
        <v>0.488402777777778</v>
      </c>
      <c r="G564" s="77" t="n">
        <v>44976</v>
      </c>
      <c r="H564" s="86" t="n">
        <v>0.211446759259259</v>
      </c>
      <c r="I564" s="7" t="s">
        <v>442</v>
      </c>
      <c r="J564" s="7" t="s">
        <v>179</v>
      </c>
    </row>
    <row r="565" customFormat="false" ht="15" hidden="false" customHeight="false" outlineLevel="0" collapsed="false">
      <c r="A565" s="2" t="n">
        <v>564</v>
      </c>
      <c r="B565" s="2" t="s">
        <v>142</v>
      </c>
      <c r="C565" s="2" t="n">
        <v>40</v>
      </c>
      <c r="D565" s="2" t="n">
        <v>1</v>
      </c>
      <c r="E565" s="82" t="n">
        <v>45023</v>
      </c>
      <c r="F565" s="87" t="n">
        <v>0.0280092592592593</v>
      </c>
      <c r="G565" s="82" t="n">
        <v>45031</v>
      </c>
      <c r="H565" s="87" t="n">
        <v>0.254826388888889</v>
      </c>
      <c r="I565" s="2" t="s">
        <v>378</v>
      </c>
      <c r="J565" s="2" t="s">
        <v>168</v>
      </c>
    </row>
    <row r="566" customFormat="false" ht="15" hidden="false" customHeight="false" outlineLevel="0" collapsed="false">
      <c r="A566" s="7" t="n">
        <v>565</v>
      </c>
      <c r="B566" s="7" t="s">
        <v>154</v>
      </c>
      <c r="C566" s="7" t="n">
        <v>50</v>
      </c>
      <c r="D566" s="7" t="n">
        <v>3</v>
      </c>
      <c r="E566" s="77" t="n">
        <v>44991</v>
      </c>
      <c r="F566" s="86" t="n">
        <v>0.727962962962963</v>
      </c>
      <c r="G566" s="77" t="n">
        <v>44999</v>
      </c>
      <c r="H566" s="86" t="n">
        <v>0.550543981481482</v>
      </c>
      <c r="I566" s="7" t="s">
        <v>488</v>
      </c>
      <c r="J566" s="7" t="s">
        <v>33</v>
      </c>
    </row>
    <row r="567" customFormat="false" ht="15" hidden="false" customHeight="false" outlineLevel="0" collapsed="false">
      <c r="A567" s="2" t="n">
        <v>566</v>
      </c>
      <c r="B567" s="2" t="s">
        <v>266</v>
      </c>
      <c r="C567" s="2" t="n">
        <v>42</v>
      </c>
      <c r="D567" s="2" t="n">
        <v>4</v>
      </c>
      <c r="E567" s="82" t="n">
        <v>45058</v>
      </c>
      <c r="F567" s="87" t="n">
        <v>0.533368055555556</v>
      </c>
      <c r="G567" s="82" t="n">
        <v>45060</v>
      </c>
      <c r="H567" s="87" t="n">
        <v>0.858703703703704</v>
      </c>
      <c r="I567" s="2" t="s">
        <v>525</v>
      </c>
      <c r="J567" s="2" t="s">
        <v>165</v>
      </c>
    </row>
    <row r="568" customFormat="false" ht="15" hidden="false" customHeight="false" outlineLevel="0" collapsed="false">
      <c r="A568" s="7" t="n">
        <v>567</v>
      </c>
      <c r="B568" s="7" t="s">
        <v>366</v>
      </c>
      <c r="C568" s="7" t="n">
        <v>66</v>
      </c>
      <c r="D568" s="7" t="n">
        <v>1</v>
      </c>
      <c r="E568" s="77" t="n">
        <v>44991</v>
      </c>
      <c r="F568" s="86" t="n">
        <v>0.258321759259259</v>
      </c>
      <c r="G568" s="77" t="n">
        <v>45000</v>
      </c>
      <c r="H568" s="86" t="n">
        <v>0.78962962962963</v>
      </c>
      <c r="I568" s="7" t="s">
        <v>602</v>
      </c>
      <c r="J568" s="7" t="s">
        <v>33</v>
      </c>
    </row>
    <row r="569" customFormat="false" ht="15" hidden="false" customHeight="false" outlineLevel="0" collapsed="false">
      <c r="A569" s="2" t="n">
        <v>568</v>
      </c>
      <c r="B569" s="2" t="s">
        <v>272</v>
      </c>
      <c r="C569" s="2" t="n">
        <v>10</v>
      </c>
      <c r="D569" s="2" t="n">
        <v>1</v>
      </c>
      <c r="E569" s="82" t="n">
        <v>45106</v>
      </c>
      <c r="F569" s="87" t="n">
        <v>0.871979166666667</v>
      </c>
      <c r="G569" s="82" t="n">
        <v>45115</v>
      </c>
      <c r="H569" s="87" t="n">
        <v>0.552939814814815</v>
      </c>
      <c r="I569" s="2" t="s">
        <v>262</v>
      </c>
      <c r="J569" s="2" t="s">
        <v>31</v>
      </c>
    </row>
    <row r="570" customFormat="false" ht="15" hidden="false" customHeight="false" outlineLevel="0" collapsed="false">
      <c r="A570" s="7" t="n">
        <v>569</v>
      </c>
      <c r="B570" s="7" t="s">
        <v>192</v>
      </c>
      <c r="C570" s="7" t="n">
        <v>53</v>
      </c>
      <c r="D570" s="7" t="n">
        <v>2</v>
      </c>
      <c r="E570" s="77" t="n">
        <v>45166</v>
      </c>
      <c r="F570" s="86" t="n">
        <v>0.583831018518519</v>
      </c>
      <c r="G570" s="77" t="n">
        <v>45173</v>
      </c>
      <c r="H570" s="86" t="n">
        <v>0.747476851851852</v>
      </c>
      <c r="I570" s="7" t="s">
        <v>533</v>
      </c>
      <c r="J570" s="7" t="s">
        <v>40</v>
      </c>
    </row>
    <row r="571" customFormat="false" ht="15" hidden="false" customHeight="false" outlineLevel="0" collapsed="false">
      <c r="A571" s="2" t="n">
        <v>570</v>
      </c>
      <c r="B571" s="2" t="s">
        <v>272</v>
      </c>
      <c r="C571" s="2" t="n">
        <v>69</v>
      </c>
      <c r="D571" s="2" t="n">
        <v>3</v>
      </c>
      <c r="E571" s="82" t="n">
        <v>44985</v>
      </c>
      <c r="F571" s="87" t="n">
        <v>0.475740740740741</v>
      </c>
      <c r="G571" s="82" t="n">
        <v>44994</v>
      </c>
      <c r="H571" s="87" t="n">
        <v>0.0374421296296296</v>
      </c>
      <c r="I571" s="2" t="s">
        <v>559</v>
      </c>
      <c r="J571" s="2" t="s">
        <v>33</v>
      </c>
    </row>
    <row r="572" customFormat="false" ht="15" hidden="false" customHeight="false" outlineLevel="0" collapsed="false">
      <c r="A572" s="7" t="n">
        <v>571</v>
      </c>
      <c r="B572" s="7" t="s">
        <v>242</v>
      </c>
      <c r="C572" s="7" t="n">
        <v>6</v>
      </c>
      <c r="D572" s="7" t="n">
        <v>1</v>
      </c>
      <c r="E572" s="77" t="n">
        <v>44985</v>
      </c>
      <c r="F572" s="86" t="n">
        <v>0.401678240740741</v>
      </c>
      <c r="G572" s="77" t="n">
        <v>44994</v>
      </c>
      <c r="H572" s="86" t="n">
        <v>0.184733796296296</v>
      </c>
      <c r="I572" s="7" t="s">
        <v>235</v>
      </c>
      <c r="J572" s="7" t="s">
        <v>33</v>
      </c>
    </row>
    <row r="573" customFormat="false" ht="15" hidden="false" customHeight="false" outlineLevel="0" collapsed="false">
      <c r="A573" s="2" t="n">
        <v>572</v>
      </c>
      <c r="B573" s="2" t="s">
        <v>283</v>
      </c>
      <c r="C573" s="2" t="n">
        <v>25</v>
      </c>
      <c r="D573" s="2" t="n">
        <v>5</v>
      </c>
      <c r="E573" s="82" t="n">
        <v>45081</v>
      </c>
      <c r="F573" s="87" t="n">
        <v>0.658761574074074</v>
      </c>
      <c r="G573" s="82" t="n">
        <v>45087</v>
      </c>
      <c r="H573" s="87" t="n">
        <v>0.424861111111111</v>
      </c>
      <c r="I573" s="2" t="s">
        <v>447</v>
      </c>
      <c r="J573" s="2" t="s">
        <v>168</v>
      </c>
    </row>
    <row r="574" customFormat="false" ht="15" hidden="false" customHeight="false" outlineLevel="0" collapsed="false">
      <c r="A574" s="7" t="n">
        <v>573</v>
      </c>
      <c r="B574" s="7" t="s">
        <v>224</v>
      </c>
      <c r="C574" s="7" t="n">
        <v>3</v>
      </c>
      <c r="D574" s="7" t="n">
        <v>5</v>
      </c>
      <c r="E574" s="77" t="n">
        <v>44965</v>
      </c>
      <c r="F574" s="86" t="n">
        <v>0.119513888888889</v>
      </c>
      <c r="G574" s="77" t="n">
        <v>44971</v>
      </c>
      <c r="H574" s="86" t="n">
        <v>0.122986111111111</v>
      </c>
      <c r="I574" s="7" t="s">
        <v>586</v>
      </c>
      <c r="J574" s="7" t="s">
        <v>179</v>
      </c>
    </row>
    <row r="575" customFormat="false" ht="15" hidden="false" customHeight="false" outlineLevel="0" collapsed="false">
      <c r="A575" s="2" t="n">
        <v>574</v>
      </c>
      <c r="B575" s="2" t="s">
        <v>294</v>
      </c>
      <c r="C575" s="2" t="n">
        <v>29</v>
      </c>
      <c r="D575" s="2" t="n">
        <v>3</v>
      </c>
      <c r="E575" s="82" t="n">
        <v>44987</v>
      </c>
      <c r="F575" s="87" t="n">
        <v>0.997986111111111</v>
      </c>
      <c r="G575" s="82" t="n">
        <v>44991</v>
      </c>
      <c r="H575" s="87" t="n">
        <v>0.906388888888889</v>
      </c>
      <c r="I575" s="2" t="s">
        <v>467</v>
      </c>
      <c r="J575" s="2" t="s">
        <v>33</v>
      </c>
    </row>
    <row r="576" customFormat="false" ht="15" hidden="false" customHeight="false" outlineLevel="0" collapsed="false">
      <c r="A576" s="7" t="n">
        <v>575</v>
      </c>
      <c r="B576" s="7" t="s">
        <v>328</v>
      </c>
      <c r="C576" s="7" t="n">
        <v>49</v>
      </c>
      <c r="D576" s="7" t="n">
        <v>2</v>
      </c>
      <c r="E576" s="77" t="n">
        <v>44963</v>
      </c>
      <c r="F576" s="86" t="n">
        <v>0.558703703703704</v>
      </c>
      <c r="G576" s="77" t="n">
        <v>44966</v>
      </c>
      <c r="H576" s="86" t="n">
        <v>0.62162037037037</v>
      </c>
      <c r="I576" s="7" t="s">
        <v>465</v>
      </c>
      <c r="J576" s="7" t="s">
        <v>179</v>
      </c>
    </row>
    <row r="577" customFormat="false" ht="15" hidden="false" customHeight="false" outlineLevel="0" collapsed="false">
      <c r="A577" s="2" t="n">
        <v>576</v>
      </c>
      <c r="B577" s="2" t="s">
        <v>322</v>
      </c>
      <c r="C577" s="2" t="n">
        <v>53</v>
      </c>
      <c r="D577" s="2" t="n">
        <v>4</v>
      </c>
      <c r="E577" s="82" t="n">
        <v>45158</v>
      </c>
      <c r="F577" s="87" t="n">
        <v>0.294872685185185</v>
      </c>
      <c r="G577" s="82" t="n">
        <v>45164</v>
      </c>
      <c r="H577" s="87" t="n">
        <v>0.334710648148148</v>
      </c>
      <c r="I577" s="2" t="s">
        <v>187</v>
      </c>
      <c r="J577" s="2" t="s">
        <v>40</v>
      </c>
    </row>
    <row r="578" customFormat="false" ht="15" hidden="false" customHeight="false" outlineLevel="0" collapsed="false">
      <c r="A578" s="7" t="n">
        <v>577</v>
      </c>
      <c r="B578" s="7" t="s">
        <v>145</v>
      </c>
      <c r="C578" s="7" t="n">
        <v>20</v>
      </c>
      <c r="D578" s="7" t="n">
        <v>4</v>
      </c>
      <c r="E578" s="77" t="n">
        <v>45227</v>
      </c>
      <c r="F578" s="86" t="n">
        <v>0.619050925925926</v>
      </c>
      <c r="G578" s="77" t="n">
        <v>45235</v>
      </c>
      <c r="H578" s="86" t="n">
        <v>0.785243055555556</v>
      </c>
      <c r="I578" s="7" t="s">
        <v>408</v>
      </c>
      <c r="J578" s="7" t="s">
        <v>168</v>
      </c>
    </row>
    <row r="579" customFormat="false" ht="15" hidden="false" customHeight="false" outlineLevel="0" collapsed="false">
      <c r="A579" s="2" t="n">
        <v>578</v>
      </c>
      <c r="B579" s="2" t="s">
        <v>145</v>
      </c>
      <c r="C579" s="2" t="n">
        <v>18</v>
      </c>
      <c r="D579" s="2" t="n">
        <v>4</v>
      </c>
      <c r="E579" s="82" t="n">
        <v>45138</v>
      </c>
      <c r="F579" s="87" t="n">
        <v>0.769212962962963</v>
      </c>
      <c r="G579" s="82" t="n">
        <v>45144</v>
      </c>
      <c r="H579" s="87" t="n">
        <v>0.69681712962963</v>
      </c>
      <c r="I579" s="2" t="s">
        <v>609</v>
      </c>
      <c r="J579" s="2" t="s">
        <v>31</v>
      </c>
    </row>
    <row r="580" customFormat="false" ht="15" hidden="false" customHeight="false" outlineLevel="0" collapsed="false">
      <c r="A580" s="7" t="n">
        <v>579</v>
      </c>
      <c r="B580" s="7" t="s">
        <v>372</v>
      </c>
      <c r="C580" s="7" t="n">
        <v>29</v>
      </c>
      <c r="D580" s="7" t="n">
        <v>2</v>
      </c>
      <c r="E580" s="77" t="n">
        <v>44992</v>
      </c>
      <c r="F580" s="86" t="n">
        <v>0.901851851851852</v>
      </c>
      <c r="G580" s="77" t="n">
        <v>44999</v>
      </c>
      <c r="H580" s="86" t="n">
        <v>0.447986111111111</v>
      </c>
      <c r="I580" s="7" t="s">
        <v>479</v>
      </c>
      <c r="J580" s="7" t="s">
        <v>33</v>
      </c>
    </row>
    <row r="581" customFormat="false" ht="15" hidden="false" customHeight="false" outlineLevel="0" collapsed="false">
      <c r="A581" s="2" t="n">
        <v>580</v>
      </c>
      <c r="B581" s="2" t="s">
        <v>375</v>
      </c>
      <c r="C581" s="2" t="n">
        <v>24</v>
      </c>
      <c r="D581" s="2" t="n">
        <v>4</v>
      </c>
      <c r="E581" s="82" t="n">
        <v>45093</v>
      </c>
      <c r="F581" s="87" t="n">
        <v>0.918888888888889</v>
      </c>
      <c r="G581" s="82" t="n">
        <v>45097</v>
      </c>
      <c r="H581" s="87" t="n">
        <v>0.517847222222222</v>
      </c>
      <c r="I581" s="2" t="s">
        <v>235</v>
      </c>
      <c r="J581" s="2" t="s">
        <v>31</v>
      </c>
    </row>
    <row r="582" customFormat="false" ht="15" hidden="false" customHeight="false" outlineLevel="0" collapsed="false">
      <c r="A582" s="7" t="n">
        <v>581</v>
      </c>
      <c r="B582" s="7" t="s">
        <v>344</v>
      </c>
      <c r="C582" s="7" t="n">
        <v>18</v>
      </c>
      <c r="D582" s="7" t="n">
        <v>2</v>
      </c>
      <c r="E582" s="77" t="n">
        <v>45109</v>
      </c>
      <c r="F582" s="86" t="n">
        <v>0.0891550925925926</v>
      </c>
      <c r="G582" s="77" t="n">
        <v>45118</v>
      </c>
      <c r="H582" s="86" t="n">
        <v>0.622905092592593</v>
      </c>
      <c r="I582" s="7" t="s">
        <v>175</v>
      </c>
      <c r="J582" s="7" t="s">
        <v>31</v>
      </c>
    </row>
    <row r="583" customFormat="false" ht="15" hidden="false" customHeight="false" outlineLevel="0" collapsed="false">
      <c r="A583" s="2" t="n">
        <v>582</v>
      </c>
      <c r="B583" s="2" t="s">
        <v>174</v>
      </c>
      <c r="C583" s="2" t="n">
        <v>3</v>
      </c>
      <c r="D583" s="2" t="n">
        <v>4</v>
      </c>
      <c r="E583" s="82" t="n">
        <v>44961</v>
      </c>
      <c r="F583" s="87" t="n">
        <v>0.77119212962963</v>
      </c>
      <c r="G583" s="82" t="n">
        <v>44962</v>
      </c>
      <c r="H583" s="87" t="n">
        <v>0.803252314814815</v>
      </c>
      <c r="I583" s="2" t="s">
        <v>471</v>
      </c>
      <c r="J583" s="2" t="s">
        <v>179</v>
      </c>
    </row>
    <row r="584" customFormat="false" ht="15" hidden="false" customHeight="false" outlineLevel="0" collapsed="false">
      <c r="A584" s="7" t="n">
        <v>583</v>
      </c>
      <c r="B584" s="7" t="s">
        <v>188</v>
      </c>
      <c r="C584" s="7" t="n">
        <v>56</v>
      </c>
      <c r="D584" s="7" t="n">
        <v>4</v>
      </c>
      <c r="E584" s="77" t="n">
        <v>45187</v>
      </c>
      <c r="F584" s="86" t="n">
        <v>0.699594907407407</v>
      </c>
      <c r="G584" s="77" t="n">
        <v>45191</v>
      </c>
      <c r="H584" s="86" t="n">
        <v>0.832326388888889</v>
      </c>
      <c r="I584" s="7" t="s">
        <v>414</v>
      </c>
      <c r="J584" s="7" t="s">
        <v>168</v>
      </c>
    </row>
    <row r="585" customFormat="false" ht="15" hidden="false" customHeight="false" outlineLevel="0" collapsed="false">
      <c r="A585" s="2" t="n">
        <v>584</v>
      </c>
      <c r="B585" s="2" t="s">
        <v>363</v>
      </c>
      <c r="C585" s="2" t="n">
        <v>34</v>
      </c>
      <c r="D585" s="2" t="n">
        <v>2</v>
      </c>
      <c r="E585" s="82" t="n">
        <v>45161</v>
      </c>
      <c r="F585" s="87" t="n">
        <v>0.319097222222222</v>
      </c>
      <c r="G585" s="82" t="n">
        <v>45165</v>
      </c>
      <c r="H585" s="87" t="n">
        <v>0.673935185185185</v>
      </c>
      <c r="I585" s="2" t="s">
        <v>359</v>
      </c>
      <c r="J585" s="2" t="s">
        <v>40</v>
      </c>
    </row>
    <row r="586" customFormat="false" ht="15" hidden="false" customHeight="false" outlineLevel="0" collapsed="false">
      <c r="A586" s="7" t="n">
        <v>585</v>
      </c>
      <c r="B586" s="7" t="s">
        <v>159</v>
      </c>
      <c r="C586" s="7" t="n">
        <v>63</v>
      </c>
      <c r="D586" s="7" t="n">
        <v>5</v>
      </c>
      <c r="E586" s="77" t="n">
        <v>45042</v>
      </c>
      <c r="F586" s="86" t="n">
        <v>0.772696759259259</v>
      </c>
      <c r="G586" s="77" t="n">
        <v>45047</v>
      </c>
      <c r="H586" s="86" t="n">
        <v>0.0778472222222222</v>
      </c>
      <c r="I586" s="7" t="s">
        <v>262</v>
      </c>
      <c r="J586" s="7" t="s">
        <v>165</v>
      </c>
    </row>
    <row r="587" customFormat="false" ht="15" hidden="false" customHeight="false" outlineLevel="0" collapsed="false">
      <c r="A587" s="2" t="n">
        <v>586</v>
      </c>
      <c r="B587" s="2" t="s">
        <v>306</v>
      </c>
      <c r="C587" s="2" t="n">
        <v>64</v>
      </c>
      <c r="D587" s="2" t="n">
        <v>5</v>
      </c>
      <c r="E587" s="82" t="n">
        <v>45165</v>
      </c>
      <c r="F587" s="87" t="n">
        <v>0.878217592592593</v>
      </c>
      <c r="G587" s="82" t="n">
        <v>45173</v>
      </c>
      <c r="H587" s="87" t="n">
        <v>0.687951388888889</v>
      </c>
      <c r="I587" s="2" t="s">
        <v>282</v>
      </c>
      <c r="J587" s="2" t="s">
        <v>40</v>
      </c>
    </row>
    <row r="588" customFormat="false" ht="15" hidden="false" customHeight="false" outlineLevel="0" collapsed="false">
      <c r="A588" s="7" t="n">
        <v>587</v>
      </c>
      <c r="B588" s="7" t="s">
        <v>172</v>
      </c>
      <c r="C588" s="7" t="n">
        <v>43</v>
      </c>
      <c r="D588" s="7" t="n">
        <v>1</v>
      </c>
      <c r="E588" s="77" t="n">
        <v>45232</v>
      </c>
      <c r="F588" s="86" t="n">
        <v>0.0356944444444445</v>
      </c>
      <c r="G588" s="77" t="n">
        <v>45233</v>
      </c>
      <c r="H588" s="86" t="n">
        <v>0.445208333333333</v>
      </c>
      <c r="I588" s="7" t="s">
        <v>519</v>
      </c>
      <c r="J588" s="7" t="s">
        <v>32</v>
      </c>
    </row>
    <row r="589" customFormat="false" ht="15" hidden="false" customHeight="false" outlineLevel="0" collapsed="false">
      <c r="A589" s="2" t="n">
        <v>588</v>
      </c>
      <c r="B589" s="2" t="s">
        <v>272</v>
      </c>
      <c r="C589" s="2" t="n">
        <v>49</v>
      </c>
      <c r="D589" s="2" t="n">
        <v>5</v>
      </c>
      <c r="E589" s="82" t="n">
        <v>44961</v>
      </c>
      <c r="F589" s="87" t="n">
        <v>0.275694444444445</v>
      </c>
      <c r="G589" s="82" t="n">
        <v>44962</v>
      </c>
      <c r="H589" s="87" t="n">
        <v>0.890243055555556</v>
      </c>
      <c r="I589" s="2" t="s">
        <v>459</v>
      </c>
      <c r="J589" s="2" t="s">
        <v>179</v>
      </c>
    </row>
    <row r="590" customFormat="false" ht="15" hidden="false" customHeight="false" outlineLevel="0" collapsed="false">
      <c r="A590" s="7" t="n">
        <v>589</v>
      </c>
      <c r="B590" s="7" t="s">
        <v>375</v>
      </c>
      <c r="C590" s="7" t="n">
        <v>40</v>
      </c>
      <c r="D590" s="7" t="n">
        <v>3</v>
      </c>
      <c r="E590" s="77" t="n">
        <v>45269</v>
      </c>
      <c r="F590" s="86" t="n">
        <v>0.891168981481482</v>
      </c>
      <c r="G590" s="77" t="n">
        <v>45279</v>
      </c>
      <c r="H590" s="86" t="n">
        <v>0.0566435185185185</v>
      </c>
      <c r="I590" s="7" t="s">
        <v>473</v>
      </c>
      <c r="J590" s="7" t="s">
        <v>168</v>
      </c>
    </row>
    <row r="591" customFormat="false" ht="15" hidden="false" customHeight="false" outlineLevel="0" collapsed="false">
      <c r="A591" s="2" t="n">
        <v>590</v>
      </c>
      <c r="B591" s="2" t="s">
        <v>139</v>
      </c>
      <c r="C591" s="2" t="n">
        <v>23</v>
      </c>
      <c r="D591" s="2" t="n">
        <v>2</v>
      </c>
      <c r="E591" s="82" t="n">
        <v>44945</v>
      </c>
      <c r="F591" s="87" t="n">
        <v>0.900243055555556</v>
      </c>
      <c r="G591" s="82" t="n">
        <v>44949</v>
      </c>
      <c r="H591" s="87" t="n">
        <v>0.245717592592593</v>
      </c>
      <c r="I591" s="2" t="s">
        <v>354</v>
      </c>
      <c r="J591" s="2" t="s">
        <v>168</v>
      </c>
    </row>
    <row r="592" customFormat="false" ht="15" hidden="false" customHeight="false" outlineLevel="0" collapsed="false">
      <c r="A592" s="7" t="n">
        <v>591</v>
      </c>
      <c r="B592" s="7" t="s">
        <v>127</v>
      </c>
      <c r="C592" s="7" t="n">
        <v>31</v>
      </c>
      <c r="D592" s="7" t="n">
        <v>3</v>
      </c>
      <c r="E592" s="77" t="n">
        <v>45113</v>
      </c>
      <c r="F592" s="86" t="n">
        <v>0.538888888888889</v>
      </c>
      <c r="G592" s="77" t="n">
        <v>45121</v>
      </c>
      <c r="H592" s="86" t="n">
        <v>0.000590277777777778</v>
      </c>
      <c r="I592" s="7" t="s">
        <v>579</v>
      </c>
      <c r="J592" s="7" t="s">
        <v>165</v>
      </c>
    </row>
    <row r="593" customFormat="false" ht="15" hidden="false" customHeight="false" outlineLevel="0" collapsed="false">
      <c r="A593" s="2" t="n">
        <v>592</v>
      </c>
      <c r="B593" s="2" t="s">
        <v>142</v>
      </c>
      <c r="C593" s="2" t="n">
        <v>47</v>
      </c>
      <c r="D593" s="2" t="n">
        <v>5</v>
      </c>
      <c r="E593" s="82" t="n">
        <v>44992</v>
      </c>
      <c r="F593" s="87" t="n">
        <v>0.143784722222222</v>
      </c>
      <c r="G593" s="82" t="n">
        <v>44996</v>
      </c>
      <c r="H593" s="87" t="n">
        <v>0.903738425925926</v>
      </c>
      <c r="I593" s="2" t="s">
        <v>527</v>
      </c>
      <c r="J593" s="2" t="s">
        <v>33</v>
      </c>
    </row>
    <row r="594" customFormat="false" ht="15" hidden="false" customHeight="false" outlineLevel="0" collapsed="false">
      <c r="A594" s="7" t="n">
        <v>593</v>
      </c>
      <c r="B594" s="7" t="s">
        <v>167</v>
      </c>
      <c r="C594" s="7" t="n">
        <v>58</v>
      </c>
      <c r="D594" s="7" t="n">
        <v>3</v>
      </c>
      <c r="E594" s="77" t="n">
        <v>44962</v>
      </c>
      <c r="F594" s="86" t="n">
        <v>0.72962962962963</v>
      </c>
      <c r="G594" s="77" t="n">
        <v>44969</v>
      </c>
      <c r="H594" s="86" t="n">
        <v>0.398645833333333</v>
      </c>
      <c r="I594" s="7" t="s">
        <v>241</v>
      </c>
      <c r="J594" s="7" t="s">
        <v>179</v>
      </c>
    </row>
    <row r="595" customFormat="false" ht="15" hidden="false" customHeight="false" outlineLevel="0" collapsed="false">
      <c r="A595" s="2" t="n">
        <v>594</v>
      </c>
      <c r="B595" s="2" t="s">
        <v>283</v>
      </c>
      <c r="C595" s="2" t="n">
        <v>20</v>
      </c>
      <c r="D595" s="2" t="n">
        <v>2</v>
      </c>
      <c r="E595" s="82" t="n">
        <v>45072</v>
      </c>
      <c r="F595" s="87" t="n">
        <v>0.893090277777778</v>
      </c>
      <c r="G595" s="82" t="n">
        <v>45078</v>
      </c>
      <c r="H595" s="87" t="n">
        <v>0.207962962962963</v>
      </c>
      <c r="I595" s="2" t="s">
        <v>603</v>
      </c>
      <c r="J595" s="2" t="s">
        <v>168</v>
      </c>
    </row>
    <row r="596" customFormat="false" ht="15" hidden="false" customHeight="false" outlineLevel="0" collapsed="false">
      <c r="A596" s="7" t="n">
        <v>595</v>
      </c>
      <c r="B596" s="7" t="s">
        <v>181</v>
      </c>
      <c r="C596" s="7" t="n">
        <v>51</v>
      </c>
      <c r="D596" s="7" t="n">
        <v>4</v>
      </c>
      <c r="E596" s="77" t="n">
        <v>45238</v>
      </c>
      <c r="F596" s="86" t="n">
        <v>0.575914351851852</v>
      </c>
      <c r="G596" s="77" t="n">
        <v>45245</v>
      </c>
      <c r="H596" s="86" t="n">
        <v>0.17119212962963</v>
      </c>
      <c r="I596" s="7" t="s">
        <v>340</v>
      </c>
      <c r="J596" s="7" t="s">
        <v>165</v>
      </c>
    </row>
    <row r="597" customFormat="false" ht="15" hidden="false" customHeight="false" outlineLevel="0" collapsed="false">
      <c r="A597" s="2" t="n">
        <v>596</v>
      </c>
      <c r="B597" s="2" t="s">
        <v>242</v>
      </c>
      <c r="C597" s="2" t="n">
        <v>50</v>
      </c>
      <c r="D597" s="2" t="n">
        <v>1</v>
      </c>
      <c r="E597" s="82" t="n">
        <v>44990</v>
      </c>
      <c r="F597" s="87" t="n">
        <v>0.623391203703704</v>
      </c>
      <c r="G597" s="82" t="n">
        <v>44999</v>
      </c>
      <c r="H597" s="87" t="n">
        <v>0.74912037037037</v>
      </c>
      <c r="I597" s="2" t="s">
        <v>594</v>
      </c>
      <c r="J597" s="2" t="s">
        <v>33</v>
      </c>
    </row>
    <row r="598" customFormat="false" ht="15" hidden="false" customHeight="false" outlineLevel="0" collapsed="false">
      <c r="A598" s="7" t="n">
        <v>597</v>
      </c>
      <c r="B598" s="7" t="s">
        <v>322</v>
      </c>
      <c r="C598" s="7" t="n">
        <v>16</v>
      </c>
      <c r="D598" s="7" t="n">
        <v>1</v>
      </c>
      <c r="E598" s="77" t="n">
        <v>44986</v>
      </c>
      <c r="F598" s="86" t="n">
        <v>0.0457523148148148</v>
      </c>
      <c r="G598" s="77" t="n">
        <v>44991</v>
      </c>
      <c r="H598" s="86" t="n">
        <v>0.11787037037037</v>
      </c>
      <c r="I598" s="7" t="s">
        <v>528</v>
      </c>
      <c r="J598" s="7" t="s">
        <v>33</v>
      </c>
    </row>
    <row r="599" customFormat="false" ht="15" hidden="false" customHeight="false" outlineLevel="0" collapsed="false">
      <c r="A599" s="2" t="n">
        <v>598</v>
      </c>
      <c r="B599" s="2" t="s">
        <v>266</v>
      </c>
      <c r="C599" s="2" t="n">
        <v>37</v>
      </c>
      <c r="D599" s="2" t="n">
        <v>3</v>
      </c>
      <c r="E599" s="82" t="n">
        <v>45241</v>
      </c>
      <c r="F599" s="87" t="n">
        <v>0.119016203703704</v>
      </c>
      <c r="G599" s="82" t="n">
        <v>45248</v>
      </c>
      <c r="H599" s="87" t="n">
        <v>0.912118055555556</v>
      </c>
      <c r="I599" s="2" t="s">
        <v>545</v>
      </c>
      <c r="J599" s="2" t="s">
        <v>32</v>
      </c>
    </row>
    <row r="600" customFormat="false" ht="15" hidden="false" customHeight="false" outlineLevel="0" collapsed="false">
      <c r="A600" s="7" t="n">
        <v>599</v>
      </c>
      <c r="B600" s="7" t="s">
        <v>133</v>
      </c>
      <c r="C600" s="7" t="n">
        <v>34</v>
      </c>
      <c r="D600" s="7" t="n">
        <v>1</v>
      </c>
      <c r="E600" s="77" t="n">
        <v>45159</v>
      </c>
      <c r="F600" s="86" t="n">
        <v>0.814166666666667</v>
      </c>
      <c r="G600" s="77" t="n">
        <v>45162</v>
      </c>
      <c r="H600" s="86" t="n">
        <v>0.50962962962963</v>
      </c>
      <c r="I600" s="7" t="s">
        <v>502</v>
      </c>
      <c r="J600" s="7" t="s">
        <v>40</v>
      </c>
    </row>
    <row r="601" customFormat="false" ht="15" hidden="false" customHeight="false" outlineLevel="0" collapsed="false">
      <c r="A601" s="2" t="n">
        <v>600</v>
      </c>
      <c r="B601" s="2" t="s">
        <v>379</v>
      </c>
      <c r="C601" s="2" t="n">
        <v>47</v>
      </c>
      <c r="D601" s="2" t="n">
        <v>4</v>
      </c>
      <c r="E601" s="82" t="n">
        <v>44992</v>
      </c>
      <c r="F601" s="87" t="n">
        <v>0.892118055555556</v>
      </c>
      <c r="G601" s="82" t="n">
        <v>44994</v>
      </c>
      <c r="H601" s="87" t="n">
        <v>0.637025462962963</v>
      </c>
      <c r="I601" s="2" t="s">
        <v>563</v>
      </c>
      <c r="J601" s="2" t="s">
        <v>33</v>
      </c>
    </row>
    <row r="602" customFormat="false" ht="15" hidden="false" customHeight="false" outlineLevel="0" collapsed="false">
      <c r="A602" s="7" t="n">
        <v>601</v>
      </c>
      <c r="B602" s="7" t="s">
        <v>198</v>
      </c>
      <c r="C602" s="7" t="n">
        <v>1</v>
      </c>
      <c r="D602" s="7" t="n">
        <v>4</v>
      </c>
      <c r="E602" s="77" t="n">
        <v>44999</v>
      </c>
      <c r="F602" s="86" t="n">
        <v>0.109571759259259</v>
      </c>
      <c r="G602" s="77" t="n">
        <v>45003</v>
      </c>
      <c r="H602" s="86" t="n">
        <v>0.150833333333333</v>
      </c>
      <c r="I602" s="7" t="s">
        <v>546</v>
      </c>
      <c r="J602" s="7" t="s">
        <v>165</v>
      </c>
    </row>
    <row r="603" customFormat="false" ht="15" hidden="false" customHeight="false" outlineLevel="0" collapsed="false">
      <c r="A603" s="2" t="n">
        <v>602</v>
      </c>
      <c r="B603" s="2" t="s">
        <v>230</v>
      </c>
      <c r="C603" s="2" t="n">
        <v>43</v>
      </c>
      <c r="D603" s="2" t="n">
        <v>5</v>
      </c>
      <c r="E603" s="82" t="n">
        <v>45232</v>
      </c>
      <c r="F603" s="87" t="n">
        <v>0.428761574074074</v>
      </c>
      <c r="G603" s="82" t="n">
        <v>45241</v>
      </c>
      <c r="H603" s="87" t="n">
        <v>0.251388888888889</v>
      </c>
      <c r="I603" s="2" t="s">
        <v>296</v>
      </c>
      <c r="J603" s="2" t="s">
        <v>32</v>
      </c>
    </row>
    <row r="604" customFormat="false" ht="15" hidden="false" customHeight="false" outlineLevel="0" collapsed="false">
      <c r="A604" s="7" t="n">
        <v>603</v>
      </c>
      <c r="B604" s="7" t="s">
        <v>336</v>
      </c>
      <c r="C604" s="7" t="n">
        <v>8</v>
      </c>
      <c r="D604" s="7" t="n">
        <v>3</v>
      </c>
      <c r="E604" s="77" t="n">
        <v>45075</v>
      </c>
      <c r="F604" s="86" t="n">
        <v>0.224965277777778</v>
      </c>
      <c r="G604" s="77" t="n">
        <v>45084</v>
      </c>
      <c r="H604" s="86" t="n">
        <v>0.635243055555556</v>
      </c>
      <c r="I604" s="7" t="s">
        <v>595</v>
      </c>
      <c r="J604" s="7" t="s">
        <v>168</v>
      </c>
    </row>
    <row r="605" customFormat="false" ht="15" hidden="false" customHeight="false" outlineLevel="0" collapsed="false">
      <c r="A605" s="2" t="n">
        <v>604</v>
      </c>
      <c r="B605" s="2" t="s">
        <v>309</v>
      </c>
      <c r="C605" s="2" t="n">
        <v>39</v>
      </c>
      <c r="D605" s="2" t="n">
        <v>3</v>
      </c>
      <c r="E605" s="82" t="n">
        <v>44957</v>
      </c>
      <c r="F605" s="87" t="n">
        <v>0.829814814814815</v>
      </c>
      <c r="G605" s="82" t="n">
        <v>44960</v>
      </c>
      <c r="H605" s="87" t="n">
        <v>0.892106481481482</v>
      </c>
      <c r="I605" s="2" t="s">
        <v>583</v>
      </c>
      <c r="J605" s="2" t="s">
        <v>165</v>
      </c>
    </row>
    <row r="606" customFormat="false" ht="15" hidden="false" customHeight="false" outlineLevel="0" collapsed="false">
      <c r="A606" s="7" t="n">
        <v>605</v>
      </c>
      <c r="B606" s="7" t="s">
        <v>306</v>
      </c>
      <c r="C606" s="7" t="n">
        <v>45</v>
      </c>
      <c r="D606" s="7" t="n">
        <v>2</v>
      </c>
      <c r="E606" s="77" t="n">
        <v>45281</v>
      </c>
      <c r="F606" s="86" t="n">
        <v>0.931319444444445</v>
      </c>
      <c r="G606" s="77" t="n">
        <v>45285</v>
      </c>
      <c r="H606" s="86" t="n">
        <v>0.867743055555556</v>
      </c>
      <c r="I606" s="7" t="s">
        <v>445</v>
      </c>
      <c r="J606" s="7" t="s">
        <v>31</v>
      </c>
    </row>
    <row r="607" customFormat="false" ht="15" hidden="false" customHeight="false" outlineLevel="0" collapsed="false">
      <c r="A607" s="2" t="n">
        <v>606</v>
      </c>
      <c r="B607" s="2" t="s">
        <v>245</v>
      </c>
      <c r="C607" s="2" t="n">
        <v>3</v>
      </c>
      <c r="D607" s="2" t="n">
        <v>5</v>
      </c>
      <c r="E607" s="82" t="n">
        <v>44965</v>
      </c>
      <c r="F607" s="87" t="n">
        <v>0.0925115740740741</v>
      </c>
      <c r="G607" s="82" t="n">
        <v>44974</v>
      </c>
      <c r="H607" s="87" t="n">
        <v>0.313564814814815</v>
      </c>
      <c r="I607" s="2" t="s">
        <v>554</v>
      </c>
      <c r="J607" s="2" t="s">
        <v>179</v>
      </c>
    </row>
    <row r="608" customFormat="false" ht="15" hidden="false" customHeight="false" outlineLevel="0" collapsed="false">
      <c r="A608" s="7" t="n">
        <v>607</v>
      </c>
      <c r="B608" s="7" t="s">
        <v>194</v>
      </c>
      <c r="C608" s="7" t="n">
        <v>50</v>
      </c>
      <c r="D608" s="7" t="n">
        <v>3</v>
      </c>
      <c r="E608" s="77" t="n">
        <v>44988</v>
      </c>
      <c r="F608" s="86" t="n">
        <v>0.0766782407407407</v>
      </c>
      <c r="G608" s="77" t="n">
        <v>44990</v>
      </c>
      <c r="H608" s="86" t="n">
        <v>0.411759259259259</v>
      </c>
      <c r="I608" s="7" t="s">
        <v>271</v>
      </c>
      <c r="J608" s="7" t="s">
        <v>33</v>
      </c>
    </row>
    <row r="609" customFormat="false" ht="15" hidden="false" customHeight="false" outlineLevel="0" collapsed="false">
      <c r="A609" s="2" t="n">
        <v>608</v>
      </c>
      <c r="B609" s="2" t="s">
        <v>198</v>
      </c>
      <c r="C609" s="2" t="n">
        <v>55</v>
      </c>
      <c r="D609" s="2" t="n">
        <v>5</v>
      </c>
      <c r="E609" s="82" t="n">
        <v>45166</v>
      </c>
      <c r="F609" s="87" t="n">
        <v>0.854340277777778</v>
      </c>
      <c r="G609" s="82" t="n">
        <v>45170</v>
      </c>
      <c r="H609" s="87" t="n">
        <v>0.30162037037037</v>
      </c>
      <c r="I609" s="2" t="s">
        <v>365</v>
      </c>
      <c r="J609" s="2" t="s">
        <v>40</v>
      </c>
    </row>
    <row r="610" customFormat="false" ht="15" hidden="false" customHeight="false" outlineLevel="0" collapsed="false">
      <c r="A610" s="7" t="n">
        <v>609</v>
      </c>
      <c r="B610" s="7" t="s">
        <v>185</v>
      </c>
      <c r="C610" s="7" t="n">
        <v>25</v>
      </c>
      <c r="D610" s="7" t="n">
        <v>5</v>
      </c>
      <c r="E610" s="77" t="n">
        <v>45226</v>
      </c>
      <c r="F610" s="86" t="n">
        <v>0.464537037037037</v>
      </c>
      <c r="G610" s="77" t="n">
        <v>45227</v>
      </c>
      <c r="H610" s="86" t="n">
        <v>0.990914351851852</v>
      </c>
      <c r="I610" s="7" t="s">
        <v>408</v>
      </c>
      <c r="J610" s="7" t="s">
        <v>168</v>
      </c>
    </row>
    <row r="611" customFormat="false" ht="15" hidden="false" customHeight="false" outlineLevel="0" collapsed="false">
      <c r="A611" s="2" t="n">
        <v>610</v>
      </c>
      <c r="B611" s="2" t="s">
        <v>306</v>
      </c>
      <c r="C611" s="2" t="n">
        <v>5</v>
      </c>
      <c r="D611" s="2" t="n">
        <v>3</v>
      </c>
      <c r="E611" s="82" t="n">
        <v>44929</v>
      </c>
      <c r="F611" s="87" t="n">
        <v>0.726168981481482</v>
      </c>
      <c r="G611" s="82" t="n">
        <v>44931</v>
      </c>
      <c r="H611" s="87" t="n">
        <v>0.00805555555555556</v>
      </c>
      <c r="I611" s="2" t="s">
        <v>570</v>
      </c>
      <c r="J611" s="2" t="s">
        <v>165</v>
      </c>
    </row>
    <row r="612" customFormat="false" ht="15" hidden="false" customHeight="false" outlineLevel="0" collapsed="false">
      <c r="A612" s="7" t="n">
        <v>611</v>
      </c>
      <c r="B612" s="7" t="s">
        <v>272</v>
      </c>
      <c r="C612" s="7" t="n">
        <v>28</v>
      </c>
      <c r="D612" s="7" t="n">
        <v>2</v>
      </c>
      <c r="E612" s="77" t="n">
        <v>45160</v>
      </c>
      <c r="F612" s="86" t="n">
        <v>0.887384259259259</v>
      </c>
      <c r="G612" s="77" t="n">
        <v>45166</v>
      </c>
      <c r="H612" s="86" t="n">
        <v>0.144097222222222</v>
      </c>
      <c r="I612" s="7" t="s">
        <v>471</v>
      </c>
      <c r="J612" s="7" t="s">
        <v>40</v>
      </c>
    </row>
    <row r="613" customFormat="false" ht="15" hidden="false" customHeight="false" outlineLevel="0" collapsed="false">
      <c r="A613" s="2" t="n">
        <v>612</v>
      </c>
      <c r="B613" s="2" t="s">
        <v>325</v>
      </c>
      <c r="C613" s="2" t="n">
        <v>26</v>
      </c>
      <c r="D613" s="2" t="n">
        <v>1</v>
      </c>
      <c r="E613" s="82" t="n">
        <v>44987</v>
      </c>
      <c r="F613" s="87" t="n">
        <v>0.432233796296296</v>
      </c>
      <c r="G613" s="82" t="n">
        <v>44993</v>
      </c>
      <c r="H613" s="87" t="n">
        <v>0.527662037037037</v>
      </c>
      <c r="I613" s="2" t="s">
        <v>565</v>
      </c>
      <c r="J613" s="2" t="s">
        <v>33</v>
      </c>
    </row>
    <row r="614" customFormat="false" ht="15" hidden="false" customHeight="false" outlineLevel="0" collapsed="false">
      <c r="A614" s="7" t="n">
        <v>613</v>
      </c>
      <c r="B614" s="7" t="s">
        <v>291</v>
      </c>
      <c r="C614" s="7" t="n">
        <v>4</v>
      </c>
      <c r="D614" s="7" t="n">
        <v>5</v>
      </c>
      <c r="E614" s="77" t="n">
        <v>45240</v>
      </c>
      <c r="F614" s="86" t="n">
        <v>0.746226851851852</v>
      </c>
      <c r="G614" s="77" t="n">
        <v>45244</v>
      </c>
      <c r="H614" s="86" t="n">
        <v>0.804479166666667</v>
      </c>
      <c r="I614" s="7" t="s">
        <v>402</v>
      </c>
      <c r="J614" s="7" t="s">
        <v>32</v>
      </c>
    </row>
    <row r="615" customFormat="false" ht="15" hidden="false" customHeight="false" outlineLevel="0" collapsed="false">
      <c r="A615" s="2" t="n">
        <v>614</v>
      </c>
      <c r="B615" s="2" t="s">
        <v>363</v>
      </c>
      <c r="C615" s="2" t="n">
        <v>26</v>
      </c>
      <c r="D615" s="2" t="n">
        <v>1</v>
      </c>
      <c r="E615" s="82" t="n">
        <v>44988</v>
      </c>
      <c r="F615" s="87" t="n">
        <v>0.650150462962963</v>
      </c>
      <c r="G615" s="82" t="n">
        <v>44992</v>
      </c>
      <c r="H615" s="87" t="n">
        <v>0.785891203703704</v>
      </c>
      <c r="I615" s="2" t="s">
        <v>138</v>
      </c>
      <c r="J615" s="2" t="s">
        <v>33</v>
      </c>
    </row>
    <row r="616" customFormat="false" ht="15" hidden="false" customHeight="false" outlineLevel="0" collapsed="false">
      <c r="A616" s="7" t="n">
        <v>615</v>
      </c>
      <c r="B616" s="7" t="s">
        <v>176</v>
      </c>
      <c r="C616" s="7" t="n">
        <v>28</v>
      </c>
      <c r="D616" s="7" t="n">
        <v>3</v>
      </c>
      <c r="E616" s="77" t="n">
        <v>45163</v>
      </c>
      <c r="F616" s="86" t="n">
        <v>0.882743055555556</v>
      </c>
      <c r="G616" s="77" t="n">
        <v>45170</v>
      </c>
      <c r="H616" s="86" t="n">
        <v>0.25712962962963</v>
      </c>
      <c r="I616" s="7" t="s">
        <v>153</v>
      </c>
      <c r="J616" s="7" t="s">
        <v>40</v>
      </c>
    </row>
    <row r="617" customFormat="false" ht="15" hidden="false" customHeight="false" outlineLevel="0" collapsed="false">
      <c r="A617" s="2" t="n">
        <v>616</v>
      </c>
      <c r="B617" s="2" t="s">
        <v>139</v>
      </c>
      <c r="C617" s="2" t="n">
        <v>44</v>
      </c>
      <c r="D617" s="2" t="n">
        <v>5</v>
      </c>
      <c r="E617" s="82" t="n">
        <v>45238</v>
      </c>
      <c r="F617" s="87" t="n">
        <v>0.998576388888889</v>
      </c>
      <c r="G617" s="82" t="n">
        <v>45242</v>
      </c>
      <c r="H617" s="87" t="n">
        <v>0.806238425925926</v>
      </c>
      <c r="I617" s="2" t="s">
        <v>526</v>
      </c>
      <c r="J617" s="2" t="s">
        <v>32</v>
      </c>
    </row>
    <row r="618" customFormat="false" ht="15" hidden="false" customHeight="false" outlineLevel="0" collapsed="false">
      <c r="A618" s="7" t="n">
        <v>617</v>
      </c>
      <c r="B618" s="7" t="s">
        <v>347</v>
      </c>
      <c r="C618" s="7" t="n">
        <v>22</v>
      </c>
      <c r="D618" s="7" t="n">
        <v>1</v>
      </c>
      <c r="E618" s="77" t="n">
        <v>44976</v>
      </c>
      <c r="F618" s="86" t="n">
        <v>0.120625</v>
      </c>
      <c r="G618" s="77" t="n">
        <v>44985</v>
      </c>
      <c r="H618" s="86" t="n">
        <v>0.709421296296296</v>
      </c>
      <c r="I618" s="7" t="s">
        <v>601</v>
      </c>
      <c r="J618" s="7" t="s">
        <v>165</v>
      </c>
    </row>
    <row r="619" customFormat="false" ht="15" hidden="false" customHeight="false" outlineLevel="0" collapsed="false">
      <c r="A619" s="2" t="n">
        <v>618</v>
      </c>
      <c r="B619" s="2" t="s">
        <v>319</v>
      </c>
      <c r="C619" s="2" t="n">
        <v>60</v>
      </c>
      <c r="D619" s="2" t="n">
        <v>4</v>
      </c>
      <c r="E619" s="82" t="n">
        <v>45235</v>
      </c>
      <c r="F619" s="87" t="n">
        <v>0.67306712962963</v>
      </c>
      <c r="G619" s="82" t="n">
        <v>45245</v>
      </c>
      <c r="H619" s="87" t="n">
        <v>0.723333333333333</v>
      </c>
      <c r="I619" s="2" t="s">
        <v>473</v>
      </c>
      <c r="J619" s="2" t="s">
        <v>32</v>
      </c>
    </row>
    <row r="620" customFormat="false" ht="15" hidden="false" customHeight="false" outlineLevel="0" collapsed="false">
      <c r="A620" s="7" t="n">
        <v>619</v>
      </c>
      <c r="B620" s="7" t="s">
        <v>369</v>
      </c>
      <c r="C620" s="7" t="n">
        <v>35</v>
      </c>
      <c r="D620" s="7" t="n">
        <v>1</v>
      </c>
      <c r="E620" s="77" t="n">
        <v>44991</v>
      </c>
      <c r="F620" s="86" t="n">
        <v>0.304699074074074</v>
      </c>
      <c r="G620" s="77" t="n">
        <v>45001</v>
      </c>
      <c r="H620" s="86" t="n">
        <v>0.1371875</v>
      </c>
      <c r="I620" s="7" t="s">
        <v>524</v>
      </c>
      <c r="J620" s="7" t="s">
        <v>33</v>
      </c>
    </row>
    <row r="621" customFormat="false" ht="15" hidden="false" customHeight="false" outlineLevel="0" collapsed="false">
      <c r="A621" s="2" t="n">
        <v>620</v>
      </c>
      <c r="B621" s="2" t="s">
        <v>322</v>
      </c>
      <c r="C621" s="2" t="n">
        <v>67</v>
      </c>
      <c r="D621" s="2" t="n">
        <v>3</v>
      </c>
      <c r="E621" s="82" t="n">
        <v>45118</v>
      </c>
      <c r="F621" s="87" t="n">
        <v>0.932650462962963</v>
      </c>
      <c r="G621" s="82" t="n">
        <v>45125</v>
      </c>
      <c r="H621" s="87" t="n">
        <v>0.058912037037037</v>
      </c>
      <c r="I621" s="2" t="s">
        <v>305</v>
      </c>
      <c r="J621" s="2" t="s">
        <v>168</v>
      </c>
    </row>
    <row r="622" customFormat="false" ht="15" hidden="false" customHeight="false" outlineLevel="0" collapsed="false">
      <c r="A622" s="7" t="n">
        <v>621</v>
      </c>
      <c r="B622" s="7" t="s">
        <v>311</v>
      </c>
      <c r="C622" s="7" t="n">
        <v>64</v>
      </c>
      <c r="D622" s="7" t="n">
        <v>3</v>
      </c>
      <c r="E622" s="77" t="n">
        <v>45158</v>
      </c>
      <c r="F622" s="86" t="n">
        <v>0.303506944444444</v>
      </c>
      <c r="G622" s="77" t="n">
        <v>45166</v>
      </c>
      <c r="H622" s="86" t="n">
        <v>0.0644560185185185</v>
      </c>
      <c r="I622" s="7" t="s">
        <v>132</v>
      </c>
      <c r="J622" s="7" t="s">
        <v>40</v>
      </c>
    </row>
    <row r="623" customFormat="false" ht="15" hidden="false" customHeight="false" outlineLevel="0" collapsed="false">
      <c r="A623" s="2" t="n">
        <v>622</v>
      </c>
      <c r="B623" s="2" t="s">
        <v>350</v>
      </c>
      <c r="C623" s="2" t="n">
        <v>4</v>
      </c>
      <c r="D623" s="2" t="n">
        <v>4</v>
      </c>
      <c r="E623" s="82" t="n">
        <v>45238</v>
      </c>
      <c r="F623" s="87" t="n">
        <v>0.592731481481482</v>
      </c>
      <c r="G623" s="82" t="n">
        <v>45239</v>
      </c>
      <c r="H623" s="87" t="n">
        <v>0.66599537037037</v>
      </c>
      <c r="I623" s="2" t="s">
        <v>253</v>
      </c>
      <c r="J623" s="2" t="s">
        <v>32</v>
      </c>
    </row>
    <row r="624" customFormat="false" ht="15" hidden="false" customHeight="false" outlineLevel="0" collapsed="false">
      <c r="A624" s="7" t="n">
        <v>623</v>
      </c>
      <c r="B624" s="7" t="s">
        <v>239</v>
      </c>
      <c r="C624" s="7" t="n">
        <v>37</v>
      </c>
      <c r="D624" s="7" t="n">
        <v>2</v>
      </c>
      <c r="E624" s="77" t="n">
        <v>45238</v>
      </c>
      <c r="F624" s="86" t="n">
        <v>0.567939814814815</v>
      </c>
      <c r="G624" s="77" t="n">
        <v>45248</v>
      </c>
      <c r="H624" s="86" t="n">
        <v>0.601145833333333</v>
      </c>
      <c r="I624" s="7" t="s">
        <v>473</v>
      </c>
      <c r="J624" s="7" t="s">
        <v>32</v>
      </c>
    </row>
    <row r="625" customFormat="false" ht="15" hidden="false" customHeight="false" outlineLevel="0" collapsed="false">
      <c r="A625" s="2" t="n">
        <v>624</v>
      </c>
      <c r="B625" s="2" t="s">
        <v>185</v>
      </c>
      <c r="C625" s="2" t="n">
        <v>53</v>
      </c>
      <c r="D625" s="2" t="n">
        <v>5</v>
      </c>
      <c r="E625" s="82" t="n">
        <v>45167</v>
      </c>
      <c r="F625" s="87" t="n">
        <v>0.388877314814815</v>
      </c>
      <c r="G625" s="82" t="n">
        <v>45170</v>
      </c>
      <c r="H625" s="87" t="n">
        <v>0.354097222222222</v>
      </c>
      <c r="I625" s="2" t="s">
        <v>160</v>
      </c>
      <c r="J625" s="2" t="s">
        <v>40</v>
      </c>
    </row>
    <row r="626" customFormat="false" ht="15" hidden="false" customHeight="false" outlineLevel="0" collapsed="false">
      <c r="A626" s="7" t="n">
        <v>625</v>
      </c>
      <c r="B626" s="7" t="s">
        <v>363</v>
      </c>
      <c r="C626" s="7" t="n">
        <v>63</v>
      </c>
      <c r="D626" s="7" t="n">
        <v>5</v>
      </c>
      <c r="E626" s="77" t="n">
        <v>44980</v>
      </c>
      <c r="F626" s="86" t="n">
        <v>0.885902777777778</v>
      </c>
      <c r="G626" s="77" t="n">
        <v>44989</v>
      </c>
      <c r="H626" s="86" t="n">
        <v>0.115347222222222</v>
      </c>
      <c r="I626" s="7" t="s">
        <v>211</v>
      </c>
      <c r="J626" s="7" t="s">
        <v>165</v>
      </c>
    </row>
    <row r="627" customFormat="false" ht="15" hidden="false" customHeight="false" outlineLevel="0" collapsed="false">
      <c r="A627" s="2" t="n">
        <v>626</v>
      </c>
      <c r="B627" s="2" t="s">
        <v>185</v>
      </c>
      <c r="C627" s="2" t="n">
        <v>40</v>
      </c>
      <c r="D627" s="2" t="n">
        <v>5</v>
      </c>
      <c r="E627" s="82" t="n">
        <v>45192</v>
      </c>
      <c r="F627" s="87" t="n">
        <v>0.63400462962963</v>
      </c>
      <c r="G627" s="82" t="n">
        <v>45196</v>
      </c>
      <c r="H627" s="87" t="n">
        <v>0.343310185185185</v>
      </c>
      <c r="I627" s="2" t="s">
        <v>214</v>
      </c>
      <c r="J627" s="2" t="s">
        <v>168</v>
      </c>
    </row>
    <row r="628" customFormat="false" ht="15" hidden="false" customHeight="false" outlineLevel="0" collapsed="false">
      <c r="A628" s="7" t="n">
        <v>627</v>
      </c>
      <c r="B628" s="7" t="s">
        <v>185</v>
      </c>
      <c r="C628" s="7" t="n">
        <v>51</v>
      </c>
      <c r="D628" s="7" t="n">
        <v>4</v>
      </c>
      <c r="E628" s="77" t="n">
        <v>44962</v>
      </c>
      <c r="F628" s="86" t="n">
        <v>0.187789351851852</v>
      </c>
      <c r="G628" s="77" t="n">
        <v>44965</v>
      </c>
      <c r="H628" s="86" t="n">
        <v>0.984861111111111</v>
      </c>
      <c r="I628" s="7" t="s">
        <v>570</v>
      </c>
      <c r="J628" s="7" t="s">
        <v>165</v>
      </c>
    </row>
    <row r="629" customFormat="false" ht="15" hidden="false" customHeight="false" outlineLevel="0" collapsed="false">
      <c r="A629" s="2" t="n">
        <v>628</v>
      </c>
      <c r="B629" s="2" t="s">
        <v>285</v>
      </c>
      <c r="C629" s="2" t="n">
        <v>11</v>
      </c>
      <c r="D629" s="2" t="n">
        <v>5</v>
      </c>
      <c r="E629" s="82" t="n">
        <v>44967</v>
      </c>
      <c r="F629" s="87" t="n">
        <v>0.910034722222222</v>
      </c>
      <c r="G629" s="82" t="n">
        <v>44970</v>
      </c>
      <c r="H629" s="87" t="n">
        <v>0.880393518518519</v>
      </c>
      <c r="I629" s="2" t="s">
        <v>514</v>
      </c>
      <c r="J629" s="2" t="s">
        <v>179</v>
      </c>
    </row>
    <row r="630" customFormat="false" ht="15" hidden="false" customHeight="false" outlineLevel="0" collapsed="false">
      <c r="A630" s="7" t="n">
        <v>629</v>
      </c>
      <c r="B630" s="7" t="s">
        <v>202</v>
      </c>
      <c r="C630" s="7" t="n">
        <v>28</v>
      </c>
      <c r="D630" s="7" t="n">
        <v>5</v>
      </c>
      <c r="E630" s="77" t="n">
        <v>45165</v>
      </c>
      <c r="F630" s="86" t="n">
        <v>0.381261574074074</v>
      </c>
      <c r="G630" s="77" t="n">
        <v>45173</v>
      </c>
      <c r="H630" s="86" t="n">
        <v>0.646793981481482</v>
      </c>
      <c r="I630" s="7" t="s">
        <v>556</v>
      </c>
      <c r="J630" s="7" t="s">
        <v>40</v>
      </c>
    </row>
    <row r="631" customFormat="false" ht="15" hidden="false" customHeight="false" outlineLevel="0" collapsed="false">
      <c r="A631" s="2" t="n">
        <v>630</v>
      </c>
      <c r="B631" s="2" t="s">
        <v>313</v>
      </c>
      <c r="C631" s="2" t="n">
        <v>67</v>
      </c>
      <c r="D631" s="2" t="n">
        <v>3</v>
      </c>
      <c r="E631" s="82" t="n">
        <v>44978</v>
      </c>
      <c r="F631" s="87" t="n">
        <v>0.901238425925926</v>
      </c>
      <c r="G631" s="82" t="n">
        <v>44986</v>
      </c>
      <c r="H631" s="87" t="n">
        <v>0.786898148148148</v>
      </c>
      <c r="I631" s="2" t="s">
        <v>450</v>
      </c>
      <c r="J631" s="2" t="s">
        <v>168</v>
      </c>
    </row>
    <row r="632" customFormat="false" ht="15" hidden="false" customHeight="false" outlineLevel="0" collapsed="false">
      <c r="A632" s="7" t="n">
        <v>631</v>
      </c>
      <c r="B632" s="7" t="s">
        <v>236</v>
      </c>
      <c r="C632" s="7" t="n">
        <v>32</v>
      </c>
      <c r="D632" s="7" t="n">
        <v>4</v>
      </c>
      <c r="E632" s="77" t="n">
        <v>45029</v>
      </c>
      <c r="F632" s="86" t="n">
        <v>0.904050925925926</v>
      </c>
      <c r="G632" s="77" t="n">
        <v>45033</v>
      </c>
      <c r="H632" s="86" t="n">
        <v>0.156284722222222</v>
      </c>
      <c r="I632" s="7" t="s">
        <v>391</v>
      </c>
      <c r="J632" s="7" t="s">
        <v>31</v>
      </c>
    </row>
    <row r="633" customFormat="false" ht="15" hidden="false" customHeight="false" outlineLevel="0" collapsed="false">
      <c r="A633" s="2" t="n">
        <v>632</v>
      </c>
      <c r="B633" s="2" t="s">
        <v>325</v>
      </c>
      <c r="C633" s="2" t="n">
        <v>51</v>
      </c>
      <c r="D633" s="2" t="n">
        <v>1</v>
      </c>
      <c r="E633" s="82" t="n">
        <v>45118</v>
      </c>
      <c r="F633" s="87" t="n">
        <v>0.940983796296296</v>
      </c>
      <c r="G633" s="82" t="n">
        <v>45119</v>
      </c>
      <c r="H633" s="87" t="n">
        <v>0.481134259259259</v>
      </c>
      <c r="I633" s="2" t="s">
        <v>123</v>
      </c>
      <c r="J633" s="2" t="s">
        <v>165</v>
      </c>
    </row>
    <row r="634" customFormat="false" ht="15" hidden="false" customHeight="false" outlineLevel="0" collapsed="false">
      <c r="A634" s="7" t="n">
        <v>633</v>
      </c>
      <c r="B634" s="7" t="s">
        <v>200</v>
      </c>
      <c r="C634" s="7" t="n">
        <v>52</v>
      </c>
      <c r="D634" s="7" t="n">
        <v>5</v>
      </c>
      <c r="E634" s="77" t="n">
        <v>44967</v>
      </c>
      <c r="F634" s="86" t="n">
        <v>0.614375</v>
      </c>
      <c r="G634" s="77" t="n">
        <v>44972</v>
      </c>
      <c r="H634" s="86" t="n">
        <v>0.217199074074074</v>
      </c>
      <c r="I634" s="7" t="s">
        <v>579</v>
      </c>
      <c r="J634" s="7" t="s">
        <v>179</v>
      </c>
    </row>
    <row r="635" customFormat="false" ht="15" hidden="false" customHeight="false" outlineLevel="0" collapsed="false">
      <c r="A635" s="2" t="n">
        <v>634</v>
      </c>
      <c r="B635" s="2" t="s">
        <v>218</v>
      </c>
      <c r="C635" s="2" t="n">
        <v>57</v>
      </c>
      <c r="D635" s="2" t="n">
        <v>3</v>
      </c>
      <c r="E635" s="82" t="n">
        <v>45053</v>
      </c>
      <c r="F635" s="87" t="n">
        <v>0.275185185185185</v>
      </c>
      <c r="G635" s="82" t="n">
        <v>45057</v>
      </c>
      <c r="H635" s="87" t="n">
        <v>0.572094907407407</v>
      </c>
      <c r="I635" s="2" t="s">
        <v>374</v>
      </c>
      <c r="J635" s="2" t="s">
        <v>31</v>
      </c>
    </row>
    <row r="636" customFormat="false" ht="15" hidden="false" customHeight="false" outlineLevel="0" collapsed="false">
      <c r="A636" s="7" t="n">
        <v>635</v>
      </c>
      <c r="B636" s="7" t="s">
        <v>379</v>
      </c>
      <c r="C636" s="7" t="n">
        <v>67</v>
      </c>
      <c r="D636" s="7" t="n">
        <v>1</v>
      </c>
      <c r="E636" s="77" t="n">
        <v>45242</v>
      </c>
      <c r="F636" s="86" t="n">
        <v>0.775821759259259</v>
      </c>
      <c r="G636" s="77" t="n">
        <v>45252</v>
      </c>
      <c r="H636" s="86" t="n">
        <v>0.308009259259259</v>
      </c>
      <c r="I636" s="7" t="s">
        <v>508</v>
      </c>
      <c r="J636" s="7" t="s">
        <v>168</v>
      </c>
    </row>
    <row r="637" customFormat="false" ht="15" hidden="false" customHeight="false" outlineLevel="0" collapsed="false">
      <c r="A637" s="2" t="n">
        <v>636</v>
      </c>
      <c r="B637" s="2" t="s">
        <v>303</v>
      </c>
      <c r="C637" s="2" t="n">
        <v>53</v>
      </c>
      <c r="D637" s="2" t="n">
        <v>2</v>
      </c>
      <c r="E637" s="82" t="n">
        <v>45163</v>
      </c>
      <c r="F637" s="87" t="n">
        <v>0.304467592592593</v>
      </c>
      <c r="G637" s="82" t="n">
        <v>45171</v>
      </c>
      <c r="H637" s="87" t="n">
        <v>0.1484375</v>
      </c>
      <c r="I637" s="2" t="s">
        <v>521</v>
      </c>
      <c r="J637" s="2" t="s">
        <v>40</v>
      </c>
    </row>
    <row r="638" customFormat="false" ht="15" hidden="false" customHeight="false" outlineLevel="0" collapsed="false">
      <c r="A638" s="7" t="n">
        <v>637</v>
      </c>
      <c r="B638" s="7" t="s">
        <v>272</v>
      </c>
      <c r="C638" s="7" t="n">
        <v>51</v>
      </c>
      <c r="D638" s="7" t="n">
        <v>3</v>
      </c>
      <c r="E638" s="77" t="n">
        <v>44997</v>
      </c>
      <c r="F638" s="86" t="n">
        <v>0.812106481481482</v>
      </c>
      <c r="G638" s="77" t="n">
        <v>45005</v>
      </c>
      <c r="H638" s="86" t="n">
        <v>0.940439814814815</v>
      </c>
      <c r="I638" s="7" t="s">
        <v>321</v>
      </c>
      <c r="J638" s="7" t="s">
        <v>165</v>
      </c>
    </row>
    <row r="639" customFormat="false" ht="15" hidden="false" customHeight="false" outlineLevel="0" collapsed="false">
      <c r="A639" s="2" t="n">
        <v>638</v>
      </c>
      <c r="B639" s="2" t="s">
        <v>283</v>
      </c>
      <c r="C639" s="2" t="n">
        <v>39</v>
      </c>
      <c r="D639" s="2" t="n">
        <v>1</v>
      </c>
      <c r="E639" s="82" t="n">
        <v>45039</v>
      </c>
      <c r="F639" s="87" t="n">
        <v>0.0927430555555556</v>
      </c>
      <c r="G639" s="82" t="n">
        <v>45043</v>
      </c>
      <c r="H639" s="87" t="n">
        <v>0.118981481481482</v>
      </c>
      <c r="I639" s="2" t="s">
        <v>489</v>
      </c>
      <c r="J639" s="2" t="s">
        <v>165</v>
      </c>
    </row>
    <row r="640" customFormat="false" ht="15" hidden="false" customHeight="false" outlineLevel="0" collapsed="false">
      <c r="A640" s="7" t="n">
        <v>639</v>
      </c>
      <c r="B640" s="7" t="s">
        <v>388</v>
      </c>
      <c r="C640" s="7" t="n">
        <v>24</v>
      </c>
      <c r="D640" s="7" t="n">
        <v>1</v>
      </c>
      <c r="E640" s="77" t="n">
        <v>45072</v>
      </c>
      <c r="F640" s="86" t="n">
        <v>0.10869212962963</v>
      </c>
      <c r="G640" s="77" t="n">
        <v>45077</v>
      </c>
      <c r="H640" s="86" t="n">
        <v>0.137789351851852</v>
      </c>
      <c r="I640" s="7" t="s">
        <v>158</v>
      </c>
      <c r="J640" s="7" t="s">
        <v>31</v>
      </c>
    </row>
    <row r="641" customFormat="false" ht="15" hidden="false" customHeight="false" outlineLevel="0" collapsed="false">
      <c r="A641" s="2" t="n">
        <v>640</v>
      </c>
      <c r="B641" s="2" t="s">
        <v>363</v>
      </c>
      <c r="C641" s="2" t="n">
        <v>59</v>
      </c>
      <c r="D641" s="2" t="n">
        <v>3</v>
      </c>
      <c r="E641" s="82" t="n">
        <v>45161</v>
      </c>
      <c r="F641" s="87" t="n">
        <v>0.261701388888889</v>
      </c>
      <c r="G641" s="82" t="n">
        <v>45169</v>
      </c>
      <c r="H641" s="87" t="n">
        <v>0.796770833333333</v>
      </c>
      <c r="I641" s="2" t="s">
        <v>205</v>
      </c>
      <c r="J641" s="2" t="s">
        <v>40</v>
      </c>
    </row>
    <row r="642" customFormat="false" ht="15" hidden="false" customHeight="false" outlineLevel="0" collapsed="false">
      <c r="A642" s="7" t="n">
        <v>641</v>
      </c>
      <c r="B642" s="7" t="s">
        <v>291</v>
      </c>
      <c r="C642" s="7" t="n">
        <v>15</v>
      </c>
      <c r="D642" s="7" t="n">
        <v>4</v>
      </c>
      <c r="E642" s="77" t="n">
        <v>45064</v>
      </c>
      <c r="F642" s="86" t="n">
        <v>0.999953703703704</v>
      </c>
      <c r="G642" s="77" t="n">
        <v>45072</v>
      </c>
      <c r="H642" s="86" t="n">
        <v>0.802025462962963</v>
      </c>
      <c r="I642" s="7" t="s">
        <v>574</v>
      </c>
      <c r="J642" s="7" t="s">
        <v>168</v>
      </c>
    </row>
    <row r="643" customFormat="false" ht="15" hidden="false" customHeight="false" outlineLevel="0" collapsed="false">
      <c r="A643" s="2" t="n">
        <v>642</v>
      </c>
      <c r="B643" s="2" t="s">
        <v>178</v>
      </c>
      <c r="C643" s="2" t="n">
        <v>44</v>
      </c>
      <c r="D643" s="2" t="n">
        <v>5</v>
      </c>
      <c r="E643" s="82" t="n">
        <v>45232</v>
      </c>
      <c r="F643" s="87" t="n">
        <v>0.226435185185185</v>
      </c>
      <c r="G643" s="82" t="n">
        <v>45237</v>
      </c>
      <c r="H643" s="87" t="n">
        <v>0.0207291666666667</v>
      </c>
      <c r="I643" s="2" t="s">
        <v>467</v>
      </c>
      <c r="J643" s="2" t="s">
        <v>32</v>
      </c>
    </row>
    <row r="644" customFormat="false" ht="15" hidden="false" customHeight="false" outlineLevel="0" collapsed="false">
      <c r="A644" s="7" t="n">
        <v>643</v>
      </c>
      <c r="B644" s="7" t="s">
        <v>291</v>
      </c>
      <c r="C644" s="7" t="n">
        <v>35</v>
      </c>
      <c r="D644" s="7" t="n">
        <v>2</v>
      </c>
      <c r="E644" s="77" t="n">
        <v>44983</v>
      </c>
      <c r="F644" s="86" t="n">
        <v>0.548888888888889</v>
      </c>
      <c r="G644" s="77" t="n">
        <v>44991</v>
      </c>
      <c r="H644" s="86" t="n">
        <v>0.850115740740741</v>
      </c>
      <c r="I644" s="7" t="s">
        <v>480</v>
      </c>
      <c r="J644" s="7" t="s">
        <v>33</v>
      </c>
    </row>
    <row r="645" customFormat="false" ht="15" hidden="false" customHeight="false" outlineLevel="0" collapsed="false">
      <c r="A645" s="2" t="n">
        <v>644</v>
      </c>
      <c r="B645" s="2" t="s">
        <v>254</v>
      </c>
      <c r="C645" s="2" t="n">
        <v>67</v>
      </c>
      <c r="D645" s="2" t="n">
        <v>1</v>
      </c>
      <c r="E645" s="82" t="n">
        <v>45170</v>
      </c>
      <c r="F645" s="87" t="n">
        <v>0.62125</v>
      </c>
      <c r="G645" s="82" t="n">
        <v>45180</v>
      </c>
      <c r="H645" s="87" t="n">
        <v>0.473125</v>
      </c>
      <c r="I645" s="2" t="s">
        <v>523</v>
      </c>
      <c r="J645" s="2" t="s">
        <v>168</v>
      </c>
    </row>
    <row r="646" customFormat="false" ht="15" hidden="false" customHeight="false" outlineLevel="0" collapsed="false">
      <c r="A646" s="7" t="n">
        <v>645</v>
      </c>
      <c r="B646" s="7" t="s">
        <v>204</v>
      </c>
      <c r="C646" s="7" t="n">
        <v>50</v>
      </c>
      <c r="D646" s="7" t="n">
        <v>3</v>
      </c>
      <c r="E646" s="77" t="n">
        <v>44984</v>
      </c>
      <c r="F646" s="86" t="n">
        <v>0.0740625</v>
      </c>
      <c r="G646" s="77" t="n">
        <v>44985</v>
      </c>
      <c r="H646" s="86" t="n">
        <v>0.0883217592592593</v>
      </c>
      <c r="I646" s="7" t="s">
        <v>318</v>
      </c>
      <c r="J646" s="7" t="s">
        <v>33</v>
      </c>
    </row>
    <row r="647" customFormat="false" ht="15" hidden="false" customHeight="false" outlineLevel="0" collapsed="false">
      <c r="A647" s="2" t="n">
        <v>646</v>
      </c>
      <c r="B647" s="2" t="s">
        <v>164</v>
      </c>
      <c r="C647" s="2" t="n">
        <v>38</v>
      </c>
      <c r="D647" s="2" t="n">
        <v>5</v>
      </c>
      <c r="E647" s="82" t="n">
        <v>45059</v>
      </c>
      <c r="F647" s="87" t="n">
        <v>0.687615740740741</v>
      </c>
      <c r="G647" s="82" t="n">
        <v>45069</v>
      </c>
      <c r="H647" s="87" t="n">
        <v>0.386782407407407</v>
      </c>
      <c r="I647" s="2" t="s">
        <v>493</v>
      </c>
      <c r="J647" s="2" t="s">
        <v>31</v>
      </c>
    </row>
    <row r="648" customFormat="false" ht="15" hidden="false" customHeight="false" outlineLevel="0" collapsed="false">
      <c r="A648" s="7" t="n">
        <v>647</v>
      </c>
      <c r="B648" s="7" t="s">
        <v>309</v>
      </c>
      <c r="C648" s="7" t="n">
        <v>21</v>
      </c>
      <c r="D648" s="7" t="n">
        <v>5</v>
      </c>
      <c r="E648" s="77" t="n">
        <v>45163</v>
      </c>
      <c r="F648" s="86" t="n">
        <v>0.708622685185185</v>
      </c>
      <c r="G648" s="77" t="n">
        <v>45164</v>
      </c>
      <c r="H648" s="86" t="n">
        <v>0.0618518518518519</v>
      </c>
      <c r="I648" s="7" t="s">
        <v>180</v>
      </c>
      <c r="J648" s="7" t="s">
        <v>40</v>
      </c>
    </row>
    <row r="649" customFormat="false" ht="15" hidden="false" customHeight="false" outlineLevel="0" collapsed="false">
      <c r="A649" s="2" t="n">
        <v>648</v>
      </c>
      <c r="B649" s="2" t="s">
        <v>224</v>
      </c>
      <c r="C649" s="2" t="n">
        <v>41</v>
      </c>
      <c r="D649" s="2" t="n">
        <v>3</v>
      </c>
      <c r="E649" s="82" t="n">
        <v>45235</v>
      </c>
      <c r="F649" s="87" t="n">
        <v>0.796018518518519</v>
      </c>
      <c r="G649" s="82" t="n">
        <v>45239</v>
      </c>
      <c r="H649" s="87" t="n">
        <v>0.350694444444444</v>
      </c>
      <c r="I649" s="2" t="s">
        <v>312</v>
      </c>
      <c r="J649" s="2" t="s">
        <v>32</v>
      </c>
    </row>
    <row r="650" customFormat="false" ht="15" hidden="false" customHeight="false" outlineLevel="0" collapsed="false">
      <c r="A650" s="7" t="n">
        <v>649</v>
      </c>
      <c r="B650" s="7" t="s">
        <v>263</v>
      </c>
      <c r="C650" s="7" t="n">
        <v>43</v>
      </c>
      <c r="D650" s="7" t="n">
        <v>3</v>
      </c>
      <c r="E650" s="77" t="n">
        <v>45232</v>
      </c>
      <c r="F650" s="86" t="n">
        <v>0.128946759259259</v>
      </c>
      <c r="G650" s="77" t="n">
        <v>45241</v>
      </c>
      <c r="H650" s="86" t="n">
        <v>0.371701388888889</v>
      </c>
      <c r="I650" s="7" t="s">
        <v>502</v>
      </c>
      <c r="J650" s="7" t="s">
        <v>32</v>
      </c>
    </row>
    <row r="651" customFormat="false" ht="15" hidden="false" customHeight="false" outlineLevel="0" collapsed="false">
      <c r="A651" s="2" t="n">
        <v>650</v>
      </c>
      <c r="B651" s="2" t="s">
        <v>331</v>
      </c>
      <c r="C651" s="2" t="n">
        <v>32</v>
      </c>
      <c r="D651" s="2" t="n">
        <v>3</v>
      </c>
      <c r="E651" s="82" t="n">
        <v>44980</v>
      </c>
      <c r="F651" s="87" t="n">
        <v>0.0796643518518519</v>
      </c>
      <c r="G651" s="82" t="n">
        <v>44987</v>
      </c>
      <c r="H651" s="87" t="n">
        <v>0.131666666666667</v>
      </c>
      <c r="I651" s="2" t="s">
        <v>401</v>
      </c>
      <c r="J651" s="2" t="s">
        <v>31</v>
      </c>
    </row>
    <row r="652" customFormat="false" ht="15" hidden="false" customHeight="false" outlineLevel="0" collapsed="false">
      <c r="A652" s="7" t="n">
        <v>651</v>
      </c>
      <c r="B652" s="7" t="s">
        <v>170</v>
      </c>
      <c r="C652" s="7" t="n">
        <v>11</v>
      </c>
      <c r="D652" s="7" t="n">
        <v>4</v>
      </c>
      <c r="E652" s="77" t="n">
        <v>44970</v>
      </c>
      <c r="F652" s="86" t="n">
        <v>0.0947685185185185</v>
      </c>
      <c r="G652" s="77" t="n">
        <v>44976</v>
      </c>
      <c r="H652" s="86" t="n">
        <v>0.497152777777778</v>
      </c>
      <c r="I652" s="7" t="s">
        <v>520</v>
      </c>
      <c r="J652" s="7" t="s">
        <v>179</v>
      </c>
    </row>
    <row r="653" customFormat="false" ht="15" hidden="false" customHeight="false" outlineLevel="0" collapsed="false">
      <c r="A653" s="2" t="n">
        <v>652</v>
      </c>
      <c r="B653" s="2" t="s">
        <v>202</v>
      </c>
      <c r="C653" s="2" t="n">
        <v>21</v>
      </c>
      <c r="D653" s="2" t="n">
        <v>2</v>
      </c>
      <c r="E653" s="82" t="n">
        <v>45166</v>
      </c>
      <c r="F653" s="87" t="n">
        <v>0.820243055555556</v>
      </c>
      <c r="G653" s="82" t="n">
        <v>45172</v>
      </c>
      <c r="H653" s="87" t="n">
        <v>0.00105324074074074</v>
      </c>
      <c r="I653" s="2" t="s">
        <v>526</v>
      </c>
      <c r="J653" s="2" t="s">
        <v>40</v>
      </c>
    </row>
    <row r="654" customFormat="false" ht="15" hidden="false" customHeight="false" outlineLevel="0" collapsed="false">
      <c r="A654" s="7" t="n">
        <v>653</v>
      </c>
      <c r="B654" s="7" t="s">
        <v>328</v>
      </c>
      <c r="C654" s="7" t="n">
        <v>17</v>
      </c>
      <c r="D654" s="7" t="n">
        <v>4</v>
      </c>
      <c r="E654" s="77" t="n">
        <v>45259</v>
      </c>
      <c r="F654" s="86" t="n">
        <v>0.568136574074074</v>
      </c>
      <c r="G654" s="77" t="n">
        <v>45261</v>
      </c>
      <c r="H654" s="86" t="n">
        <v>0.244571759259259</v>
      </c>
      <c r="I654" s="7" t="s">
        <v>244</v>
      </c>
      <c r="J654" s="7" t="s">
        <v>168</v>
      </c>
    </row>
    <row r="655" customFormat="false" ht="15" hidden="false" customHeight="false" outlineLevel="0" collapsed="false">
      <c r="A655" s="2" t="n">
        <v>654</v>
      </c>
      <c r="B655" s="2" t="s">
        <v>174</v>
      </c>
      <c r="C655" s="2" t="n">
        <v>64</v>
      </c>
      <c r="D655" s="2" t="n">
        <v>2</v>
      </c>
      <c r="E655" s="82" t="n">
        <v>45167</v>
      </c>
      <c r="F655" s="87" t="n">
        <v>0.203645833333333</v>
      </c>
      <c r="G655" s="82" t="n">
        <v>45171</v>
      </c>
      <c r="H655" s="87" t="n">
        <v>0.0286226851851852</v>
      </c>
      <c r="I655" s="2" t="s">
        <v>440</v>
      </c>
      <c r="J655" s="2" t="s">
        <v>40</v>
      </c>
    </row>
    <row r="656" customFormat="false" ht="15" hidden="false" customHeight="false" outlineLevel="0" collapsed="false">
      <c r="A656" s="7" t="n">
        <v>655</v>
      </c>
      <c r="B656" s="7" t="s">
        <v>164</v>
      </c>
      <c r="C656" s="7" t="n">
        <v>17</v>
      </c>
      <c r="D656" s="7" t="n">
        <v>1</v>
      </c>
      <c r="E656" s="77" t="n">
        <v>45238</v>
      </c>
      <c r="F656" s="86" t="n">
        <v>0.888240740740741</v>
      </c>
      <c r="G656" s="77" t="n">
        <v>45247</v>
      </c>
      <c r="H656" s="86" t="n">
        <v>0.790011574074074</v>
      </c>
      <c r="I656" s="7" t="s">
        <v>434</v>
      </c>
      <c r="J656" s="7" t="s">
        <v>168</v>
      </c>
    </row>
    <row r="657" customFormat="false" ht="15" hidden="false" customHeight="false" outlineLevel="0" collapsed="false">
      <c r="A657" s="2" t="n">
        <v>656</v>
      </c>
      <c r="B657" s="2" t="s">
        <v>202</v>
      </c>
      <c r="C657" s="2" t="n">
        <v>68</v>
      </c>
      <c r="D657" s="2" t="n">
        <v>2</v>
      </c>
      <c r="E657" s="82" t="n">
        <v>44962</v>
      </c>
      <c r="F657" s="87" t="n">
        <v>0.774085648148148</v>
      </c>
      <c r="G657" s="82" t="n">
        <v>44963</v>
      </c>
      <c r="H657" s="87" t="n">
        <v>0.198611111111111</v>
      </c>
      <c r="I657" s="2" t="s">
        <v>330</v>
      </c>
      <c r="J657" s="2" t="s">
        <v>179</v>
      </c>
    </row>
    <row r="658" customFormat="false" ht="15" hidden="false" customHeight="false" outlineLevel="0" collapsed="false">
      <c r="A658" s="7" t="n">
        <v>657</v>
      </c>
      <c r="B658" s="7" t="s">
        <v>269</v>
      </c>
      <c r="C658" s="7" t="n">
        <v>13</v>
      </c>
      <c r="D658" s="7" t="n">
        <v>3</v>
      </c>
      <c r="E658" s="77" t="n">
        <v>44988</v>
      </c>
      <c r="F658" s="86" t="n">
        <v>0.40130787037037</v>
      </c>
      <c r="G658" s="77" t="n">
        <v>44993</v>
      </c>
      <c r="H658" s="86" t="n">
        <v>0.617071759259259</v>
      </c>
      <c r="I658" s="7" t="s">
        <v>460</v>
      </c>
      <c r="J658" s="7" t="s">
        <v>33</v>
      </c>
    </row>
    <row r="659" customFormat="false" ht="15" hidden="false" customHeight="false" outlineLevel="0" collapsed="false">
      <c r="A659" s="2" t="n">
        <v>658</v>
      </c>
      <c r="B659" s="2" t="s">
        <v>285</v>
      </c>
      <c r="C659" s="2" t="n">
        <v>21</v>
      </c>
      <c r="D659" s="2" t="n">
        <v>3</v>
      </c>
      <c r="E659" s="82" t="n">
        <v>45160</v>
      </c>
      <c r="F659" s="87" t="n">
        <v>0.871481481481482</v>
      </c>
      <c r="G659" s="82" t="n">
        <v>45169</v>
      </c>
      <c r="H659" s="87" t="n">
        <v>0.370902777777778</v>
      </c>
      <c r="I659" s="2" t="s">
        <v>576</v>
      </c>
      <c r="J659" s="2" t="s">
        <v>40</v>
      </c>
    </row>
    <row r="660" customFormat="false" ht="15" hidden="false" customHeight="false" outlineLevel="0" collapsed="false">
      <c r="A660" s="7" t="n">
        <v>659</v>
      </c>
      <c r="B660" s="7" t="s">
        <v>248</v>
      </c>
      <c r="C660" s="7" t="n">
        <v>19</v>
      </c>
      <c r="D660" s="7" t="n">
        <v>5</v>
      </c>
      <c r="E660" s="77" t="n">
        <v>44962</v>
      </c>
      <c r="F660" s="86" t="n">
        <v>0.739537037037037</v>
      </c>
      <c r="G660" s="77" t="n">
        <v>44969</v>
      </c>
      <c r="H660" s="86" t="n">
        <v>0.942858796296296</v>
      </c>
      <c r="I660" s="7" t="s">
        <v>567</v>
      </c>
      <c r="J660" s="7" t="s">
        <v>179</v>
      </c>
    </row>
    <row r="661" customFormat="false" ht="15" hidden="false" customHeight="false" outlineLevel="0" collapsed="false">
      <c r="A661" s="2" t="n">
        <v>660</v>
      </c>
      <c r="B661" s="2" t="s">
        <v>263</v>
      </c>
      <c r="C661" s="2" t="n">
        <v>58</v>
      </c>
      <c r="D661" s="2" t="n">
        <v>3</v>
      </c>
      <c r="E661" s="82" t="n">
        <v>44968</v>
      </c>
      <c r="F661" s="87" t="n">
        <v>0.256087962962963</v>
      </c>
      <c r="G661" s="82" t="n">
        <v>44978</v>
      </c>
      <c r="H661" s="87" t="n">
        <v>0.867071759259259</v>
      </c>
      <c r="I661" s="2" t="s">
        <v>169</v>
      </c>
      <c r="J661" s="2" t="s">
        <v>179</v>
      </c>
    </row>
    <row r="662" customFormat="false" ht="15" hidden="false" customHeight="false" outlineLevel="0" collapsed="false">
      <c r="A662" s="7" t="n">
        <v>661</v>
      </c>
      <c r="B662" s="7" t="s">
        <v>172</v>
      </c>
      <c r="C662" s="7" t="n">
        <v>22</v>
      </c>
      <c r="D662" s="7" t="n">
        <v>2</v>
      </c>
      <c r="E662" s="77" t="n">
        <v>44940</v>
      </c>
      <c r="F662" s="86" t="n">
        <v>0.9940625</v>
      </c>
      <c r="G662" s="77" t="n">
        <v>44945</v>
      </c>
      <c r="H662" s="86" t="n">
        <v>0.41025462962963</v>
      </c>
      <c r="I662" s="7" t="s">
        <v>401</v>
      </c>
      <c r="J662" s="7" t="s">
        <v>165</v>
      </c>
    </row>
    <row r="663" customFormat="false" ht="15" hidden="false" customHeight="false" outlineLevel="0" collapsed="false">
      <c r="A663" s="2" t="n">
        <v>662</v>
      </c>
      <c r="B663" s="2" t="s">
        <v>306</v>
      </c>
      <c r="C663" s="2" t="n">
        <v>20</v>
      </c>
      <c r="D663" s="2" t="n">
        <v>3</v>
      </c>
      <c r="E663" s="82" t="n">
        <v>44966</v>
      </c>
      <c r="F663" s="87" t="n">
        <v>0.770740740740741</v>
      </c>
      <c r="G663" s="82" t="n">
        <v>44975</v>
      </c>
      <c r="H663" s="87" t="n">
        <v>0.352696759259259</v>
      </c>
      <c r="I663" s="2" t="s">
        <v>408</v>
      </c>
      <c r="J663" s="2" t="s">
        <v>168</v>
      </c>
    </row>
    <row r="664" customFormat="false" ht="15" hidden="false" customHeight="false" outlineLevel="0" collapsed="false">
      <c r="A664" s="7" t="n">
        <v>663</v>
      </c>
      <c r="B664" s="7" t="s">
        <v>377</v>
      </c>
      <c r="C664" s="7" t="n">
        <v>15</v>
      </c>
      <c r="D664" s="7" t="n">
        <v>2</v>
      </c>
      <c r="E664" s="77" t="n">
        <v>45210</v>
      </c>
      <c r="F664" s="86" t="n">
        <v>0.616064814814815</v>
      </c>
      <c r="G664" s="77" t="n">
        <v>45211</v>
      </c>
      <c r="H664" s="86" t="n">
        <v>0.938946759259259</v>
      </c>
      <c r="I664" s="7" t="s">
        <v>414</v>
      </c>
      <c r="J664" s="7" t="s">
        <v>168</v>
      </c>
    </row>
    <row r="665" customFormat="false" ht="15" hidden="false" customHeight="false" outlineLevel="0" collapsed="false">
      <c r="A665" s="2" t="n">
        <v>664</v>
      </c>
      <c r="B665" s="2" t="s">
        <v>183</v>
      </c>
      <c r="C665" s="2" t="n">
        <v>24</v>
      </c>
      <c r="D665" s="2" t="n">
        <v>2</v>
      </c>
      <c r="E665" s="82" t="n">
        <v>44944</v>
      </c>
      <c r="F665" s="87" t="n">
        <v>0.496226851851852</v>
      </c>
      <c r="G665" s="82" t="n">
        <v>44954</v>
      </c>
      <c r="H665" s="87" t="n">
        <v>0.848703703703704</v>
      </c>
      <c r="I665" s="2" t="s">
        <v>403</v>
      </c>
      <c r="J665" s="2" t="s">
        <v>31</v>
      </c>
    </row>
    <row r="666" customFormat="false" ht="15" hidden="false" customHeight="false" outlineLevel="0" collapsed="false">
      <c r="A666" s="7" t="n">
        <v>665</v>
      </c>
      <c r="B666" s="7" t="s">
        <v>283</v>
      </c>
      <c r="C666" s="7" t="n">
        <v>62</v>
      </c>
      <c r="D666" s="7" t="n">
        <v>5</v>
      </c>
      <c r="E666" s="77" t="n">
        <v>44990</v>
      </c>
      <c r="F666" s="86" t="n">
        <v>0.599560185185185</v>
      </c>
      <c r="G666" s="77" t="n">
        <v>45000</v>
      </c>
      <c r="H666" s="86" t="n">
        <v>0.662534722222222</v>
      </c>
      <c r="I666" s="7" t="s">
        <v>144</v>
      </c>
      <c r="J666" s="7" t="s">
        <v>33</v>
      </c>
    </row>
    <row r="667" customFormat="false" ht="15" hidden="false" customHeight="false" outlineLevel="0" collapsed="false">
      <c r="A667" s="2" t="n">
        <v>666</v>
      </c>
      <c r="B667" s="2" t="s">
        <v>202</v>
      </c>
      <c r="C667" s="2" t="n">
        <v>26</v>
      </c>
      <c r="D667" s="2" t="n">
        <v>5</v>
      </c>
      <c r="E667" s="82" t="n">
        <v>44987</v>
      </c>
      <c r="F667" s="87" t="n">
        <v>0.403541666666667</v>
      </c>
      <c r="G667" s="82" t="n">
        <v>44993</v>
      </c>
      <c r="H667" s="87" t="n">
        <v>0.811284722222222</v>
      </c>
      <c r="I667" s="2" t="s">
        <v>437</v>
      </c>
      <c r="J667" s="2" t="s">
        <v>33</v>
      </c>
    </row>
    <row r="668" customFormat="false" ht="15" hidden="false" customHeight="false" outlineLevel="0" collapsed="false">
      <c r="A668" s="7" t="n">
        <v>667</v>
      </c>
      <c r="B668" s="7" t="s">
        <v>260</v>
      </c>
      <c r="C668" s="7" t="n">
        <v>44</v>
      </c>
      <c r="D668" s="7" t="n">
        <v>3</v>
      </c>
      <c r="E668" s="77" t="n">
        <v>45234</v>
      </c>
      <c r="F668" s="86" t="n">
        <v>0.352060185185185</v>
      </c>
      <c r="G668" s="77" t="n">
        <v>45237</v>
      </c>
      <c r="H668" s="86" t="n">
        <v>0.43818287037037</v>
      </c>
      <c r="I668" s="7" t="s">
        <v>156</v>
      </c>
      <c r="J668" s="7" t="s">
        <v>32</v>
      </c>
    </row>
    <row r="669" customFormat="false" ht="15" hidden="false" customHeight="false" outlineLevel="0" collapsed="false">
      <c r="A669" s="2" t="n">
        <v>668</v>
      </c>
      <c r="B669" s="2" t="s">
        <v>148</v>
      </c>
      <c r="C669" s="2" t="n">
        <v>55</v>
      </c>
      <c r="D669" s="2" t="n">
        <v>2</v>
      </c>
      <c r="E669" s="82" t="n">
        <v>45159</v>
      </c>
      <c r="F669" s="87" t="n">
        <v>0.423530092592593</v>
      </c>
      <c r="G669" s="82" t="n">
        <v>45168</v>
      </c>
      <c r="H669" s="87" t="n">
        <v>0.689456018518519</v>
      </c>
      <c r="I669" s="2" t="s">
        <v>141</v>
      </c>
      <c r="J669" s="2" t="s">
        <v>40</v>
      </c>
    </row>
    <row r="670" customFormat="false" ht="15" hidden="false" customHeight="false" outlineLevel="0" collapsed="false">
      <c r="A670" s="7" t="n">
        <v>669</v>
      </c>
      <c r="B670" s="7" t="s">
        <v>209</v>
      </c>
      <c r="C670" s="7" t="n">
        <v>68</v>
      </c>
      <c r="D670" s="7" t="n">
        <v>5</v>
      </c>
      <c r="E670" s="77" t="n">
        <v>44967</v>
      </c>
      <c r="F670" s="86" t="n">
        <v>0.299884259259259</v>
      </c>
      <c r="G670" s="77" t="n">
        <v>44974</v>
      </c>
      <c r="H670" s="86" t="n">
        <v>0.414375</v>
      </c>
      <c r="I670" s="7" t="s">
        <v>474</v>
      </c>
      <c r="J670" s="7" t="s">
        <v>179</v>
      </c>
    </row>
    <row r="671" customFormat="false" ht="15" hidden="false" customHeight="false" outlineLevel="0" collapsed="false">
      <c r="A671" s="2" t="n">
        <v>670</v>
      </c>
      <c r="B671" s="2" t="s">
        <v>275</v>
      </c>
      <c r="C671" s="2" t="n">
        <v>23</v>
      </c>
      <c r="D671" s="2" t="n">
        <v>5</v>
      </c>
      <c r="E671" s="82" t="n">
        <v>45078</v>
      </c>
      <c r="F671" s="87" t="n">
        <v>0.241655092592593</v>
      </c>
      <c r="G671" s="82" t="n">
        <v>45087</v>
      </c>
      <c r="H671" s="87" t="n">
        <v>0.214583333333333</v>
      </c>
      <c r="I671" s="2" t="s">
        <v>259</v>
      </c>
      <c r="J671" s="2" t="s">
        <v>168</v>
      </c>
    </row>
    <row r="672" customFormat="false" ht="15" hidden="false" customHeight="false" outlineLevel="0" collapsed="false">
      <c r="A672" s="7" t="n">
        <v>671</v>
      </c>
      <c r="B672" s="7" t="s">
        <v>281</v>
      </c>
      <c r="C672" s="7" t="n">
        <v>31</v>
      </c>
      <c r="D672" s="7" t="n">
        <v>4</v>
      </c>
      <c r="E672" s="77" t="n">
        <v>45263</v>
      </c>
      <c r="F672" s="86" t="n">
        <v>0.287708333333333</v>
      </c>
      <c r="G672" s="77" t="n">
        <v>45267</v>
      </c>
      <c r="H672" s="86" t="n">
        <v>0.969664351851852</v>
      </c>
      <c r="I672" s="7" t="s">
        <v>451</v>
      </c>
      <c r="J672" s="7" t="s">
        <v>165</v>
      </c>
    </row>
    <row r="673" customFormat="false" ht="15" hidden="false" customHeight="false" outlineLevel="0" collapsed="false">
      <c r="A673" s="2" t="n">
        <v>672</v>
      </c>
      <c r="B673" s="2" t="s">
        <v>251</v>
      </c>
      <c r="C673" s="2" t="n">
        <v>44</v>
      </c>
      <c r="D673" s="2" t="n">
        <v>5</v>
      </c>
      <c r="E673" s="82" t="n">
        <v>45237</v>
      </c>
      <c r="F673" s="87" t="n">
        <v>0.587673611111111</v>
      </c>
      <c r="G673" s="82" t="n">
        <v>45239</v>
      </c>
      <c r="H673" s="87" t="n">
        <v>0.282372685185185</v>
      </c>
      <c r="I673" s="2" t="s">
        <v>551</v>
      </c>
      <c r="J673" s="2" t="s">
        <v>32</v>
      </c>
    </row>
    <row r="674" customFormat="false" ht="15" hidden="false" customHeight="false" outlineLevel="0" collapsed="false">
      <c r="A674" s="7" t="n">
        <v>673</v>
      </c>
      <c r="B674" s="7" t="s">
        <v>145</v>
      </c>
      <c r="C674" s="7" t="n">
        <v>33</v>
      </c>
      <c r="D674" s="7" t="n">
        <v>3</v>
      </c>
      <c r="E674" s="77" t="n">
        <v>44961</v>
      </c>
      <c r="F674" s="86" t="n">
        <v>0.246400462962963</v>
      </c>
      <c r="G674" s="77" t="n">
        <v>44964</v>
      </c>
      <c r="H674" s="86" t="n">
        <v>0.184467592592593</v>
      </c>
      <c r="I674" s="7" t="s">
        <v>384</v>
      </c>
      <c r="J674" s="7" t="s">
        <v>179</v>
      </c>
    </row>
    <row r="675" customFormat="false" ht="15" hidden="false" customHeight="false" outlineLevel="0" collapsed="false">
      <c r="A675" s="2" t="n">
        <v>674</v>
      </c>
      <c r="B675" s="2" t="s">
        <v>297</v>
      </c>
      <c r="C675" s="2" t="n">
        <v>68</v>
      </c>
      <c r="D675" s="2" t="n">
        <v>2</v>
      </c>
      <c r="E675" s="82" t="n">
        <v>44964</v>
      </c>
      <c r="F675" s="87" t="n">
        <v>0.403761574074074</v>
      </c>
      <c r="G675" s="82" t="n">
        <v>44973</v>
      </c>
      <c r="H675" s="87" t="n">
        <v>0.986400462962963</v>
      </c>
      <c r="I675" s="2" t="s">
        <v>308</v>
      </c>
      <c r="J675" s="2" t="s">
        <v>179</v>
      </c>
    </row>
    <row r="676" customFormat="false" ht="15" hidden="false" customHeight="false" outlineLevel="0" collapsed="false">
      <c r="A676" s="7" t="n">
        <v>675</v>
      </c>
      <c r="B676" s="7" t="s">
        <v>260</v>
      </c>
      <c r="C676" s="7" t="n">
        <v>13</v>
      </c>
      <c r="D676" s="7" t="n">
        <v>4</v>
      </c>
      <c r="E676" s="77" t="n">
        <v>44985</v>
      </c>
      <c r="F676" s="86" t="n">
        <v>0.336643518518519</v>
      </c>
      <c r="G676" s="77" t="n">
        <v>44994</v>
      </c>
      <c r="H676" s="86" t="n">
        <v>0.994583333333333</v>
      </c>
      <c r="I676" s="7" t="s">
        <v>517</v>
      </c>
      <c r="J676" s="7" t="s">
        <v>33</v>
      </c>
    </row>
    <row r="677" customFormat="false" ht="15" hidden="false" customHeight="false" outlineLevel="0" collapsed="false">
      <c r="A677" s="2" t="n">
        <v>676</v>
      </c>
      <c r="B677" s="2" t="s">
        <v>218</v>
      </c>
      <c r="C677" s="2" t="n">
        <v>46</v>
      </c>
      <c r="D677" s="2" t="n">
        <v>4</v>
      </c>
      <c r="E677" s="82" t="n">
        <v>44975</v>
      </c>
      <c r="F677" s="87" t="n">
        <v>0.529444444444445</v>
      </c>
      <c r="G677" s="82" t="n">
        <v>44977</v>
      </c>
      <c r="H677" s="87" t="n">
        <v>0.869814814814815</v>
      </c>
      <c r="I677" s="2" t="s">
        <v>448</v>
      </c>
      <c r="J677" s="2" t="s">
        <v>168</v>
      </c>
    </row>
    <row r="678" customFormat="false" ht="15" hidden="false" customHeight="false" outlineLevel="0" collapsed="false">
      <c r="A678" s="7" t="n">
        <v>677</v>
      </c>
      <c r="B678" s="7" t="s">
        <v>239</v>
      </c>
      <c r="C678" s="7" t="n">
        <v>37</v>
      </c>
      <c r="D678" s="7" t="n">
        <v>5</v>
      </c>
      <c r="E678" s="77" t="n">
        <v>45234</v>
      </c>
      <c r="F678" s="86" t="n">
        <v>0.329178240740741</v>
      </c>
      <c r="G678" s="77" t="n">
        <v>45244</v>
      </c>
      <c r="H678" s="86" t="n">
        <v>0.230960648148148</v>
      </c>
      <c r="I678" s="7" t="s">
        <v>520</v>
      </c>
      <c r="J678" s="7" t="s">
        <v>32</v>
      </c>
    </row>
    <row r="679" customFormat="false" ht="15" hidden="false" customHeight="false" outlineLevel="0" collapsed="false">
      <c r="A679" s="2" t="n">
        <v>678</v>
      </c>
      <c r="B679" s="2" t="s">
        <v>176</v>
      </c>
      <c r="C679" s="2" t="n">
        <v>31</v>
      </c>
      <c r="D679" s="2" t="n">
        <v>5</v>
      </c>
      <c r="E679" s="82" t="n">
        <v>45179</v>
      </c>
      <c r="F679" s="87" t="n">
        <v>0.599988425925926</v>
      </c>
      <c r="G679" s="82" t="n">
        <v>45189</v>
      </c>
      <c r="H679" s="87" t="n">
        <v>0.425775462962963</v>
      </c>
      <c r="I679" s="2" t="s">
        <v>434</v>
      </c>
      <c r="J679" s="2" t="s">
        <v>165</v>
      </c>
    </row>
    <row r="680" customFormat="false" ht="15" hidden="false" customHeight="false" outlineLevel="0" collapsed="false">
      <c r="A680" s="7" t="n">
        <v>679</v>
      </c>
      <c r="B680" s="7" t="s">
        <v>174</v>
      </c>
      <c r="C680" s="7" t="n">
        <v>56</v>
      </c>
      <c r="D680" s="7" t="n">
        <v>2</v>
      </c>
      <c r="E680" s="77" t="n">
        <v>45204</v>
      </c>
      <c r="F680" s="86" t="n">
        <v>0.72869212962963</v>
      </c>
      <c r="G680" s="77" t="n">
        <v>45213</v>
      </c>
      <c r="H680" s="86" t="n">
        <v>0.540347222222222</v>
      </c>
      <c r="I680" s="7" t="s">
        <v>354</v>
      </c>
      <c r="J680" s="7" t="s">
        <v>168</v>
      </c>
    </row>
    <row r="681" customFormat="false" ht="15" hidden="false" customHeight="false" outlineLevel="0" collapsed="false">
      <c r="A681" s="2" t="n">
        <v>680</v>
      </c>
      <c r="B681" s="2" t="s">
        <v>172</v>
      </c>
      <c r="C681" s="2" t="n">
        <v>56</v>
      </c>
      <c r="D681" s="2" t="n">
        <v>1</v>
      </c>
      <c r="E681" s="82" t="n">
        <v>45262</v>
      </c>
      <c r="F681" s="87" t="n">
        <v>0.930914351851852</v>
      </c>
      <c r="G681" s="82" t="n">
        <v>45268</v>
      </c>
      <c r="H681" s="87" t="n">
        <v>0.106365740740741</v>
      </c>
      <c r="I681" s="2" t="s">
        <v>189</v>
      </c>
      <c r="J681" s="2" t="s">
        <v>168</v>
      </c>
    </row>
    <row r="682" customFormat="false" ht="15" hidden="false" customHeight="false" outlineLevel="0" collapsed="false">
      <c r="A682" s="7" t="n">
        <v>681</v>
      </c>
      <c r="B682" s="7" t="s">
        <v>388</v>
      </c>
      <c r="C682" s="7" t="n">
        <v>23</v>
      </c>
      <c r="D682" s="7" t="n">
        <v>5</v>
      </c>
      <c r="E682" s="77" t="n">
        <v>44955</v>
      </c>
      <c r="F682" s="86" t="n">
        <v>0.422291666666667</v>
      </c>
      <c r="G682" s="77" t="n">
        <v>44962</v>
      </c>
      <c r="H682" s="86" t="n">
        <v>0.501018518518519</v>
      </c>
      <c r="I682" s="7" t="s">
        <v>507</v>
      </c>
      <c r="J682" s="7" t="s">
        <v>168</v>
      </c>
    </row>
    <row r="683" customFormat="false" ht="15" hidden="false" customHeight="false" outlineLevel="0" collapsed="false">
      <c r="A683" s="2" t="n">
        <v>682</v>
      </c>
      <c r="B683" s="2" t="s">
        <v>266</v>
      </c>
      <c r="C683" s="2" t="n">
        <v>50</v>
      </c>
      <c r="D683" s="2" t="n">
        <v>5</v>
      </c>
      <c r="E683" s="82" t="n">
        <v>44983</v>
      </c>
      <c r="F683" s="87" t="n">
        <v>0.31337962962963</v>
      </c>
      <c r="G683" s="82" t="n">
        <v>44990</v>
      </c>
      <c r="H683" s="87" t="n">
        <v>0.4809375</v>
      </c>
      <c r="I683" s="2" t="s">
        <v>418</v>
      </c>
      <c r="J683" s="2" t="s">
        <v>33</v>
      </c>
    </row>
    <row r="684" customFormat="false" ht="15" hidden="false" customHeight="false" outlineLevel="0" collapsed="false">
      <c r="A684" s="7" t="n">
        <v>683</v>
      </c>
      <c r="B684" s="7" t="s">
        <v>185</v>
      </c>
      <c r="C684" s="7" t="n">
        <v>27</v>
      </c>
      <c r="D684" s="7" t="n">
        <v>3</v>
      </c>
      <c r="E684" s="77" t="n">
        <v>45161</v>
      </c>
      <c r="F684" s="86" t="n">
        <v>0.893726851851852</v>
      </c>
      <c r="G684" s="77" t="n">
        <v>45168</v>
      </c>
      <c r="H684" s="86" t="n">
        <v>0.80912037037037</v>
      </c>
      <c r="I684" s="7" t="s">
        <v>580</v>
      </c>
      <c r="J684" s="7" t="s">
        <v>40</v>
      </c>
    </row>
    <row r="685" customFormat="false" ht="15" hidden="false" customHeight="false" outlineLevel="0" collapsed="false">
      <c r="A685" s="2" t="n">
        <v>684</v>
      </c>
      <c r="B685" s="2" t="s">
        <v>196</v>
      </c>
      <c r="C685" s="2" t="n">
        <v>70</v>
      </c>
      <c r="D685" s="2" t="n">
        <v>3</v>
      </c>
      <c r="E685" s="82" t="n">
        <v>45186</v>
      </c>
      <c r="F685" s="87" t="n">
        <v>0.065162037037037</v>
      </c>
      <c r="G685" s="82" t="n">
        <v>45194</v>
      </c>
      <c r="H685" s="87" t="n">
        <v>0.114340277777778</v>
      </c>
      <c r="I685" s="2" t="s">
        <v>596</v>
      </c>
      <c r="J685" s="2" t="s">
        <v>31</v>
      </c>
    </row>
    <row r="686" customFormat="false" ht="15" hidden="false" customHeight="false" outlineLevel="0" collapsed="false">
      <c r="A686" s="7" t="n">
        <v>685</v>
      </c>
      <c r="B686" s="7" t="s">
        <v>266</v>
      </c>
      <c r="C686" s="7" t="n">
        <v>22</v>
      </c>
      <c r="D686" s="7" t="n">
        <v>1</v>
      </c>
      <c r="E686" s="77" t="n">
        <v>45170</v>
      </c>
      <c r="F686" s="86" t="n">
        <v>0.878240740740741</v>
      </c>
      <c r="G686" s="77" t="n">
        <v>45180</v>
      </c>
      <c r="H686" s="86" t="n">
        <v>0.3546875</v>
      </c>
      <c r="I686" s="7" t="s">
        <v>566</v>
      </c>
      <c r="J686" s="7" t="s">
        <v>165</v>
      </c>
    </row>
    <row r="687" customFormat="false" ht="15" hidden="false" customHeight="false" outlineLevel="0" collapsed="false">
      <c r="A687" s="2" t="n">
        <v>686</v>
      </c>
      <c r="B687" s="2" t="s">
        <v>190</v>
      </c>
      <c r="C687" s="2" t="n">
        <v>50</v>
      </c>
      <c r="D687" s="2" t="n">
        <v>1</v>
      </c>
      <c r="E687" s="82" t="n">
        <v>44986</v>
      </c>
      <c r="F687" s="87" t="n">
        <v>0.68724537037037</v>
      </c>
      <c r="G687" s="82" t="n">
        <v>44996</v>
      </c>
      <c r="H687" s="87" t="n">
        <v>0.901377314814815</v>
      </c>
      <c r="I687" s="2" t="s">
        <v>201</v>
      </c>
      <c r="J687" s="2" t="s">
        <v>33</v>
      </c>
    </row>
    <row r="688" customFormat="false" ht="15" hidden="false" customHeight="false" outlineLevel="0" collapsed="false">
      <c r="A688" s="7" t="n">
        <v>687</v>
      </c>
      <c r="B688" s="7" t="s">
        <v>388</v>
      </c>
      <c r="C688" s="7" t="n">
        <v>8</v>
      </c>
      <c r="D688" s="7" t="n">
        <v>5</v>
      </c>
      <c r="E688" s="77" t="n">
        <v>45000</v>
      </c>
      <c r="F688" s="86" t="n">
        <v>0.748090277777778</v>
      </c>
      <c r="G688" s="77" t="n">
        <v>45004</v>
      </c>
      <c r="H688" s="86" t="n">
        <v>0.202013888888889</v>
      </c>
      <c r="I688" s="7" t="s">
        <v>535</v>
      </c>
      <c r="J688" s="7" t="s">
        <v>168</v>
      </c>
    </row>
    <row r="689" customFormat="false" ht="15" hidden="false" customHeight="false" outlineLevel="0" collapsed="false">
      <c r="A689" s="2" t="n">
        <v>688</v>
      </c>
      <c r="B689" s="2" t="s">
        <v>164</v>
      </c>
      <c r="C689" s="2" t="n">
        <v>54</v>
      </c>
      <c r="D689" s="2" t="n">
        <v>2</v>
      </c>
      <c r="E689" s="82" t="n">
        <v>44954</v>
      </c>
      <c r="F689" s="87" t="n">
        <v>0.793136574074074</v>
      </c>
      <c r="G689" s="82" t="n">
        <v>44956</v>
      </c>
      <c r="H689" s="87" t="n">
        <v>0.577337962962963</v>
      </c>
      <c r="I689" s="2" t="s">
        <v>473</v>
      </c>
      <c r="J689" s="2" t="s">
        <v>168</v>
      </c>
    </row>
    <row r="690" customFormat="false" ht="15" hidden="false" customHeight="false" outlineLevel="0" collapsed="false">
      <c r="A690" s="7" t="n">
        <v>689</v>
      </c>
      <c r="B690" s="7" t="s">
        <v>242</v>
      </c>
      <c r="C690" s="7" t="n">
        <v>66</v>
      </c>
      <c r="D690" s="7" t="n">
        <v>4</v>
      </c>
      <c r="E690" s="77" t="n">
        <v>44987</v>
      </c>
      <c r="F690" s="86" t="n">
        <v>0.244930555555556</v>
      </c>
      <c r="G690" s="77" t="n">
        <v>44992</v>
      </c>
      <c r="H690" s="86" t="n">
        <v>0.458645833333333</v>
      </c>
      <c r="I690" s="7" t="s">
        <v>567</v>
      </c>
      <c r="J690" s="7" t="s">
        <v>33</v>
      </c>
    </row>
    <row r="691" customFormat="false" ht="15" hidden="false" customHeight="false" outlineLevel="0" collapsed="false">
      <c r="A691" s="2" t="n">
        <v>690</v>
      </c>
      <c r="B691" s="2" t="s">
        <v>347</v>
      </c>
      <c r="C691" s="2" t="n">
        <v>48</v>
      </c>
      <c r="D691" s="2" t="n">
        <v>2</v>
      </c>
      <c r="E691" s="82" t="n">
        <v>45232</v>
      </c>
      <c r="F691" s="87" t="n">
        <v>0.88431712962963</v>
      </c>
      <c r="G691" s="82" t="n">
        <v>45235</v>
      </c>
      <c r="H691" s="87" t="n">
        <v>0.897777777777778</v>
      </c>
      <c r="I691" s="2" t="s">
        <v>438</v>
      </c>
      <c r="J691" s="2" t="s">
        <v>32</v>
      </c>
    </row>
    <row r="692" customFormat="false" ht="15" hidden="false" customHeight="false" outlineLevel="0" collapsed="false">
      <c r="A692" s="7" t="n">
        <v>691</v>
      </c>
      <c r="B692" s="7" t="s">
        <v>127</v>
      </c>
      <c r="C692" s="7" t="n">
        <v>48</v>
      </c>
      <c r="D692" s="7" t="n">
        <v>5</v>
      </c>
      <c r="E692" s="77" t="n">
        <v>45236</v>
      </c>
      <c r="F692" s="86" t="n">
        <v>0.224108796296296</v>
      </c>
      <c r="G692" s="77" t="n">
        <v>45240</v>
      </c>
      <c r="H692" s="86" t="n">
        <v>0.464189814814815</v>
      </c>
      <c r="I692" s="7" t="s">
        <v>502</v>
      </c>
      <c r="J692" s="7" t="s">
        <v>32</v>
      </c>
    </row>
    <row r="693" customFormat="false" ht="15" hidden="false" customHeight="false" outlineLevel="0" collapsed="false">
      <c r="A693" s="2" t="n">
        <v>692</v>
      </c>
      <c r="B693" s="2" t="s">
        <v>209</v>
      </c>
      <c r="C693" s="2" t="n">
        <v>15</v>
      </c>
      <c r="D693" s="2" t="n">
        <v>2</v>
      </c>
      <c r="E693" s="82" t="n">
        <v>45149</v>
      </c>
      <c r="F693" s="87" t="n">
        <v>0.295081018518519</v>
      </c>
      <c r="G693" s="82" t="n">
        <v>45156</v>
      </c>
      <c r="H693" s="87" t="n">
        <v>0.280983796296296</v>
      </c>
      <c r="I693" s="2" t="s">
        <v>594</v>
      </c>
      <c r="J693" s="2" t="s">
        <v>168</v>
      </c>
    </row>
    <row r="694" customFormat="false" ht="15" hidden="false" customHeight="false" outlineLevel="0" collapsed="false">
      <c r="A694" s="7" t="n">
        <v>693</v>
      </c>
      <c r="B694" s="7" t="s">
        <v>227</v>
      </c>
      <c r="C694" s="7" t="n">
        <v>4</v>
      </c>
      <c r="D694" s="7" t="n">
        <v>5</v>
      </c>
      <c r="E694" s="77" t="n">
        <v>45234</v>
      </c>
      <c r="F694" s="86" t="n">
        <v>0.992303240740741</v>
      </c>
      <c r="G694" s="77" t="n">
        <v>45237</v>
      </c>
      <c r="H694" s="86" t="n">
        <v>0.230173611111111</v>
      </c>
      <c r="I694" s="7" t="s">
        <v>387</v>
      </c>
      <c r="J694" s="7" t="s">
        <v>32</v>
      </c>
    </row>
    <row r="695" customFormat="false" ht="15" hidden="false" customHeight="false" outlineLevel="0" collapsed="false">
      <c r="A695" s="2" t="n">
        <v>694</v>
      </c>
      <c r="B695" s="2" t="s">
        <v>172</v>
      </c>
      <c r="C695" s="2" t="n">
        <v>23</v>
      </c>
      <c r="D695" s="2" t="n">
        <v>2</v>
      </c>
      <c r="E695" s="82" t="n">
        <v>45031</v>
      </c>
      <c r="F695" s="87" t="n">
        <v>0.810034722222222</v>
      </c>
      <c r="G695" s="82" t="n">
        <v>45037</v>
      </c>
      <c r="H695" s="87" t="n">
        <v>0.707534722222222</v>
      </c>
      <c r="I695" s="2" t="s">
        <v>467</v>
      </c>
      <c r="J695" s="2" t="s">
        <v>168</v>
      </c>
    </row>
    <row r="696" customFormat="false" ht="15" hidden="false" customHeight="false" outlineLevel="0" collapsed="false">
      <c r="A696" s="7" t="n">
        <v>695</v>
      </c>
      <c r="B696" s="7" t="s">
        <v>242</v>
      </c>
      <c r="C696" s="7" t="n">
        <v>23</v>
      </c>
      <c r="D696" s="7" t="n">
        <v>4</v>
      </c>
      <c r="E696" s="77" t="n">
        <v>44990</v>
      </c>
      <c r="F696" s="86" t="n">
        <v>0.692268518518519</v>
      </c>
      <c r="G696" s="77" t="n">
        <v>44999</v>
      </c>
      <c r="H696" s="86" t="n">
        <v>0.709537037037037</v>
      </c>
      <c r="I696" s="7" t="s">
        <v>422</v>
      </c>
      <c r="J696" s="7" t="s">
        <v>168</v>
      </c>
    </row>
    <row r="697" customFormat="false" ht="15" hidden="false" customHeight="false" outlineLevel="0" collapsed="false">
      <c r="A697" s="2" t="n">
        <v>696</v>
      </c>
      <c r="B697" s="2" t="s">
        <v>242</v>
      </c>
      <c r="C697" s="2" t="n">
        <v>13</v>
      </c>
      <c r="D697" s="2" t="n">
        <v>3</v>
      </c>
      <c r="E697" s="82" t="n">
        <v>44992</v>
      </c>
      <c r="F697" s="87" t="n">
        <v>0.112743055555556</v>
      </c>
      <c r="G697" s="82" t="n">
        <v>44999</v>
      </c>
      <c r="H697" s="87" t="n">
        <v>0.631076388888889</v>
      </c>
      <c r="I697" s="2" t="s">
        <v>540</v>
      </c>
      <c r="J697" s="2" t="s">
        <v>33</v>
      </c>
    </row>
    <row r="698" customFormat="false" ht="15" hidden="false" customHeight="false" outlineLevel="0" collapsed="false">
      <c r="A698" s="7" t="n">
        <v>697</v>
      </c>
      <c r="B698" s="7" t="s">
        <v>190</v>
      </c>
      <c r="C698" s="7" t="n">
        <v>66</v>
      </c>
      <c r="D698" s="7" t="n">
        <v>1</v>
      </c>
      <c r="E698" s="77" t="n">
        <v>44988</v>
      </c>
      <c r="F698" s="86" t="n">
        <v>0.597511574074074</v>
      </c>
      <c r="G698" s="77" t="n">
        <v>44992</v>
      </c>
      <c r="H698" s="86" t="n">
        <v>0.634953703703704</v>
      </c>
      <c r="I698" s="7" t="s">
        <v>420</v>
      </c>
      <c r="J698" s="7" t="s">
        <v>33</v>
      </c>
    </row>
    <row r="699" customFormat="false" ht="15" hidden="false" customHeight="false" outlineLevel="0" collapsed="false">
      <c r="A699" s="2" t="n">
        <v>698</v>
      </c>
      <c r="B699" s="2" t="s">
        <v>283</v>
      </c>
      <c r="C699" s="2" t="n">
        <v>64</v>
      </c>
      <c r="D699" s="2" t="n">
        <v>3</v>
      </c>
      <c r="E699" s="82" t="n">
        <v>45167</v>
      </c>
      <c r="F699" s="87" t="n">
        <v>0.864016203703704</v>
      </c>
      <c r="G699" s="82" t="n">
        <v>45175</v>
      </c>
      <c r="H699" s="87" t="n">
        <v>0.625150462962963</v>
      </c>
      <c r="I699" s="2" t="s">
        <v>516</v>
      </c>
      <c r="J699" s="2" t="s">
        <v>40</v>
      </c>
    </row>
    <row r="700" customFormat="false" ht="15" hidden="false" customHeight="false" outlineLevel="0" collapsed="false">
      <c r="A700" s="7" t="n">
        <v>699</v>
      </c>
      <c r="B700" s="7" t="s">
        <v>154</v>
      </c>
      <c r="C700" s="7" t="n">
        <v>1</v>
      </c>
      <c r="D700" s="7" t="n">
        <v>4</v>
      </c>
      <c r="E700" s="77" t="n">
        <v>45079</v>
      </c>
      <c r="F700" s="86" t="n">
        <v>0.510231481481482</v>
      </c>
      <c r="G700" s="77" t="n">
        <v>45086</v>
      </c>
      <c r="H700" s="86" t="n">
        <v>0.964618055555556</v>
      </c>
      <c r="I700" s="7" t="s">
        <v>312</v>
      </c>
      <c r="J700" s="7" t="s">
        <v>165</v>
      </c>
    </row>
    <row r="701" customFormat="false" ht="15" hidden="false" customHeight="false" outlineLevel="0" collapsed="false">
      <c r="A701" s="2" t="n">
        <v>700</v>
      </c>
      <c r="B701" s="2" t="s">
        <v>139</v>
      </c>
      <c r="C701" s="2" t="n">
        <v>6</v>
      </c>
      <c r="D701" s="2" t="n">
        <v>1</v>
      </c>
      <c r="E701" s="82" t="n">
        <v>44989</v>
      </c>
      <c r="F701" s="87" t="n">
        <v>0.762465277777778</v>
      </c>
      <c r="G701" s="82" t="n">
        <v>44994</v>
      </c>
      <c r="H701" s="87" t="n">
        <v>0.571608796296296</v>
      </c>
      <c r="I701" s="2" t="s">
        <v>402</v>
      </c>
      <c r="J701" s="2" t="s">
        <v>33</v>
      </c>
    </row>
    <row r="702" customFormat="false" ht="15" hidden="false" customHeight="false" outlineLevel="0" collapsed="false">
      <c r="A702" s="7" t="n">
        <v>701</v>
      </c>
      <c r="B702" s="7" t="s">
        <v>338</v>
      </c>
      <c r="C702" s="7" t="n">
        <v>41</v>
      </c>
      <c r="D702" s="7" t="n">
        <v>5</v>
      </c>
      <c r="E702" s="77" t="n">
        <v>45237</v>
      </c>
      <c r="F702" s="86" t="n">
        <v>0.456643518518519</v>
      </c>
      <c r="G702" s="77" t="n">
        <v>45241</v>
      </c>
      <c r="H702" s="86" t="n">
        <v>0.205856481481482</v>
      </c>
      <c r="I702" s="7" t="s">
        <v>585</v>
      </c>
      <c r="J702" s="7" t="s">
        <v>32</v>
      </c>
    </row>
    <row r="703" customFormat="false" ht="15" hidden="false" customHeight="false" outlineLevel="0" collapsed="false">
      <c r="A703" s="2" t="n">
        <v>702</v>
      </c>
      <c r="B703" s="2" t="s">
        <v>303</v>
      </c>
      <c r="C703" s="2" t="n">
        <v>60</v>
      </c>
      <c r="D703" s="2" t="n">
        <v>1</v>
      </c>
      <c r="E703" s="82" t="n">
        <v>45240</v>
      </c>
      <c r="F703" s="87" t="n">
        <v>0.364166666666667</v>
      </c>
      <c r="G703" s="82" t="n">
        <v>45248</v>
      </c>
      <c r="H703" s="87" t="n">
        <v>0.268171296296296</v>
      </c>
      <c r="I703" s="2" t="s">
        <v>389</v>
      </c>
      <c r="J703" s="2" t="s">
        <v>32</v>
      </c>
    </row>
    <row r="704" customFormat="false" ht="15" hidden="false" customHeight="false" outlineLevel="0" collapsed="false">
      <c r="A704" s="7" t="n">
        <v>703</v>
      </c>
      <c r="B704" s="7" t="s">
        <v>311</v>
      </c>
      <c r="C704" s="7" t="n">
        <v>53</v>
      </c>
      <c r="D704" s="7" t="n">
        <v>4</v>
      </c>
      <c r="E704" s="77" t="n">
        <v>45161</v>
      </c>
      <c r="F704" s="86" t="n">
        <v>0.6803125</v>
      </c>
      <c r="G704" s="77" t="n">
        <v>45170</v>
      </c>
      <c r="H704" s="86" t="n">
        <v>0.258391203703704</v>
      </c>
      <c r="I704" s="7" t="s">
        <v>454</v>
      </c>
      <c r="J704" s="7" t="s">
        <v>40</v>
      </c>
    </row>
    <row r="705" customFormat="false" ht="15" hidden="false" customHeight="false" outlineLevel="0" collapsed="false">
      <c r="A705" s="2" t="n">
        <v>704</v>
      </c>
      <c r="B705" s="2" t="s">
        <v>285</v>
      </c>
      <c r="C705" s="2" t="n">
        <v>55</v>
      </c>
      <c r="D705" s="2" t="n">
        <v>4</v>
      </c>
      <c r="E705" s="82" t="n">
        <v>45167</v>
      </c>
      <c r="F705" s="87" t="n">
        <v>0.102199074074074</v>
      </c>
      <c r="G705" s="82" t="n">
        <v>45168</v>
      </c>
      <c r="H705" s="87" t="n">
        <v>0.567060185185185</v>
      </c>
      <c r="I705" s="2" t="s">
        <v>432</v>
      </c>
      <c r="J705" s="2" t="s">
        <v>40</v>
      </c>
    </row>
    <row r="706" customFormat="false" ht="15" hidden="false" customHeight="false" outlineLevel="0" collapsed="false">
      <c r="A706" s="7" t="n">
        <v>705</v>
      </c>
      <c r="B706" s="7" t="s">
        <v>133</v>
      </c>
      <c r="C706" s="7" t="n">
        <v>7</v>
      </c>
      <c r="D706" s="7" t="n">
        <v>1</v>
      </c>
      <c r="E706" s="77" t="n">
        <v>44990</v>
      </c>
      <c r="F706" s="86" t="n">
        <v>0.762511574074074</v>
      </c>
      <c r="G706" s="77" t="n">
        <v>44999</v>
      </c>
      <c r="H706" s="86" t="n">
        <v>0.748020833333333</v>
      </c>
      <c r="I706" s="7" t="s">
        <v>528</v>
      </c>
      <c r="J706" s="7" t="s">
        <v>33</v>
      </c>
    </row>
    <row r="707" customFormat="false" ht="15" hidden="false" customHeight="false" outlineLevel="0" collapsed="false">
      <c r="A707" s="2" t="n">
        <v>706</v>
      </c>
      <c r="B707" s="2" t="s">
        <v>369</v>
      </c>
      <c r="C707" s="2" t="n">
        <v>67</v>
      </c>
      <c r="D707" s="2" t="n">
        <v>2</v>
      </c>
      <c r="E707" s="82" t="n">
        <v>45042</v>
      </c>
      <c r="F707" s="87" t="n">
        <v>0.232766203703704</v>
      </c>
      <c r="G707" s="82" t="n">
        <v>45050</v>
      </c>
      <c r="H707" s="87" t="n">
        <v>0.550810185185185</v>
      </c>
      <c r="I707" s="2" t="s">
        <v>477</v>
      </c>
      <c r="J707" s="2" t="s">
        <v>168</v>
      </c>
    </row>
    <row r="708" customFormat="false" ht="15" hidden="false" customHeight="false" outlineLevel="0" collapsed="false">
      <c r="A708" s="7" t="n">
        <v>707</v>
      </c>
      <c r="B708" s="7" t="s">
        <v>212</v>
      </c>
      <c r="C708" s="7" t="n">
        <v>70</v>
      </c>
      <c r="D708" s="7" t="n">
        <v>4</v>
      </c>
      <c r="E708" s="77" t="n">
        <v>44960</v>
      </c>
      <c r="F708" s="86" t="n">
        <v>0.262106481481482</v>
      </c>
      <c r="G708" s="77" t="n">
        <v>44969</v>
      </c>
      <c r="H708" s="86" t="n">
        <v>0.0446643518518519</v>
      </c>
      <c r="I708" s="7" t="s">
        <v>592</v>
      </c>
      <c r="J708" s="7" t="s">
        <v>31</v>
      </c>
    </row>
    <row r="709" customFormat="false" ht="15" hidden="false" customHeight="false" outlineLevel="0" collapsed="false">
      <c r="A709" s="2" t="n">
        <v>708</v>
      </c>
      <c r="B709" s="2" t="s">
        <v>127</v>
      </c>
      <c r="C709" s="2" t="n">
        <v>62</v>
      </c>
      <c r="D709" s="2" t="n">
        <v>3</v>
      </c>
      <c r="E709" s="82" t="n">
        <v>44988</v>
      </c>
      <c r="F709" s="87" t="n">
        <v>0.4578125</v>
      </c>
      <c r="G709" s="82" t="n">
        <v>44997</v>
      </c>
      <c r="H709" s="87" t="n">
        <v>0.212210648148148</v>
      </c>
      <c r="I709" s="2" t="s">
        <v>516</v>
      </c>
      <c r="J709" s="2" t="s">
        <v>33</v>
      </c>
    </row>
    <row r="710" customFormat="false" ht="15" hidden="false" customHeight="false" outlineLevel="0" collapsed="false">
      <c r="A710" s="7" t="n">
        <v>709</v>
      </c>
      <c r="B710" s="7" t="s">
        <v>167</v>
      </c>
      <c r="C710" s="7" t="n">
        <v>53</v>
      </c>
      <c r="D710" s="7" t="n">
        <v>5</v>
      </c>
      <c r="E710" s="77" t="n">
        <v>45167</v>
      </c>
      <c r="F710" s="86" t="n">
        <v>0.193113425925926</v>
      </c>
      <c r="G710" s="77" t="n">
        <v>45176</v>
      </c>
      <c r="H710" s="86" t="n">
        <v>0.728645833333333</v>
      </c>
      <c r="I710" s="7" t="s">
        <v>462</v>
      </c>
      <c r="J710" s="7" t="s">
        <v>40</v>
      </c>
    </row>
    <row r="711" customFormat="false" ht="15" hidden="false" customHeight="false" outlineLevel="0" collapsed="false">
      <c r="A711" s="2" t="n">
        <v>710</v>
      </c>
      <c r="B711" s="2" t="s">
        <v>357</v>
      </c>
      <c r="C711" s="2" t="n">
        <v>54</v>
      </c>
      <c r="D711" s="2" t="n">
        <v>5</v>
      </c>
      <c r="E711" s="82" t="n">
        <v>45068</v>
      </c>
      <c r="F711" s="87" t="n">
        <v>0.0646180555555556</v>
      </c>
      <c r="G711" s="82" t="n">
        <v>45075</v>
      </c>
      <c r="H711" s="87" t="n">
        <v>0.0721296296296296</v>
      </c>
      <c r="I711" s="2" t="s">
        <v>434</v>
      </c>
      <c r="J711" s="2" t="s">
        <v>168</v>
      </c>
    </row>
    <row r="712" customFormat="false" ht="15" hidden="false" customHeight="false" outlineLevel="0" collapsed="false">
      <c r="A712" s="7" t="n">
        <v>711</v>
      </c>
      <c r="B712" s="7" t="s">
        <v>375</v>
      </c>
      <c r="C712" s="7" t="n">
        <v>68</v>
      </c>
      <c r="D712" s="7" t="n">
        <v>3</v>
      </c>
      <c r="E712" s="77" t="n">
        <v>44961</v>
      </c>
      <c r="F712" s="86" t="n">
        <v>0.719074074074074</v>
      </c>
      <c r="G712" s="77" t="n">
        <v>44963</v>
      </c>
      <c r="H712" s="86" t="n">
        <v>0.618668981481482</v>
      </c>
      <c r="I712" s="7" t="s">
        <v>594</v>
      </c>
      <c r="J712" s="7" t="s">
        <v>179</v>
      </c>
    </row>
    <row r="713" customFormat="false" ht="15" hidden="false" customHeight="false" outlineLevel="0" collapsed="false">
      <c r="A713" s="2" t="n">
        <v>712</v>
      </c>
      <c r="B713" s="2" t="s">
        <v>275</v>
      </c>
      <c r="C713" s="2" t="n">
        <v>65</v>
      </c>
      <c r="D713" s="2" t="n">
        <v>5</v>
      </c>
      <c r="E713" s="82" t="n">
        <v>45118</v>
      </c>
      <c r="F713" s="87" t="n">
        <v>0.541805555555556</v>
      </c>
      <c r="G713" s="82" t="n">
        <v>45120</v>
      </c>
      <c r="H713" s="87" t="n">
        <v>0.274270833333333</v>
      </c>
      <c r="I713" s="2" t="s">
        <v>408</v>
      </c>
      <c r="J713" s="2" t="s">
        <v>165</v>
      </c>
    </row>
    <row r="714" customFormat="false" ht="15" hidden="false" customHeight="false" outlineLevel="0" collapsed="false">
      <c r="A714" s="7" t="n">
        <v>713</v>
      </c>
      <c r="B714" s="7" t="s">
        <v>341</v>
      </c>
      <c r="C714" s="7" t="n">
        <v>37</v>
      </c>
      <c r="D714" s="7" t="n">
        <v>3</v>
      </c>
      <c r="E714" s="77" t="n">
        <v>45238</v>
      </c>
      <c r="F714" s="86" t="n">
        <v>0.97525462962963</v>
      </c>
      <c r="G714" s="77" t="n">
        <v>45245</v>
      </c>
      <c r="H714" s="86" t="n">
        <v>0.952326388888889</v>
      </c>
      <c r="I714" s="7" t="s">
        <v>594</v>
      </c>
      <c r="J714" s="7" t="s">
        <v>32</v>
      </c>
    </row>
    <row r="715" customFormat="false" ht="15" hidden="false" customHeight="false" outlineLevel="0" collapsed="false">
      <c r="A715" s="2" t="n">
        <v>714</v>
      </c>
      <c r="B715" s="2" t="s">
        <v>263</v>
      </c>
      <c r="C715" s="2" t="n">
        <v>63</v>
      </c>
      <c r="D715" s="2" t="n">
        <v>2</v>
      </c>
      <c r="E715" s="82" t="n">
        <v>45078</v>
      </c>
      <c r="F715" s="87" t="n">
        <v>0.811215277777778</v>
      </c>
      <c r="G715" s="82" t="n">
        <v>45080</v>
      </c>
      <c r="H715" s="87" t="n">
        <v>0.329178240740741</v>
      </c>
      <c r="I715" s="2" t="s">
        <v>346</v>
      </c>
      <c r="J715" s="2" t="s">
        <v>165</v>
      </c>
    </row>
    <row r="716" customFormat="false" ht="15" hidden="false" customHeight="false" outlineLevel="0" collapsed="false">
      <c r="A716" s="7" t="n">
        <v>715</v>
      </c>
      <c r="B716" s="7" t="s">
        <v>309</v>
      </c>
      <c r="C716" s="7" t="n">
        <v>38</v>
      </c>
      <c r="D716" s="7" t="n">
        <v>4</v>
      </c>
      <c r="E716" s="77" t="n">
        <v>45030</v>
      </c>
      <c r="F716" s="86" t="n">
        <v>0.21994212962963</v>
      </c>
      <c r="G716" s="77" t="n">
        <v>45037</v>
      </c>
      <c r="H716" s="86" t="n">
        <v>0.694108796296296</v>
      </c>
      <c r="I716" s="7" t="s">
        <v>584</v>
      </c>
      <c r="J716" s="7" t="s">
        <v>31</v>
      </c>
    </row>
    <row r="717" customFormat="false" ht="15" hidden="false" customHeight="false" outlineLevel="0" collapsed="false">
      <c r="A717" s="2" t="n">
        <v>716</v>
      </c>
      <c r="B717" s="2" t="s">
        <v>328</v>
      </c>
      <c r="C717" s="2" t="n">
        <v>40</v>
      </c>
      <c r="D717" s="2" t="n">
        <v>3</v>
      </c>
      <c r="E717" s="82" t="n">
        <v>45157</v>
      </c>
      <c r="F717" s="87" t="n">
        <v>0.970972222222222</v>
      </c>
      <c r="G717" s="82" t="n">
        <v>45164</v>
      </c>
      <c r="H717" s="87" t="n">
        <v>0.0694212962962963</v>
      </c>
      <c r="I717" s="2" t="s">
        <v>217</v>
      </c>
      <c r="J717" s="2" t="s">
        <v>168</v>
      </c>
    </row>
    <row r="718" customFormat="false" ht="15" hidden="false" customHeight="false" outlineLevel="0" collapsed="false">
      <c r="A718" s="7" t="n">
        <v>717</v>
      </c>
      <c r="B718" s="7" t="s">
        <v>281</v>
      </c>
      <c r="C718" s="7" t="n">
        <v>67</v>
      </c>
      <c r="D718" s="7" t="n">
        <v>5</v>
      </c>
      <c r="E718" s="77" t="n">
        <v>45102</v>
      </c>
      <c r="F718" s="86" t="n">
        <v>0.26287037037037</v>
      </c>
      <c r="G718" s="77" t="n">
        <v>45103</v>
      </c>
      <c r="H718" s="86" t="n">
        <v>0.972777777777778</v>
      </c>
      <c r="I718" s="7" t="s">
        <v>610</v>
      </c>
      <c r="J718" s="7" t="s">
        <v>168</v>
      </c>
    </row>
    <row r="719" customFormat="false" ht="15" hidden="false" customHeight="false" outlineLevel="0" collapsed="false">
      <c r="A719" s="2" t="n">
        <v>718</v>
      </c>
      <c r="B719" s="2" t="s">
        <v>194</v>
      </c>
      <c r="C719" s="2" t="n">
        <v>49</v>
      </c>
      <c r="D719" s="2" t="n">
        <v>1</v>
      </c>
      <c r="E719" s="82" t="n">
        <v>44966</v>
      </c>
      <c r="F719" s="87" t="n">
        <v>0.217766203703704</v>
      </c>
      <c r="G719" s="82" t="n">
        <v>44970</v>
      </c>
      <c r="H719" s="87" t="n">
        <v>0.265335648148148</v>
      </c>
      <c r="I719" s="2" t="s">
        <v>426</v>
      </c>
      <c r="J719" s="2" t="s">
        <v>179</v>
      </c>
    </row>
    <row r="720" customFormat="false" ht="15" hidden="false" customHeight="false" outlineLevel="0" collapsed="false">
      <c r="A720" s="7" t="n">
        <v>719</v>
      </c>
      <c r="B720" s="7" t="s">
        <v>372</v>
      </c>
      <c r="C720" s="7" t="n">
        <v>57</v>
      </c>
      <c r="D720" s="7" t="n">
        <v>3</v>
      </c>
      <c r="E720" s="77" t="n">
        <v>45119</v>
      </c>
      <c r="F720" s="86" t="n">
        <v>0.3228125</v>
      </c>
      <c r="G720" s="77" t="n">
        <v>45126</v>
      </c>
      <c r="H720" s="86" t="n">
        <v>0.0773611111111111</v>
      </c>
      <c r="I720" s="7" t="s">
        <v>526</v>
      </c>
      <c r="J720" s="7" t="s">
        <v>31</v>
      </c>
    </row>
    <row r="721" customFormat="false" ht="15" hidden="false" customHeight="false" outlineLevel="0" collapsed="false">
      <c r="A721" s="2" t="n">
        <v>720</v>
      </c>
      <c r="B721" s="2" t="s">
        <v>239</v>
      </c>
      <c r="C721" s="2" t="n">
        <v>22</v>
      </c>
      <c r="D721" s="2" t="n">
        <v>5</v>
      </c>
      <c r="E721" s="82" t="n">
        <v>45275</v>
      </c>
      <c r="F721" s="87" t="n">
        <v>0.612974537037037</v>
      </c>
      <c r="G721" s="82" t="n">
        <v>45280</v>
      </c>
      <c r="H721" s="87" t="n">
        <v>0.254953703703704</v>
      </c>
      <c r="I721" s="2" t="s">
        <v>605</v>
      </c>
      <c r="J721" s="2" t="s">
        <v>165</v>
      </c>
    </row>
    <row r="722" customFormat="false" ht="15" hidden="false" customHeight="false" outlineLevel="0" collapsed="false">
      <c r="A722" s="7" t="n">
        <v>721</v>
      </c>
      <c r="B722" s="7" t="s">
        <v>181</v>
      </c>
      <c r="C722" s="7" t="n">
        <v>3</v>
      </c>
      <c r="D722" s="7" t="n">
        <v>5</v>
      </c>
      <c r="E722" s="77" t="n">
        <v>44964</v>
      </c>
      <c r="F722" s="86" t="n">
        <v>0.1446875</v>
      </c>
      <c r="G722" s="77" t="n">
        <v>44974</v>
      </c>
      <c r="H722" s="86" t="n">
        <v>0.769467592592593</v>
      </c>
      <c r="I722" s="7" t="s">
        <v>604</v>
      </c>
      <c r="J722" s="7" t="s">
        <v>179</v>
      </c>
    </row>
    <row r="723" customFormat="false" ht="15" hidden="false" customHeight="false" outlineLevel="0" collapsed="false">
      <c r="A723" s="2" t="n">
        <v>722</v>
      </c>
      <c r="B723" s="2" t="s">
        <v>236</v>
      </c>
      <c r="C723" s="2" t="n">
        <v>13</v>
      </c>
      <c r="D723" s="2" t="n">
        <v>5</v>
      </c>
      <c r="E723" s="82" t="n">
        <v>44987</v>
      </c>
      <c r="F723" s="87" t="n">
        <v>0.729456018518519</v>
      </c>
      <c r="G723" s="82" t="n">
        <v>44993</v>
      </c>
      <c r="H723" s="87" t="n">
        <v>0.338171296296296</v>
      </c>
      <c r="I723" s="2" t="s">
        <v>484</v>
      </c>
      <c r="J723" s="2" t="s">
        <v>33</v>
      </c>
    </row>
    <row r="724" customFormat="false" ht="15" hidden="false" customHeight="false" outlineLevel="0" collapsed="false">
      <c r="A724" s="7" t="n">
        <v>723</v>
      </c>
      <c r="B724" s="7" t="s">
        <v>239</v>
      </c>
      <c r="C724" s="7" t="n">
        <v>14</v>
      </c>
      <c r="D724" s="7" t="n">
        <v>3</v>
      </c>
      <c r="E724" s="77" t="n">
        <v>44961</v>
      </c>
      <c r="F724" s="86" t="n">
        <v>0.750659722222222</v>
      </c>
      <c r="G724" s="77" t="n">
        <v>44962</v>
      </c>
      <c r="H724" s="86" t="n">
        <v>0.0399074074074074</v>
      </c>
      <c r="I724" s="7" t="s">
        <v>485</v>
      </c>
      <c r="J724" s="7" t="s">
        <v>31</v>
      </c>
    </row>
    <row r="725" customFormat="false" ht="15" hidden="false" customHeight="false" outlineLevel="0" collapsed="false">
      <c r="A725" s="2" t="n">
        <v>724</v>
      </c>
      <c r="B725" s="2" t="s">
        <v>281</v>
      </c>
      <c r="C725" s="2" t="n">
        <v>51</v>
      </c>
      <c r="D725" s="2" t="n">
        <v>1</v>
      </c>
      <c r="E725" s="82" t="n">
        <v>45024</v>
      </c>
      <c r="F725" s="87" t="n">
        <v>0.959930555555556</v>
      </c>
      <c r="G725" s="82" t="n">
        <v>45032</v>
      </c>
      <c r="H725" s="87" t="n">
        <v>0.333553240740741</v>
      </c>
      <c r="I725" s="2" t="s">
        <v>518</v>
      </c>
      <c r="J725" s="2" t="s">
        <v>165</v>
      </c>
    </row>
    <row r="726" customFormat="false" ht="15" hidden="false" customHeight="false" outlineLevel="0" collapsed="false">
      <c r="A726" s="7" t="n">
        <v>725</v>
      </c>
      <c r="B726" s="7" t="s">
        <v>209</v>
      </c>
      <c r="C726" s="7" t="n">
        <v>35</v>
      </c>
      <c r="D726" s="7" t="n">
        <v>3</v>
      </c>
      <c r="E726" s="77" t="n">
        <v>44991</v>
      </c>
      <c r="F726" s="86" t="n">
        <v>0.974513888888889</v>
      </c>
      <c r="G726" s="77" t="n">
        <v>44996</v>
      </c>
      <c r="H726" s="86" t="n">
        <v>0.835960648148148</v>
      </c>
      <c r="I726" s="7" t="s">
        <v>459</v>
      </c>
      <c r="J726" s="7" t="s">
        <v>33</v>
      </c>
    </row>
    <row r="727" customFormat="false" ht="15" hidden="false" customHeight="false" outlineLevel="0" collapsed="false">
      <c r="A727" s="2" t="n">
        <v>726</v>
      </c>
      <c r="B727" s="2" t="s">
        <v>236</v>
      </c>
      <c r="C727" s="2" t="n">
        <v>34</v>
      </c>
      <c r="D727" s="2" t="n">
        <v>2</v>
      </c>
      <c r="E727" s="82" t="n">
        <v>45159</v>
      </c>
      <c r="F727" s="87" t="n">
        <v>0.798969907407407</v>
      </c>
      <c r="G727" s="82" t="n">
        <v>45169</v>
      </c>
      <c r="H727" s="87" t="n">
        <v>0.787824074074074</v>
      </c>
      <c r="I727" s="2" t="s">
        <v>410</v>
      </c>
      <c r="J727" s="2" t="s">
        <v>40</v>
      </c>
    </row>
    <row r="728" customFormat="false" ht="15" hidden="false" customHeight="false" outlineLevel="0" collapsed="false">
      <c r="A728" s="7" t="n">
        <v>727</v>
      </c>
      <c r="B728" s="7" t="s">
        <v>285</v>
      </c>
      <c r="C728" s="7" t="n">
        <v>12</v>
      </c>
      <c r="D728" s="7" t="n">
        <v>5</v>
      </c>
      <c r="E728" s="77" t="n">
        <v>45248</v>
      </c>
      <c r="F728" s="86" t="n">
        <v>0.0673958333333333</v>
      </c>
      <c r="G728" s="77" t="n">
        <v>45252</v>
      </c>
      <c r="H728" s="86" t="n">
        <v>0.682314814814815</v>
      </c>
      <c r="I728" s="7" t="s">
        <v>175</v>
      </c>
      <c r="J728" s="7" t="s">
        <v>168</v>
      </c>
    </row>
    <row r="729" customFormat="false" ht="15" hidden="false" customHeight="false" outlineLevel="0" collapsed="false">
      <c r="A729" s="2" t="n">
        <v>728</v>
      </c>
      <c r="B729" s="2" t="s">
        <v>319</v>
      </c>
      <c r="C729" s="2" t="n">
        <v>52</v>
      </c>
      <c r="D729" s="2" t="n">
        <v>2</v>
      </c>
      <c r="E729" s="82" t="n">
        <v>44965</v>
      </c>
      <c r="F729" s="87" t="n">
        <v>0.573449074074074</v>
      </c>
      <c r="G729" s="82" t="n">
        <v>44968</v>
      </c>
      <c r="H729" s="87" t="n">
        <v>0.671712962962963</v>
      </c>
      <c r="I729" s="2" t="s">
        <v>519</v>
      </c>
      <c r="J729" s="2" t="s">
        <v>179</v>
      </c>
    </row>
    <row r="730" customFormat="false" ht="15" hidden="false" customHeight="false" outlineLevel="0" collapsed="false">
      <c r="A730" s="7" t="n">
        <v>729</v>
      </c>
      <c r="B730" s="7" t="s">
        <v>198</v>
      </c>
      <c r="C730" s="7" t="n">
        <v>17</v>
      </c>
      <c r="D730" s="7" t="n">
        <v>1</v>
      </c>
      <c r="E730" s="77" t="n">
        <v>44980</v>
      </c>
      <c r="F730" s="86" t="n">
        <v>0.76380787037037</v>
      </c>
      <c r="G730" s="77" t="n">
        <v>44982</v>
      </c>
      <c r="H730" s="86" t="n">
        <v>0.493969907407407</v>
      </c>
      <c r="I730" s="7" t="s">
        <v>463</v>
      </c>
      <c r="J730" s="7" t="s">
        <v>168</v>
      </c>
    </row>
    <row r="731" customFormat="false" ht="15" hidden="false" customHeight="false" outlineLevel="0" collapsed="false">
      <c r="A731" s="2" t="n">
        <v>730</v>
      </c>
      <c r="B731" s="2" t="s">
        <v>385</v>
      </c>
      <c r="C731" s="2" t="n">
        <v>59</v>
      </c>
      <c r="D731" s="2" t="n">
        <v>1</v>
      </c>
      <c r="E731" s="82" t="n">
        <v>45160</v>
      </c>
      <c r="F731" s="87" t="n">
        <v>0.0861458333333333</v>
      </c>
      <c r="G731" s="82" t="n">
        <v>45163</v>
      </c>
      <c r="H731" s="87" t="n">
        <v>0.944097222222222</v>
      </c>
      <c r="I731" s="2" t="s">
        <v>556</v>
      </c>
      <c r="J731" s="2" t="s">
        <v>40</v>
      </c>
    </row>
    <row r="732" customFormat="false" ht="15" hidden="false" customHeight="false" outlineLevel="0" collapsed="false">
      <c r="A732" s="7" t="n">
        <v>731</v>
      </c>
      <c r="B732" s="7" t="s">
        <v>347</v>
      </c>
      <c r="C732" s="7" t="n">
        <v>59</v>
      </c>
      <c r="D732" s="7" t="n">
        <v>5</v>
      </c>
      <c r="E732" s="77" t="n">
        <v>45163</v>
      </c>
      <c r="F732" s="86" t="n">
        <v>0.500925925925926</v>
      </c>
      <c r="G732" s="77" t="n">
        <v>45171</v>
      </c>
      <c r="H732" s="86" t="n">
        <v>0.460081018518519</v>
      </c>
      <c r="I732" s="7" t="s">
        <v>290</v>
      </c>
      <c r="J732" s="7" t="s">
        <v>40</v>
      </c>
    </row>
    <row r="733" customFormat="false" ht="15" hidden="false" customHeight="false" outlineLevel="0" collapsed="false">
      <c r="A733" s="2" t="n">
        <v>732</v>
      </c>
      <c r="B733" s="2" t="s">
        <v>357</v>
      </c>
      <c r="C733" s="2" t="n">
        <v>1</v>
      </c>
      <c r="D733" s="2" t="n">
        <v>2</v>
      </c>
      <c r="E733" s="82" t="n">
        <v>45215</v>
      </c>
      <c r="F733" s="87" t="n">
        <v>0.699444444444444</v>
      </c>
      <c r="G733" s="82" t="n">
        <v>45220</v>
      </c>
      <c r="H733" s="87" t="n">
        <v>0.7890625</v>
      </c>
      <c r="I733" s="2" t="s">
        <v>287</v>
      </c>
      <c r="J733" s="2" t="s">
        <v>165</v>
      </c>
    </row>
    <row r="734" customFormat="false" ht="15" hidden="false" customHeight="false" outlineLevel="0" collapsed="false">
      <c r="A734" s="7" t="n">
        <v>733</v>
      </c>
      <c r="B734" s="7" t="s">
        <v>283</v>
      </c>
      <c r="C734" s="7" t="n">
        <v>32</v>
      </c>
      <c r="D734" s="7" t="n">
        <v>3</v>
      </c>
      <c r="E734" s="77" t="n">
        <v>45017</v>
      </c>
      <c r="F734" s="86" t="n">
        <v>0.0358449074074074</v>
      </c>
      <c r="G734" s="77" t="n">
        <v>45019</v>
      </c>
      <c r="H734" s="86" t="n">
        <v>0.101886574074074</v>
      </c>
      <c r="I734" s="7" t="s">
        <v>474</v>
      </c>
      <c r="J734" s="7" t="s">
        <v>31</v>
      </c>
    </row>
    <row r="735" customFormat="false" ht="15" hidden="false" customHeight="false" outlineLevel="0" collapsed="false">
      <c r="A735" s="2" t="n">
        <v>734</v>
      </c>
      <c r="B735" s="2" t="s">
        <v>145</v>
      </c>
      <c r="C735" s="2" t="n">
        <v>49</v>
      </c>
      <c r="D735" s="2" t="n">
        <v>3</v>
      </c>
      <c r="E735" s="82" t="n">
        <v>44968</v>
      </c>
      <c r="F735" s="87" t="n">
        <v>0.48931712962963</v>
      </c>
      <c r="G735" s="82" t="n">
        <v>44971</v>
      </c>
      <c r="H735" s="87" t="n">
        <v>0.379236111111111</v>
      </c>
      <c r="I735" s="2" t="s">
        <v>494</v>
      </c>
      <c r="J735" s="2" t="s">
        <v>179</v>
      </c>
    </row>
    <row r="736" customFormat="false" ht="15" hidden="false" customHeight="false" outlineLevel="0" collapsed="false">
      <c r="A736" s="7" t="n">
        <v>735</v>
      </c>
      <c r="B736" s="7" t="s">
        <v>215</v>
      </c>
      <c r="C736" s="7" t="n">
        <v>56</v>
      </c>
      <c r="D736" s="7" t="n">
        <v>1</v>
      </c>
      <c r="E736" s="77" t="n">
        <v>44959</v>
      </c>
      <c r="F736" s="86" t="n">
        <v>0.30724537037037</v>
      </c>
      <c r="G736" s="77" t="n">
        <v>44961</v>
      </c>
      <c r="H736" s="86" t="n">
        <v>0.248587962962963</v>
      </c>
      <c r="I736" s="7" t="s">
        <v>504</v>
      </c>
      <c r="J736" s="7" t="s">
        <v>168</v>
      </c>
    </row>
    <row r="737" customFormat="false" ht="15" hidden="false" customHeight="false" outlineLevel="0" collapsed="false">
      <c r="A737" s="2" t="n">
        <v>736</v>
      </c>
      <c r="B737" s="2" t="s">
        <v>145</v>
      </c>
      <c r="C737" s="2" t="n">
        <v>70</v>
      </c>
      <c r="D737" s="2" t="n">
        <v>5</v>
      </c>
      <c r="E737" s="82" t="n">
        <v>45048</v>
      </c>
      <c r="F737" s="87" t="n">
        <v>0.157685185185185</v>
      </c>
      <c r="G737" s="82" t="n">
        <v>45057</v>
      </c>
      <c r="H737" s="87" t="n">
        <v>0.193564814814815</v>
      </c>
      <c r="I737" s="2" t="s">
        <v>387</v>
      </c>
      <c r="J737" s="2" t="s">
        <v>31</v>
      </c>
    </row>
    <row r="738" customFormat="false" ht="15" hidden="false" customHeight="false" outlineLevel="0" collapsed="false">
      <c r="A738" s="7" t="n">
        <v>737</v>
      </c>
      <c r="B738" s="7" t="s">
        <v>306</v>
      </c>
      <c r="C738" s="7" t="n">
        <v>46</v>
      </c>
      <c r="D738" s="7" t="n">
        <v>5</v>
      </c>
      <c r="E738" s="77" t="n">
        <v>45183</v>
      </c>
      <c r="F738" s="86" t="n">
        <v>0.316550925925926</v>
      </c>
      <c r="G738" s="77" t="n">
        <v>45186</v>
      </c>
      <c r="H738" s="86" t="n">
        <v>0.567418981481482</v>
      </c>
      <c r="I738" s="7" t="s">
        <v>244</v>
      </c>
      <c r="J738" s="7" t="s">
        <v>168</v>
      </c>
    </row>
    <row r="739" customFormat="false" ht="15" hidden="false" customHeight="false" outlineLevel="0" collapsed="false">
      <c r="A739" s="2" t="n">
        <v>738</v>
      </c>
      <c r="B739" s="2" t="s">
        <v>388</v>
      </c>
      <c r="C739" s="2" t="n">
        <v>16</v>
      </c>
      <c r="D739" s="2" t="n">
        <v>5</v>
      </c>
      <c r="E739" s="82" t="n">
        <v>44988</v>
      </c>
      <c r="F739" s="87" t="n">
        <v>0.683078703703704</v>
      </c>
      <c r="G739" s="82" t="n">
        <v>44994</v>
      </c>
      <c r="H739" s="87" t="n">
        <v>0.067037037037037</v>
      </c>
      <c r="I739" s="2" t="s">
        <v>479</v>
      </c>
      <c r="J739" s="2" t="s">
        <v>33</v>
      </c>
    </row>
    <row r="740" customFormat="false" ht="15" hidden="false" customHeight="false" outlineLevel="0" collapsed="false">
      <c r="A740" s="7" t="n">
        <v>739</v>
      </c>
      <c r="B740" s="7" t="s">
        <v>377</v>
      </c>
      <c r="C740" s="7" t="n">
        <v>24</v>
      </c>
      <c r="D740" s="7" t="n">
        <v>5</v>
      </c>
      <c r="E740" s="77" t="n">
        <v>44956</v>
      </c>
      <c r="F740" s="86" t="n">
        <v>0.405439814814815</v>
      </c>
      <c r="G740" s="77" t="n">
        <v>44960</v>
      </c>
      <c r="H740" s="86" t="n">
        <v>0.439965277777778</v>
      </c>
      <c r="I740" s="7" t="s">
        <v>220</v>
      </c>
      <c r="J740" s="7" t="s">
        <v>31</v>
      </c>
    </row>
    <row r="741" customFormat="false" ht="15" hidden="false" customHeight="false" outlineLevel="0" collapsed="false">
      <c r="A741" s="2" t="n">
        <v>740</v>
      </c>
      <c r="B741" s="2" t="s">
        <v>133</v>
      </c>
      <c r="C741" s="2" t="n">
        <v>56</v>
      </c>
      <c r="D741" s="2" t="n">
        <v>4</v>
      </c>
      <c r="E741" s="82" t="n">
        <v>45237</v>
      </c>
      <c r="F741" s="87" t="n">
        <v>0.674976851851852</v>
      </c>
      <c r="G741" s="82" t="n">
        <v>45242</v>
      </c>
      <c r="H741" s="87" t="n">
        <v>0.422118055555556</v>
      </c>
      <c r="I741" s="2" t="s">
        <v>567</v>
      </c>
      <c r="J741" s="2" t="s">
        <v>168</v>
      </c>
    </row>
    <row r="742" customFormat="false" ht="15" hidden="false" customHeight="false" outlineLevel="0" collapsed="false">
      <c r="A742" s="7" t="n">
        <v>741</v>
      </c>
      <c r="B742" s="7" t="s">
        <v>316</v>
      </c>
      <c r="C742" s="7" t="n">
        <v>53</v>
      </c>
      <c r="D742" s="7" t="n">
        <v>5</v>
      </c>
      <c r="E742" s="77" t="n">
        <v>45161</v>
      </c>
      <c r="F742" s="86" t="n">
        <v>0.532743055555556</v>
      </c>
      <c r="G742" s="77" t="n">
        <v>45170</v>
      </c>
      <c r="H742" s="86" t="n">
        <v>0.900914351851852</v>
      </c>
      <c r="I742" s="7" t="s">
        <v>571</v>
      </c>
      <c r="J742" s="7" t="s">
        <v>40</v>
      </c>
    </row>
    <row r="743" customFormat="false" ht="15" hidden="false" customHeight="false" outlineLevel="0" collapsed="false">
      <c r="A743" s="2" t="n">
        <v>742</v>
      </c>
      <c r="B743" s="2" t="s">
        <v>363</v>
      </c>
      <c r="C743" s="2" t="n">
        <v>53</v>
      </c>
      <c r="D743" s="2" t="n">
        <v>5</v>
      </c>
      <c r="E743" s="82" t="n">
        <v>45162</v>
      </c>
      <c r="F743" s="87" t="n">
        <v>0.826469907407407</v>
      </c>
      <c r="G743" s="82" t="n">
        <v>45164</v>
      </c>
      <c r="H743" s="87" t="n">
        <v>0.665347222222222</v>
      </c>
      <c r="I743" s="2" t="s">
        <v>519</v>
      </c>
      <c r="J743" s="2" t="s">
        <v>40</v>
      </c>
    </row>
    <row r="744" customFormat="false" ht="15" hidden="false" customHeight="false" outlineLevel="0" collapsed="false">
      <c r="A744" s="7" t="n">
        <v>743</v>
      </c>
      <c r="B744" s="7" t="s">
        <v>239</v>
      </c>
      <c r="C744" s="7" t="n">
        <v>4</v>
      </c>
      <c r="D744" s="7" t="n">
        <v>2</v>
      </c>
      <c r="E744" s="77" t="n">
        <v>45239</v>
      </c>
      <c r="F744" s="86" t="n">
        <v>0.56119212962963</v>
      </c>
      <c r="G744" s="77" t="n">
        <v>45243</v>
      </c>
      <c r="H744" s="86" t="n">
        <v>0.0530555555555556</v>
      </c>
      <c r="I744" s="7" t="s">
        <v>594</v>
      </c>
      <c r="J744" s="7" t="s">
        <v>32</v>
      </c>
    </row>
    <row r="745" customFormat="false" ht="15" hidden="false" customHeight="false" outlineLevel="0" collapsed="false">
      <c r="A745" s="2" t="n">
        <v>744</v>
      </c>
      <c r="B745" s="2" t="s">
        <v>183</v>
      </c>
      <c r="C745" s="2" t="n">
        <v>45</v>
      </c>
      <c r="D745" s="2" t="n">
        <v>4</v>
      </c>
      <c r="E745" s="82" t="n">
        <v>45212</v>
      </c>
      <c r="F745" s="87" t="n">
        <v>0.745381944444445</v>
      </c>
      <c r="G745" s="82" t="n">
        <v>45213</v>
      </c>
      <c r="H745" s="87" t="n">
        <v>0.334780092592593</v>
      </c>
      <c r="I745" s="2" t="s">
        <v>443</v>
      </c>
      <c r="J745" s="2" t="s">
        <v>31</v>
      </c>
    </row>
    <row r="746" customFormat="false" ht="15" hidden="false" customHeight="false" outlineLevel="0" collapsed="false">
      <c r="A746" s="7" t="n">
        <v>745</v>
      </c>
      <c r="B746" s="7" t="s">
        <v>260</v>
      </c>
      <c r="C746" s="7" t="n">
        <v>44</v>
      </c>
      <c r="D746" s="7" t="n">
        <v>1</v>
      </c>
      <c r="E746" s="77" t="n">
        <v>45237</v>
      </c>
      <c r="F746" s="86" t="n">
        <v>0.383634259259259</v>
      </c>
      <c r="G746" s="77" t="n">
        <v>45239</v>
      </c>
      <c r="H746" s="86" t="n">
        <v>0.0208796296296296</v>
      </c>
      <c r="I746" s="7" t="s">
        <v>462</v>
      </c>
      <c r="J746" s="7" t="s">
        <v>32</v>
      </c>
    </row>
    <row r="747" customFormat="false" ht="15" hidden="false" customHeight="false" outlineLevel="0" collapsed="false">
      <c r="A747" s="2" t="n">
        <v>746</v>
      </c>
      <c r="B747" s="2" t="s">
        <v>257</v>
      </c>
      <c r="C747" s="2" t="n">
        <v>35</v>
      </c>
      <c r="D747" s="2" t="n">
        <v>2</v>
      </c>
      <c r="E747" s="82" t="n">
        <v>44987</v>
      </c>
      <c r="F747" s="87" t="n">
        <v>0.224641203703704</v>
      </c>
      <c r="G747" s="82" t="n">
        <v>44991</v>
      </c>
      <c r="H747" s="87" t="n">
        <v>0.267141203703704</v>
      </c>
      <c r="I747" s="2" t="s">
        <v>523</v>
      </c>
      <c r="J747" s="2" t="s">
        <v>33</v>
      </c>
    </row>
    <row r="748" customFormat="false" ht="15" hidden="false" customHeight="false" outlineLevel="0" collapsed="false">
      <c r="A748" s="7" t="n">
        <v>747</v>
      </c>
      <c r="B748" s="7" t="s">
        <v>148</v>
      </c>
      <c r="C748" s="7" t="n">
        <v>6</v>
      </c>
      <c r="D748" s="7" t="n">
        <v>4</v>
      </c>
      <c r="E748" s="77" t="n">
        <v>44991</v>
      </c>
      <c r="F748" s="86" t="n">
        <v>0.155138888888889</v>
      </c>
      <c r="G748" s="77" t="n">
        <v>44996</v>
      </c>
      <c r="H748" s="86" t="n">
        <v>0.693460648148148</v>
      </c>
      <c r="I748" s="7" t="s">
        <v>340</v>
      </c>
      <c r="J748" s="7" t="s">
        <v>33</v>
      </c>
    </row>
    <row r="749" customFormat="false" ht="15" hidden="false" customHeight="false" outlineLevel="0" collapsed="false">
      <c r="A749" s="2" t="n">
        <v>748</v>
      </c>
      <c r="B749" s="2" t="s">
        <v>336</v>
      </c>
      <c r="C749" s="2" t="n">
        <v>26</v>
      </c>
      <c r="D749" s="2" t="n">
        <v>1</v>
      </c>
      <c r="E749" s="82" t="n">
        <v>44991</v>
      </c>
      <c r="F749" s="87" t="n">
        <v>0.467962962962963</v>
      </c>
      <c r="G749" s="82" t="n">
        <v>44992</v>
      </c>
      <c r="H749" s="87" t="n">
        <v>0.851851851851852</v>
      </c>
      <c r="I749" s="2" t="s">
        <v>584</v>
      </c>
      <c r="J749" s="2" t="s">
        <v>33</v>
      </c>
    </row>
    <row r="750" customFormat="false" ht="15" hidden="false" customHeight="false" outlineLevel="0" collapsed="false">
      <c r="A750" s="7" t="n">
        <v>749</v>
      </c>
      <c r="B750" s="7" t="s">
        <v>390</v>
      </c>
      <c r="C750" s="7" t="n">
        <v>12</v>
      </c>
      <c r="D750" s="7" t="n">
        <v>2</v>
      </c>
      <c r="E750" s="77" t="n">
        <v>45096</v>
      </c>
      <c r="F750" s="86" t="n">
        <v>0.550891203703704</v>
      </c>
      <c r="G750" s="77" t="n">
        <v>45101</v>
      </c>
      <c r="H750" s="86" t="n">
        <v>0.150844907407407</v>
      </c>
      <c r="I750" s="7" t="s">
        <v>503</v>
      </c>
      <c r="J750" s="7" t="s">
        <v>168</v>
      </c>
    </row>
    <row r="751" customFormat="false" ht="15" hidden="false" customHeight="false" outlineLevel="0" collapsed="false">
      <c r="A751" s="2" t="n">
        <v>750</v>
      </c>
      <c r="B751" s="2" t="s">
        <v>181</v>
      </c>
      <c r="C751" s="2" t="n">
        <v>19</v>
      </c>
      <c r="D751" s="2" t="n">
        <v>3</v>
      </c>
      <c r="E751" s="82" t="n">
        <v>44965</v>
      </c>
      <c r="F751" s="87" t="n">
        <v>0.390752314814815</v>
      </c>
      <c r="G751" s="82" t="n">
        <v>44971</v>
      </c>
      <c r="H751" s="87" t="n">
        <v>0.933819444444444</v>
      </c>
      <c r="I751" s="2" t="s">
        <v>305</v>
      </c>
      <c r="J751" s="2" t="s">
        <v>179</v>
      </c>
    </row>
    <row r="752" customFormat="false" ht="15" hidden="false" customHeight="false" outlineLevel="0" collapsed="false">
      <c r="A752" s="7" t="n">
        <v>751</v>
      </c>
      <c r="B752" s="7" t="s">
        <v>350</v>
      </c>
      <c r="C752" s="7" t="n">
        <v>23</v>
      </c>
      <c r="D752" s="7" t="n">
        <v>5</v>
      </c>
      <c r="E752" s="77" t="n">
        <v>45026</v>
      </c>
      <c r="F752" s="86" t="n">
        <v>0.300393518518519</v>
      </c>
      <c r="G752" s="77" t="n">
        <v>45031</v>
      </c>
      <c r="H752" s="86" t="n">
        <v>0.0781712962962963</v>
      </c>
      <c r="I752" s="7" t="s">
        <v>376</v>
      </c>
      <c r="J752" s="7" t="s">
        <v>168</v>
      </c>
    </row>
    <row r="753" customFormat="false" ht="15" hidden="false" customHeight="false" outlineLevel="0" collapsed="false">
      <c r="A753" s="2" t="n">
        <v>752</v>
      </c>
      <c r="B753" s="2" t="s">
        <v>206</v>
      </c>
      <c r="C753" s="2" t="n">
        <v>3</v>
      </c>
      <c r="D753" s="2" t="n">
        <v>5</v>
      </c>
      <c r="E753" s="82" t="n">
        <v>44967</v>
      </c>
      <c r="F753" s="87" t="n">
        <v>0.484733796296296</v>
      </c>
      <c r="G753" s="82" t="n">
        <v>44969</v>
      </c>
      <c r="H753" s="87" t="n">
        <v>0.441643518518519</v>
      </c>
      <c r="I753" s="2" t="s">
        <v>195</v>
      </c>
      <c r="J753" s="2" t="s">
        <v>179</v>
      </c>
    </row>
    <row r="754" customFormat="false" ht="15" hidden="false" customHeight="false" outlineLevel="0" collapsed="false">
      <c r="A754" s="7" t="n">
        <v>753</v>
      </c>
      <c r="B754" s="7" t="s">
        <v>239</v>
      </c>
      <c r="C754" s="7" t="n">
        <v>60</v>
      </c>
      <c r="D754" s="7" t="n">
        <v>1</v>
      </c>
      <c r="E754" s="77" t="n">
        <v>45236</v>
      </c>
      <c r="F754" s="86" t="n">
        <v>0.288634259259259</v>
      </c>
      <c r="G754" s="77" t="n">
        <v>45242</v>
      </c>
      <c r="H754" s="86" t="n">
        <v>0.200706018518519</v>
      </c>
      <c r="I754" s="7" t="s">
        <v>590</v>
      </c>
      <c r="J754" s="7" t="s">
        <v>32</v>
      </c>
    </row>
    <row r="755" customFormat="false" ht="15" hidden="false" customHeight="false" outlineLevel="0" collapsed="false">
      <c r="A755" s="2" t="n">
        <v>754</v>
      </c>
      <c r="B755" s="2" t="s">
        <v>347</v>
      </c>
      <c r="C755" s="2" t="n">
        <v>51</v>
      </c>
      <c r="D755" s="2" t="n">
        <v>2</v>
      </c>
      <c r="E755" s="82" t="n">
        <v>45231</v>
      </c>
      <c r="F755" s="87" t="n">
        <v>0.861493055555556</v>
      </c>
      <c r="G755" s="82" t="n">
        <v>45238</v>
      </c>
      <c r="H755" s="87" t="n">
        <v>0.925844907407407</v>
      </c>
      <c r="I755" s="2" t="s">
        <v>528</v>
      </c>
      <c r="J755" s="2" t="s">
        <v>165</v>
      </c>
    </row>
    <row r="756" customFormat="false" ht="15" hidden="false" customHeight="false" outlineLevel="0" collapsed="false">
      <c r="A756" s="7" t="n">
        <v>755</v>
      </c>
      <c r="B756" s="7" t="s">
        <v>215</v>
      </c>
      <c r="C756" s="7" t="n">
        <v>6</v>
      </c>
      <c r="D756" s="7" t="n">
        <v>5</v>
      </c>
      <c r="E756" s="77" t="n">
        <v>44984</v>
      </c>
      <c r="F756" s="86" t="n">
        <v>0.689884259259259</v>
      </c>
      <c r="G756" s="77" t="n">
        <v>44991</v>
      </c>
      <c r="H756" s="86" t="n">
        <v>0.0950462962962963</v>
      </c>
      <c r="I756" s="7" t="s">
        <v>187</v>
      </c>
      <c r="J756" s="7" t="s">
        <v>33</v>
      </c>
    </row>
    <row r="757" customFormat="false" ht="15" hidden="false" customHeight="false" outlineLevel="0" collapsed="false">
      <c r="A757" s="2" t="n">
        <v>756</v>
      </c>
      <c r="B757" s="2" t="s">
        <v>206</v>
      </c>
      <c r="C757" s="2" t="n">
        <v>51</v>
      </c>
      <c r="D757" s="2" t="n">
        <v>4</v>
      </c>
      <c r="E757" s="82" t="n">
        <v>45136</v>
      </c>
      <c r="F757" s="87" t="n">
        <v>0.767673611111111</v>
      </c>
      <c r="G757" s="82" t="n">
        <v>45141</v>
      </c>
      <c r="H757" s="87" t="n">
        <v>0.413912037037037</v>
      </c>
      <c r="I757" s="2" t="s">
        <v>296</v>
      </c>
      <c r="J757" s="2" t="s">
        <v>165</v>
      </c>
    </row>
    <row r="758" customFormat="false" ht="15" hidden="false" customHeight="false" outlineLevel="0" collapsed="false">
      <c r="A758" s="7" t="n">
        <v>757</v>
      </c>
      <c r="B758" s="7" t="s">
        <v>124</v>
      </c>
      <c r="C758" s="7" t="n">
        <v>2</v>
      </c>
      <c r="D758" s="7" t="n">
        <v>3</v>
      </c>
      <c r="E758" s="77" t="n">
        <v>44969</v>
      </c>
      <c r="F758" s="86" t="n">
        <v>0.433252314814815</v>
      </c>
      <c r="G758" s="77" t="n">
        <v>44977</v>
      </c>
      <c r="H758" s="86" t="n">
        <v>0.194768518518519</v>
      </c>
      <c r="I758" s="7" t="s">
        <v>565</v>
      </c>
      <c r="J758" s="7" t="s">
        <v>179</v>
      </c>
    </row>
    <row r="759" customFormat="false" ht="15" hidden="false" customHeight="false" outlineLevel="0" collapsed="false">
      <c r="A759" s="2" t="n">
        <v>758</v>
      </c>
      <c r="B759" s="2" t="s">
        <v>233</v>
      </c>
      <c r="C759" s="2" t="n">
        <v>40</v>
      </c>
      <c r="D759" s="2" t="n">
        <v>5</v>
      </c>
      <c r="E759" s="82" t="n">
        <v>45215</v>
      </c>
      <c r="F759" s="87" t="n">
        <v>0.383634259259259</v>
      </c>
      <c r="G759" s="82" t="n">
        <v>45219</v>
      </c>
      <c r="H759" s="87" t="n">
        <v>0.157615740740741</v>
      </c>
      <c r="I759" s="2" t="s">
        <v>141</v>
      </c>
      <c r="J759" s="2" t="s">
        <v>168</v>
      </c>
    </row>
    <row r="760" customFormat="false" ht="15" hidden="false" customHeight="false" outlineLevel="0" collapsed="false">
      <c r="A760" s="7" t="n">
        <v>759</v>
      </c>
      <c r="B760" s="7" t="s">
        <v>350</v>
      </c>
      <c r="C760" s="7" t="n">
        <v>48</v>
      </c>
      <c r="D760" s="7" t="n">
        <v>5</v>
      </c>
      <c r="E760" s="77" t="n">
        <v>45232</v>
      </c>
      <c r="F760" s="86" t="n">
        <v>0.25849537037037</v>
      </c>
      <c r="G760" s="77" t="n">
        <v>45241</v>
      </c>
      <c r="H760" s="86" t="n">
        <v>0.254814814814815</v>
      </c>
      <c r="I760" s="7" t="s">
        <v>205</v>
      </c>
      <c r="J760" s="7" t="s">
        <v>32</v>
      </c>
    </row>
    <row r="761" customFormat="false" ht="15" hidden="false" customHeight="false" outlineLevel="0" collapsed="false">
      <c r="A761" s="2" t="n">
        <v>760</v>
      </c>
      <c r="B761" s="2" t="s">
        <v>233</v>
      </c>
      <c r="C761" s="2" t="n">
        <v>18</v>
      </c>
      <c r="D761" s="2" t="n">
        <v>1</v>
      </c>
      <c r="E761" s="82" t="n">
        <v>45188</v>
      </c>
      <c r="F761" s="87" t="n">
        <v>0.102835648148148</v>
      </c>
      <c r="G761" s="82" t="n">
        <v>45190</v>
      </c>
      <c r="H761" s="87" t="n">
        <v>0.56224537037037</v>
      </c>
      <c r="I761" s="2" t="s">
        <v>387</v>
      </c>
      <c r="J761" s="2" t="s">
        <v>31</v>
      </c>
    </row>
    <row r="762" customFormat="false" ht="15" hidden="false" customHeight="false" outlineLevel="0" collapsed="false">
      <c r="A762" s="7" t="n">
        <v>761</v>
      </c>
      <c r="B762" s="7" t="s">
        <v>145</v>
      </c>
      <c r="C762" s="7" t="n">
        <v>24</v>
      </c>
      <c r="D762" s="7" t="n">
        <v>5</v>
      </c>
      <c r="E762" s="77" t="n">
        <v>45034</v>
      </c>
      <c r="F762" s="86" t="n">
        <v>0.142511574074074</v>
      </c>
      <c r="G762" s="77" t="n">
        <v>45041</v>
      </c>
      <c r="H762" s="86" t="n">
        <v>0.495671296296296</v>
      </c>
      <c r="I762" s="7" t="s">
        <v>160</v>
      </c>
      <c r="J762" s="7" t="s">
        <v>31</v>
      </c>
    </row>
    <row r="763" customFormat="false" ht="15" hidden="false" customHeight="false" outlineLevel="0" collapsed="false">
      <c r="A763" s="2" t="n">
        <v>762</v>
      </c>
      <c r="B763" s="2" t="s">
        <v>294</v>
      </c>
      <c r="C763" s="2" t="n">
        <v>50</v>
      </c>
      <c r="D763" s="2" t="n">
        <v>1</v>
      </c>
      <c r="E763" s="82" t="n">
        <v>44983</v>
      </c>
      <c r="F763" s="87" t="n">
        <v>0.424525462962963</v>
      </c>
      <c r="G763" s="82" t="n">
        <v>44986</v>
      </c>
      <c r="H763" s="87" t="n">
        <v>0.16412037037037</v>
      </c>
      <c r="I763" s="2" t="s">
        <v>197</v>
      </c>
      <c r="J763" s="2" t="s">
        <v>33</v>
      </c>
    </row>
    <row r="764" customFormat="false" ht="15" hidden="false" customHeight="false" outlineLevel="0" collapsed="false">
      <c r="A764" s="7" t="n">
        <v>763</v>
      </c>
      <c r="B764" s="7" t="s">
        <v>311</v>
      </c>
      <c r="C764" s="7" t="n">
        <v>29</v>
      </c>
      <c r="D764" s="7" t="n">
        <v>4</v>
      </c>
      <c r="E764" s="77" t="n">
        <v>44987</v>
      </c>
      <c r="F764" s="86" t="n">
        <v>0.640381944444444</v>
      </c>
      <c r="G764" s="77" t="n">
        <v>44989</v>
      </c>
      <c r="H764" s="86" t="n">
        <v>0.187581018518519</v>
      </c>
      <c r="I764" s="7" t="s">
        <v>509</v>
      </c>
      <c r="J764" s="7" t="s">
        <v>33</v>
      </c>
    </row>
    <row r="765" customFormat="false" ht="15" hidden="false" customHeight="false" outlineLevel="0" collapsed="false">
      <c r="A765" s="2" t="n">
        <v>764</v>
      </c>
      <c r="B765" s="2" t="s">
        <v>221</v>
      </c>
      <c r="C765" s="2" t="n">
        <v>65</v>
      </c>
      <c r="D765" s="2" t="n">
        <v>3</v>
      </c>
      <c r="E765" s="82" t="n">
        <v>45139</v>
      </c>
      <c r="F765" s="87" t="n">
        <v>0.833055555555556</v>
      </c>
      <c r="G765" s="82" t="n">
        <v>45143</v>
      </c>
      <c r="H765" s="87" t="n">
        <v>0.392083333333333</v>
      </c>
      <c r="I765" s="2" t="s">
        <v>220</v>
      </c>
      <c r="J765" s="2" t="s">
        <v>165</v>
      </c>
    </row>
    <row r="766" customFormat="false" ht="15" hidden="false" customHeight="false" outlineLevel="0" collapsed="false">
      <c r="A766" s="7" t="n">
        <v>765</v>
      </c>
      <c r="B766" s="7" t="s">
        <v>269</v>
      </c>
      <c r="C766" s="7" t="n">
        <v>41</v>
      </c>
      <c r="D766" s="7" t="n">
        <v>2</v>
      </c>
      <c r="E766" s="77" t="n">
        <v>45233</v>
      </c>
      <c r="F766" s="86" t="n">
        <v>0.109490740740741</v>
      </c>
      <c r="G766" s="77" t="n">
        <v>45236</v>
      </c>
      <c r="H766" s="86" t="n">
        <v>0.161423611111111</v>
      </c>
      <c r="I766" s="7" t="s">
        <v>160</v>
      </c>
      <c r="J766" s="7" t="s">
        <v>32</v>
      </c>
    </row>
    <row r="767" customFormat="false" ht="15" hidden="false" customHeight="false" outlineLevel="0" collapsed="false">
      <c r="A767" s="2" t="n">
        <v>766</v>
      </c>
      <c r="B767" s="2" t="s">
        <v>331</v>
      </c>
      <c r="C767" s="2" t="n">
        <v>1</v>
      </c>
      <c r="D767" s="2" t="n">
        <v>4</v>
      </c>
      <c r="E767" s="82" t="n">
        <v>45109</v>
      </c>
      <c r="F767" s="87" t="n">
        <v>0.686724537037037</v>
      </c>
      <c r="G767" s="82" t="n">
        <v>45114</v>
      </c>
      <c r="H767" s="87" t="n">
        <v>0.0137037037037037</v>
      </c>
      <c r="I767" s="2" t="s">
        <v>412</v>
      </c>
      <c r="J767" s="2" t="s">
        <v>165</v>
      </c>
    </row>
    <row r="768" customFormat="false" ht="15" hidden="false" customHeight="false" outlineLevel="0" collapsed="false">
      <c r="A768" s="7" t="n">
        <v>767</v>
      </c>
      <c r="B768" s="7" t="s">
        <v>331</v>
      </c>
      <c r="C768" s="7" t="n">
        <v>13</v>
      </c>
      <c r="D768" s="7" t="n">
        <v>2</v>
      </c>
      <c r="E768" s="77" t="n">
        <v>44988</v>
      </c>
      <c r="F768" s="86" t="n">
        <v>0.0980671296296296</v>
      </c>
      <c r="G768" s="77" t="n">
        <v>44989</v>
      </c>
      <c r="H768" s="86" t="n">
        <v>0.0103356481481482</v>
      </c>
      <c r="I768" s="7" t="s">
        <v>548</v>
      </c>
      <c r="J768" s="7" t="s">
        <v>33</v>
      </c>
    </row>
    <row r="769" customFormat="false" ht="15" hidden="false" customHeight="false" outlineLevel="0" collapsed="false">
      <c r="A769" s="2" t="n">
        <v>768</v>
      </c>
      <c r="B769" s="2" t="s">
        <v>357</v>
      </c>
      <c r="C769" s="2" t="n">
        <v>1</v>
      </c>
      <c r="D769" s="2" t="n">
        <v>1</v>
      </c>
      <c r="E769" s="82" t="n">
        <v>45241</v>
      </c>
      <c r="F769" s="87" t="n">
        <v>0.776168981481482</v>
      </c>
      <c r="G769" s="82" t="n">
        <v>45246</v>
      </c>
      <c r="H769" s="87" t="n">
        <v>0.513680555555556</v>
      </c>
      <c r="I769" s="2" t="s">
        <v>416</v>
      </c>
      <c r="J769" s="2" t="s">
        <v>165</v>
      </c>
    </row>
    <row r="770" customFormat="false" ht="15" hidden="false" customHeight="false" outlineLevel="0" collapsed="false">
      <c r="A770" s="7" t="n">
        <v>769</v>
      </c>
      <c r="B770" s="7" t="s">
        <v>196</v>
      </c>
      <c r="C770" s="7" t="n">
        <v>28</v>
      </c>
      <c r="D770" s="7" t="n">
        <v>2</v>
      </c>
      <c r="E770" s="77" t="n">
        <v>45163</v>
      </c>
      <c r="F770" s="86" t="n">
        <v>0.401145833333333</v>
      </c>
      <c r="G770" s="77" t="n">
        <v>45171</v>
      </c>
      <c r="H770" s="86" t="n">
        <v>0.840509259259259</v>
      </c>
      <c r="I770" s="7" t="s">
        <v>514</v>
      </c>
      <c r="J770" s="7" t="s">
        <v>40</v>
      </c>
    </row>
    <row r="771" customFormat="false" ht="15" hidden="false" customHeight="false" outlineLevel="0" collapsed="false">
      <c r="A771" s="2" t="n">
        <v>770</v>
      </c>
      <c r="B771" s="2" t="s">
        <v>338</v>
      </c>
      <c r="C771" s="2" t="n">
        <v>25</v>
      </c>
      <c r="D771" s="2" t="n">
        <v>3</v>
      </c>
      <c r="E771" s="82" t="n">
        <v>45075</v>
      </c>
      <c r="F771" s="87" t="n">
        <v>0.0145486111111111</v>
      </c>
      <c r="G771" s="82" t="n">
        <v>45084</v>
      </c>
      <c r="H771" s="87" t="n">
        <v>0.402222222222222</v>
      </c>
      <c r="I771" s="2" t="s">
        <v>518</v>
      </c>
      <c r="J771" s="2" t="s">
        <v>168</v>
      </c>
    </row>
    <row r="772" customFormat="false" ht="15" hidden="false" customHeight="false" outlineLevel="0" collapsed="false">
      <c r="A772" s="7" t="n">
        <v>771</v>
      </c>
      <c r="B772" s="7" t="s">
        <v>272</v>
      </c>
      <c r="C772" s="7" t="n">
        <v>9</v>
      </c>
      <c r="D772" s="7" t="n">
        <v>2</v>
      </c>
      <c r="E772" s="77" t="n">
        <v>45164</v>
      </c>
      <c r="F772" s="86" t="n">
        <v>0.708414351851852</v>
      </c>
      <c r="G772" s="77" t="n">
        <v>45170</v>
      </c>
      <c r="H772" s="86" t="n">
        <v>0.454351851851852</v>
      </c>
      <c r="I772" s="7" t="s">
        <v>606</v>
      </c>
      <c r="J772" s="7" t="s">
        <v>40</v>
      </c>
    </row>
    <row r="773" customFormat="false" ht="15" hidden="false" customHeight="false" outlineLevel="0" collapsed="false">
      <c r="A773" s="2" t="n">
        <v>772</v>
      </c>
      <c r="B773" s="2" t="s">
        <v>353</v>
      </c>
      <c r="C773" s="2" t="n">
        <v>35</v>
      </c>
      <c r="D773" s="2" t="n">
        <v>5</v>
      </c>
      <c r="E773" s="82" t="n">
        <v>44986</v>
      </c>
      <c r="F773" s="87" t="n">
        <v>0.210486111111111</v>
      </c>
      <c r="G773" s="82" t="n">
        <v>44989</v>
      </c>
      <c r="H773" s="87" t="n">
        <v>0.347280092592593</v>
      </c>
      <c r="I773" s="2" t="s">
        <v>475</v>
      </c>
      <c r="J773" s="2" t="s">
        <v>33</v>
      </c>
    </row>
    <row r="774" customFormat="false" ht="15" hidden="false" customHeight="false" outlineLevel="0" collapsed="false">
      <c r="A774" s="7" t="n">
        <v>773</v>
      </c>
      <c r="B774" s="7" t="s">
        <v>200</v>
      </c>
      <c r="C774" s="7" t="n">
        <v>39</v>
      </c>
      <c r="D774" s="7" t="n">
        <v>4</v>
      </c>
      <c r="E774" s="77" t="n">
        <v>44933</v>
      </c>
      <c r="F774" s="86" t="n">
        <v>0.09125</v>
      </c>
      <c r="G774" s="77" t="n">
        <v>44939</v>
      </c>
      <c r="H774" s="86" t="n">
        <v>0.991597222222222</v>
      </c>
      <c r="I774" s="7" t="s">
        <v>449</v>
      </c>
      <c r="J774" s="7" t="s">
        <v>165</v>
      </c>
    </row>
    <row r="775" customFormat="false" ht="15" hidden="false" customHeight="false" outlineLevel="0" collapsed="false">
      <c r="A775" s="2" t="n">
        <v>774</v>
      </c>
      <c r="B775" s="2" t="s">
        <v>257</v>
      </c>
      <c r="C775" s="2" t="n">
        <v>65</v>
      </c>
      <c r="D775" s="2" t="n">
        <v>5</v>
      </c>
      <c r="E775" s="82" t="n">
        <v>45094</v>
      </c>
      <c r="F775" s="87" t="n">
        <v>0.8946875</v>
      </c>
      <c r="G775" s="82" t="n">
        <v>45104</v>
      </c>
      <c r="H775" s="87" t="n">
        <v>0.125925925925926</v>
      </c>
      <c r="I775" s="2" t="s">
        <v>208</v>
      </c>
      <c r="J775" s="2" t="s">
        <v>165</v>
      </c>
    </row>
    <row r="776" customFormat="false" ht="15" hidden="false" customHeight="false" outlineLevel="0" collapsed="false">
      <c r="A776" s="7" t="n">
        <v>775</v>
      </c>
      <c r="B776" s="7" t="s">
        <v>331</v>
      </c>
      <c r="C776" s="7" t="n">
        <v>45</v>
      </c>
      <c r="D776" s="7" t="n">
        <v>1</v>
      </c>
      <c r="E776" s="77" t="n">
        <v>44976</v>
      </c>
      <c r="F776" s="86" t="n">
        <v>0.158449074074074</v>
      </c>
      <c r="G776" s="77" t="n">
        <v>44981</v>
      </c>
      <c r="H776" s="86" t="n">
        <v>0.980405092592593</v>
      </c>
      <c r="I776" s="7" t="s">
        <v>175</v>
      </c>
      <c r="J776" s="7" t="s">
        <v>31</v>
      </c>
    </row>
    <row r="777" customFormat="false" ht="15" hidden="false" customHeight="false" outlineLevel="0" collapsed="false">
      <c r="A777" s="2" t="n">
        <v>776</v>
      </c>
      <c r="B777" s="2" t="s">
        <v>257</v>
      </c>
      <c r="C777" s="2" t="n">
        <v>43</v>
      </c>
      <c r="D777" s="2" t="n">
        <v>1</v>
      </c>
      <c r="E777" s="82" t="n">
        <v>45239</v>
      </c>
      <c r="F777" s="87" t="n">
        <v>0.311736111111111</v>
      </c>
      <c r="G777" s="82" t="n">
        <v>45242</v>
      </c>
      <c r="H777" s="87" t="n">
        <v>0.90212962962963</v>
      </c>
      <c r="I777" s="2" t="s">
        <v>156</v>
      </c>
      <c r="J777" s="2" t="s">
        <v>32</v>
      </c>
    </row>
    <row r="778" customFormat="false" ht="15" hidden="false" customHeight="false" outlineLevel="0" collapsed="false">
      <c r="A778" s="7" t="n">
        <v>777</v>
      </c>
      <c r="B778" s="7" t="s">
        <v>167</v>
      </c>
      <c r="C778" s="7" t="n">
        <v>70</v>
      </c>
      <c r="D778" s="7" t="n">
        <v>3</v>
      </c>
      <c r="E778" s="77" t="n">
        <v>44981</v>
      </c>
      <c r="F778" s="86" t="n">
        <v>0.648576388888889</v>
      </c>
      <c r="G778" s="77" t="n">
        <v>44984</v>
      </c>
      <c r="H778" s="86" t="n">
        <v>0.478923611111111</v>
      </c>
      <c r="I778" s="7" t="s">
        <v>265</v>
      </c>
      <c r="J778" s="7" t="s">
        <v>31</v>
      </c>
    </row>
    <row r="779" customFormat="false" ht="15" hidden="false" customHeight="false" outlineLevel="0" collapsed="false">
      <c r="A779" s="2" t="n">
        <v>778</v>
      </c>
      <c r="B779" s="2" t="s">
        <v>204</v>
      </c>
      <c r="C779" s="2" t="n">
        <v>61</v>
      </c>
      <c r="D779" s="2" t="n">
        <v>4</v>
      </c>
      <c r="E779" s="82" t="n">
        <v>45056</v>
      </c>
      <c r="F779" s="87" t="n">
        <v>0.165740740740741</v>
      </c>
      <c r="G779" s="82" t="n">
        <v>45059</v>
      </c>
      <c r="H779" s="87" t="n">
        <v>0.498113425925926</v>
      </c>
      <c r="I779" s="2" t="s">
        <v>534</v>
      </c>
      <c r="J779" s="2" t="s">
        <v>168</v>
      </c>
    </row>
    <row r="780" customFormat="false" ht="15" hidden="false" customHeight="false" outlineLevel="0" collapsed="false">
      <c r="A780" s="7" t="n">
        <v>779</v>
      </c>
      <c r="B780" s="7" t="s">
        <v>260</v>
      </c>
      <c r="C780" s="7" t="n">
        <v>3</v>
      </c>
      <c r="D780" s="7" t="n">
        <v>1</v>
      </c>
      <c r="E780" s="77" t="n">
        <v>44963</v>
      </c>
      <c r="F780" s="86" t="n">
        <v>0.268483796296296</v>
      </c>
      <c r="G780" s="77" t="n">
        <v>44965</v>
      </c>
      <c r="H780" s="86" t="n">
        <v>0.119340277777778</v>
      </c>
      <c r="I780" s="7" t="s">
        <v>356</v>
      </c>
      <c r="J780" s="7" t="s">
        <v>179</v>
      </c>
    </row>
    <row r="781" customFormat="false" ht="15" hidden="false" customHeight="false" outlineLevel="0" collapsed="false">
      <c r="A781" s="2" t="n">
        <v>780</v>
      </c>
      <c r="B781" s="2" t="s">
        <v>311</v>
      </c>
      <c r="C781" s="2" t="n">
        <v>33</v>
      </c>
      <c r="D781" s="2" t="n">
        <v>2</v>
      </c>
      <c r="E781" s="82" t="n">
        <v>44967</v>
      </c>
      <c r="F781" s="87" t="n">
        <v>0.479756944444444</v>
      </c>
      <c r="G781" s="82" t="n">
        <v>44970</v>
      </c>
      <c r="H781" s="87" t="n">
        <v>0.186400462962963</v>
      </c>
      <c r="I781" s="2" t="s">
        <v>280</v>
      </c>
      <c r="J781" s="2" t="s">
        <v>179</v>
      </c>
    </row>
    <row r="782" customFormat="false" ht="15" hidden="false" customHeight="false" outlineLevel="0" collapsed="false">
      <c r="A782" s="7" t="n">
        <v>781</v>
      </c>
      <c r="B782" s="7" t="s">
        <v>350</v>
      </c>
      <c r="C782" s="7" t="n">
        <v>40</v>
      </c>
      <c r="D782" s="7" t="n">
        <v>2</v>
      </c>
      <c r="E782" s="77" t="n">
        <v>45196</v>
      </c>
      <c r="F782" s="86" t="n">
        <v>0.643726851851852</v>
      </c>
      <c r="G782" s="77" t="n">
        <v>45204</v>
      </c>
      <c r="H782" s="86" t="n">
        <v>0.819074074074074</v>
      </c>
      <c r="I782" s="7" t="s">
        <v>497</v>
      </c>
      <c r="J782" s="7" t="s">
        <v>168</v>
      </c>
    </row>
    <row r="783" customFormat="false" ht="15" hidden="false" customHeight="false" outlineLevel="0" collapsed="false">
      <c r="A783" s="2" t="n">
        <v>782</v>
      </c>
      <c r="B783" s="2" t="s">
        <v>357</v>
      </c>
      <c r="C783" s="2" t="n">
        <v>22</v>
      </c>
      <c r="D783" s="2" t="n">
        <v>4</v>
      </c>
      <c r="E783" s="82" t="n">
        <v>45034</v>
      </c>
      <c r="F783" s="87" t="n">
        <v>0.237037037037037</v>
      </c>
      <c r="G783" s="82" t="n">
        <v>45042</v>
      </c>
      <c r="H783" s="87" t="n">
        <v>0.809363425925926</v>
      </c>
      <c r="I783" s="2" t="s">
        <v>564</v>
      </c>
      <c r="J783" s="2" t="s">
        <v>165</v>
      </c>
    </row>
    <row r="784" customFormat="false" ht="15" hidden="false" customHeight="false" outlineLevel="0" collapsed="false">
      <c r="A784" s="7" t="n">
        <v>783</v>
      </c>
      <c r="B784" s="7" t="s">
        <v>185</v>
      </c>
      <c r="C784" s="7" t="n">
        <v>55</v>
      </c>
      <c r="D784" s="7" t="n">
        <v>5</v>
      </c>
      <c r="E784" s="77" t="n">
        <v>45166</v>
      </c>
      <c r="F784" s="86" t="n">
        <v>0.188506944444444</v>
      </c>
      <c r="G784" s="77" t="n">
        <v>45167</v>
      </c>
      <c r="H784" s="86" t="n">
        <v>0.215868055555556</v>
      </c>
      <c r="I784" s="7" t="s">
        <v>608</v>
      </c>
      <c r="J784" s="7" t="s">
        <v>40</v>
      </c>
    </row>
    <row r="785" customFormat="false" ht="15" hidden="false" customHeight="false" outlineLevel="0" collapsed="false">
      <c r="A785" s="2" t="n">
        <v>784</v>
      </c>
      <c r="B785" s="2" t="s">
        <v>230</v>
      </c>
      <c r="C785" s="2" t="n">
        <v>56</v>
      </c>
      <c r="D785" s="2" t="n">
        <v>2</v>
      </c>
      <c r="E785" s="82" t="n">
        <v>45079</v>
      </c>
      <c r="F785" s="87" t="n">
        <v>0.351296296296296</v>
      </c>
      <c r="G785" s="82" t="n">
        <v>45084</v>
      </c>
      <c r="H785" s="87" t="n">
        <v>0.261331018518519</v>
      </c>
      <c r="I785" s="2" t="s">
        <v>229</v>
      </c>
      <c r="J785" s="2" t="s">
        <v>168</v>
      </c>
    </row>
    <row r="786" customFormat="false" ht="15" hidden="false" customHeight="false" outlineLevel="0" collapsed="false">
      <c r="A786" s="7" t="n">
        <v>785</v>
      </c>
      <c r="B786" s="7" t="s">
        <v>260</v>
      </c>
      <c r="C786" s="7" t="n">
        <v>47</v>
      </c>
      <c r="D786" s="7" t="n">
        <v>5</v>
      </c>
      <c r="E786" s="77" t="n">
        <v>44983</v>
      </c>
      <c r="F786" s="86" t="n">
        <v>0.737199074074074</v>
      </c>
      <c r="G786" s="77" t="n">
        <v>44986</v>
      </c>
      <c r="H786" s="86" t="n">
        <v>0.54818287037037</v>
      </c>
      <c r="I786" s="7" t="s">
        <v>441</v>
      </c>
      <c r="J786" s="7" t="s">
        <v>33</v>
      </c>
    </row>
    <row r="787" customFormat="false" ht="15" hidden="false" customHeight="false" outlineLevel="0" collapsed="false">
      <c r="A787" s="2" t="n">
        <v>786</v>
      </c>
      <c r="B787" s="2" t="s">
        <v>130</v>
      </c>
      <c r="C787" s="2" t="n">
        <v>47</v>
      </c>
      <c r="D787" s="2" t="n">
        <v>1</v>
      </c>
      <c r="E787" s="82" t="n">
        <v>44990</v>
      </c>
      <c r="F787" s="87" t="n">
        <v>0.949363425925926</v>
      </c>
      <c r="G787" s="82" t="n">
        <v>44992</v>
      </c>
      <c r="H787" s="87" t="n">
        <v>0.303391203703704</v>
      </c>
      <c r="I787" s="2" t="s">
        <v>458</v>
      </c>
      <c r="J787" s="2" t="s">
        <v>33</v>
      </c>
    </row>
    <row r="788" customFormat="false" ht="15" hidden="false" customHeight="false" outlineLevel="0" collapsed="false">
      <c r="A788" s="7" t="n">
        <v>787</v>
      </c>
      <c r="B788" s="7" t="s">
        <v>309</v>
      </c>
      <c r="C788" s="7" t="n">
        <v>9</v>
      </c>
      <c r="D788" s="7" t="n">
        <v>1</v>
      </c>
      <c r="E788" s="77" t="n">
        <v>45163</v>
      </c>
      <c r="F788" s="86" t="n">
        <v>0.904305555555556</v>
      </c>
      <c r="G788" s="77" t="n">
        <v>45165</v>
      </c>
      <c r="H788" s="86" t="n">
        <v>0.590960648148148</v>
      </c>
      <c r="I788" s="7" t="s">
        <v>163</v>
      </c>
      <c r="J788" s="7" t="s">
        <v>40</v>
      </c>
    </row>
    <row r="789" customFormat="false" ht="15" hidden="false" customHeight="false" outlineLevel="0" collapsed="false">
      <c r="A789" s="2" t="n">
        <v>788</v>
      </c>
      <c r="B789" s="2" t="s">
        <v>390</v>
      </c>
      <c r="C789" s="2" t="n">
        <v>53</v>
      </c>
      <c r="D789" s="2" t="n">
        <v>3</v>
      </c>
      <c r="E789" s="82" t="n">
        <v>45162</v>
      </c>
      <c r="F789" s="87" t="n">
        <v>0.207615740740741</v>
      </c>
      <c r="G789" s="82" t="n">
        <v>45165</v>
      </c>
      <c r="H789" s="87" t="n">
        <v>0.372824074074074</v>
      </c>
      <c r="I789" s="2" t="s">
        <v>356</v>
      </c>
      <c r="J789" s="2" t="s">
        <v>40</v>
      </c>
    </row>
    <row r="790" customFormat="false" ht="15" hidden="false" customHeight="false" outlineLevel="0" collapsed="false">
      <c r="A790" s="7" t="n">
        <v>789</v>
      </c>
      <c r="B790" s="7" t="s">
        <v>248</v>
      </c>
      <c r="C790" s="7" t="n">
        <v>58</v>
      </c>
      <c r="D790" s="7" t="n">
        <v>4</v>
      </c>
      <c r="E790" s="77" t="n">
        <v>44965</v>
      </c>
      <c r="F790" s="86" t="n">
        <v>0.763611111111111</v>
      </c>
      <c r="G790" s="77" t="n">
        <v>44972</v>
      </c>
      <c r="H790" s="86" t="n">
        <v>0.33369212962963</v>
      </c>
      <c r="I790" s="7" t="s">
        <v>195</v>
      </c>
      <c r="J790" s="7" t="s">
        <v>179</v>
      </c>
    </row>
    <row r="791" customFormat="false" ht="15" hidden="false" customHeight="false" outlineLevel="0" collapsed="false">
      <c r="A791" s="2" t="n">
        <v>790</v>
      </c>
      <c r="B791" s="2" t="s">
        <v>242</v>
      </c>
      <c r="C791" s="2" t="n">
        <v>26</v>
      </c>
      <c r="D791" s="2" t="n">
        <v>2</v>
      </c>
      <c r="E791" s="82" t="n">
        <v>44985</v>
      </c>
      <c r="F791" s="87" t="n">
        <v>0.252418981481482</v>
      </c>
      <c r="G791" s="82" t="n">
        <v>44993</v>
      </c>
      <c r="H791" s="87" t="n">
        <v>0.18099537037037</v>
      </c>
      <c r="I791" s="2" t="s">
        <v>308</v>
      </c>
      <c r="J791" s="2" t="s">
        <v>33</v>
      </c>
    </row>
    <row r="792" customFormat="false" ht="15" hidden="false" customHeight="false" outlineLevel="0" collapsed="false">
      <c r="A792" s="7" t="n">
        <v>791</v>
      </c>
      <c r="B792" s="7" t="s">
        <v>375</v>
      </c>
      <c r="C792" s="7" t="n">
        <v>51</v>
      </c>
      <c r="D792" s="7" t="n">
        <v>2</v>
      </c>
      <c r="E792" s="77" t="n">
        <v>45052</v>
      </c>
      <c r="F792" s="86" t="n">
        <v>0.1040625</v>
      </c>
      <c r="G792" s="77" t="n">
        <v>45055</v>
      </c>
      <c r="H792" s="86" t="n">
        <v>0.287361111111111</v>
      </c>
      <c r="I792" s="7" t="s">
        <v>262</v>
      </c>
      <c r="J792" s="7" t="s">
        <v>165</v>
      </c>
    </row>
    <row r="793" customFormat="false" ht="15" hidden="false" customHeight="false" outlineLevel="0" collapsed="false">
      <c r="A793" s="2" t="n">
        <v>792</v>
      </c>
      <c r="B793" s="2" t="s">
        <v>164</v>
      </c>
      <c r="C793" s="2" t="n">
        <v>43</v>
      </c>
      <c r="D793" s="2" t="n">
        <v>2</v>
      </c>
      <c r="E793" s="82" t="n">
        <v>45239</v>
      </c>
      <c r="F793" s="87" t="n">
        <v>0.292314814814815</v>
      </c>
      <c r="G793" s="82" t="n">
        <v>45240</v>
      </c>
      <c r="H793" s="87" t="n">
        <v>0.218194444444444</v>
      </c>
      <c r="I793" s="2" t="s">
        <v>496</v>
      </c>
      <c r="J793" s="2" t="s">
        <v>32</v>
      </c>
    </row>
    <row r="794" customFormat="false" ht="15" hidden="false" customHeight="false" outlineLevel="0" collapsed="false">
      <c r="A794" s="7" t="n">
        <v>793</v>
      </c>
      <c r="B794" s="7" t="s">
        <v>379</v>
      </c>
      <c r="C794" s="7" t="n">
        <v>58</v>
      </c>
      <c r="D794" s="7" t="n">
        <v>5</v>
      </c>
      <c r="E794" s="77" t="n">
        <v>44962</v>
      </c>
      <c r="F794" s="86" t="n">
        <v>0.734212962962963</v>
      </c>
      <c r="G794" s="77" t="n">
        <v>44972</v>
      </c>
      <c r="H794" s="86" t="n">
        <v>0.0613078703703704</v>
      </c>
      <c r="I794" s="7" t="s">
        <v>491</v>
      </c>
      <c r="J794" s="7" t="s">
        <v>179</v>
      </c>
    </row>
    <row r="795" customFormat="false" ht="15" hidden="false" customHeight="false" outlineLevel="0" collapsed="false">
      <c r="A795" s="2" t="n">
        <v>794</v>
      </c>
      <c r="B795" s="2" t="s">
        <v>336</v>
      </c>
      <c r="C795" s="2" t="n">
        <v>13</v>
      </c>
      <c r="D795" s="2" t="n">
        <v>4</v>
      </c>
      <c r="E795" s="82" t="n">
        <v>44989</v>
      </c>
      <c r="F795" s="87" t="n">
        <v>0.716643518518519</v>
      </c>
      <c r="G795" s="82" t="n">
        <v>44994</v>
      </c>
      <c r="H795" s="87" t="n">
        <v>0.618819444444445</v>
      </c>
      <c r="I795" s="2" t="s">
        <v>564</v>
      </c>
      <c r="J795" s="2" t="s">
        <v>33</v>
      </c>
    </row>
    <row r="796" customFormat="false" ht="15" hidden="false" customHeight="false" outlineLevel="0" collapsed="false">
      <c r="A796" s="7" t="n">
        <v>795</v>
      </c>
      <c r="B796" s="7" t="s">
        <v>311</v>
      </c>
      <c r="C796" s="7" t="n">
        <v>7</v>
      </c>
      <c r="D796" s="7" t="n">
        <v>1</v>
      </c>
      <c r="E796" s="77" t="n">
        <v>44988</v>
      </c>
      <c r="F796" s="86" t="n">
        <v>0.749027777777778</v>
      </c>
      <c r="G796" s="77" t="n">
        <v>44992</v>
      </c>
      <c r="H796" s="86" t="n">
        <v>0.92900462962963</v>
      </c>
      <c r="I796" s="7" t="s">
        <v>599</v>
      </c>
      <c r="J796" s="7" t="s">
        <v>33</v>
      </c>
    </row>
    <row r="797" customFormat="false" ht="15" hidden="false" customHeight="false" outlineLevel="0" collapsed="false">
      <c r="A797" s="2" t="n">
        <v>796</v>
      </c>
      <c r="B797" s="2" t="s">
        <v>127</v>
      </c>
      <c r="C797" s="2" t="n">
        <v>61</v>
      </c>
      <c r="D797" s="2" t="n">
        <v>4</v>
      </c>
      <c r="E797" s="82" t="n">
        <v>45051</v>
      </c>
      <c r="F797" s="87" t="n">
        <v>0.328773148148148</v>
      </c>
      <c r="G797" s="82" t="n">
        <v>45060</v>
      </c>
      <c r="H797" s="87" t="n">
        <v>0.339178240740741</v>
      </c>
      <c r="I797" s="2" t="s">
        <v>539</v>
      </c>
      <c r="J797" s="2" t="s">
        <v>168</v>
      </c>
    </row>
    <row r="798" customFormat="false" ht="15" hidden="false" customHeight="false" outlineLevel="0" collapsed="false">
      <c r="A798" s="7" t="n">
        <v>797</v>
      </c>
      <c r="B798" s="7" t="s">
        <v>245</v>
      </c>
      <c r="C798" s="7" t="n">
        <v>13</v>
      </c>
      <c r="D798" s="7" t="n">
        <v>2</v>
      </c>
      <c r="E798" s="77" t="n">
        <v>44988</v>
      </c>
      <c r="F798" s="86" t="n">
        <v>0.87349537037037</v>
      </c>
      <c r="G798" s="77" t="n">
        <v>44995</v>
      </c>
      <c r="H798" s="86" t="n">
        <v>0.186840277777778</v>
      </c>
      <c r="I798" s="7" t="s">
        <v>595</v>
      </c>
      <c r="J798" s="7" t="s">
        <v>33</v>
      </c>
    </row>
    <row r="799" customFormat="false" ht="15" hidden="false" customHeight="false" outlineLevel="0" collapsed="false">
      <c r="A799" s="2" t="n">
        <v>798</v>
      </c>
      <c r="B799" s="2" t="s">
        <v>233</v>
      </c>
      <c r="C799" s="2" t="n">
        <v>30</v>
      </c>
      <c r="D799" s="2" t="n">
        <v>5</v>
      </c>
      <c r="E799" s="82" t="n">
        <v>45277</v>
      </c>
      <c r="F799" s="87" t="n">
        <v>0.732847222222222</v>
      </c>
      <c r="G799" s="82" t="n">
        <v>45286</v>
      </c>
      <c r="H799" s="87" t="n">
        <v>0.0778819444444445</v>
      </c>
      <c r="I799" s="2" t="s">
        <v>578</v>
      </c>
      <c r="J799" s="2" t="s">
        <v>168</v>
      </c>
    </row>
    <row r="800" customFormat="false" ht="15" hidden="false" customHeight="false" outlineLevel="0" collapsed="false">
      <c r="A800" s="7" t="n">
        <v>799</v>
      </c>
      <c r="B800" s="7" t="s">
        <v>350</v>
      </c>
      <c r="C800" s="7" t="n">
        <v>32</v>
      </c>
      <c r="D800" s="7" t="n">
        <v>5</v>
      </c>
      <c r="E800" s="77" t="n">
        <v>45221</v>
      </c>
      <c r="F800" s="86" t="n">
        <v>0.0764930555555556</v>
      </c>
      <c r="G800" s="77" t="n">
        <v>45231</v>
      </c>
      <c r="H800" s="86" t="n">
        <v>0.848912037037037</v>
      </c>
      <c r="I800" s="7" t="s">
        <v>525</v>
      </c>
      <c r="J800" s="7" t="s">
        <v>31</v>
      </c>
    </row>
    <row r="801" customFormat="false" ht="15" hidden="false" customHeight="false" outlineLevel="0" collapsed="false">
      <c r="A801" s="2" t="n">
        <v>800</v>
      </c>
      <c r="B801" s="2" t="s">
        <v>161</v>
      </c>
      <c r="C801" s="2" t="n">
        <v>24</v>
      </c>
      <c r="D801" s="2" t="n">
        <v>5</v>
      </c>
      <c r="E801" s="82" t="n">
        <v>45094</v>
      </c>
      <c r="F801" s="87" t="n">
        <v>0.909976851851852</v>
      </c>
      <c r="G801" s="82" t="n">
        <v>45098</v>
      </c>
      <c r="H801" s="87" t="n">
        <v>0.30068287037037</v>
      </c>
      <c r="I801" s="2" t="s">
        <v>475</v>
      </c>
      <c r="J801" s="2" t="s">
        <v>31</v>
      </c>
    </row>
    <row r="802" customFormat="false" ht="15" hidden="false" customHeight="false" outlineLevel="0" collapsed="false">
      <c r="A802" s="7" t="n">
        <v>801</v>
      </c>
      <c r="B802" s="7" t="s">
        <v>278</v>
      </c>
      <c r="C802" s="7" t="n">
        <v>35</v>
      </c>
      <c r="D802" s="7" t="n">
        <v>1</v>
      </c>
      <c r="E802" s="77" t="n">
        <v>44992</v>
      </c>
      <c r="F802" s="86" t="n">
        <v>0.802638888888889</v>
      </c>
      <c r="G802" s="77" t="n">
        <v>45000</v>
      </c>
      <c r="H802" s="86" t="n">
        <v>0.274444444444444</v>
      </c>
      <c r="I802" s="7" t="s">
        <v>352</v>
      </c>
      <c r="J802" s="7" t="s">
        <v>33</v>
      </c>
    </row>
    <row r="803" customFormat="false" ht="15" hidden="false" customHeight="false" outlineLevel="0" collapsed="false">
      <c r="A803" s="2" t="n">
        <v>802</v>
      </c>
      <c r="B803" s="2" t="s">
        <v>385</v>
      </c>
      <c r="C803" s="2" t="n">
        <v>45</v>
      </c>
      <c r="D803" s="2" t="n">
        <v>3</v>
      </c>
      <c r="E803" s="82" t="n">
        <v>45008</v>
      </c>
      <c r="F803" s="87" t="n">
        <v>0.525960648148148</v>
      </c>
      <c r="G803" s="82" t="n">
        <v>45011</v>
      </c>
      <c r="H803" s="87" t="n">
        <v>0.263194444444445</v>
      </c>
      <c r="I803" s="2" t="s">
        <v>349</v>
      </c>
      <c r="J803" s="2" t="s">
        <v>31</v>
      </c>
    </row>
    <row r="804" customFormat="false" ht="15" hidden="false" customHeight="false" outlineLevel="0" collapsed="false">
      <c r="A804" s="7" t="n">
        <v>803</v>
      </c>
      <c r="B804" s="7" t="s">
        <v>224</v>
      </c>
      <c r="C804" s="7" t="n">
        <v>26</v>
      </c>
      <c r="D804" s="7" t="n">
        <v>1</v>
      </c>
      <c r="E804" s="77" t="n">
        <v>44988</v>
      </c>
      <c r="F804" s="86" t="n">
        <v>0.502638888888889</v>
      </c>
      <c r="G804" s="77" t="n">
        <v>44995</v>
      </c>
      <c r="H804" s="86" t="n">
        <v>0.118113425925926</v>
      </c>
      <c r="I804" s="7" t="s">
        <v>554</v>
      </c>
      <c r="J804" s="7" t="s">
        <v>33</v>
      </c>
    </row>
    <row r="805" customFormat="false" ht="15" hidden="false" customHeight="false" outlineLevel="0" collapsed="false">
      <c r="A805" s="2" t="n">
        <v>804</v>
      </c>
      <c r="B805" s="2" t="s">
        <v>148</v>
      </c>
      <c r="C805" s="2" t="n">
        <v>3</v>
      </c>
      <c r="D805" s="2" t="n">
        <v>3</v>
      </c>
      <c r="E805" s="82" t="n">
        <v>44962</v>
      </c>
      <c r="F805" s="87" t="n">
        <v>0.234236111111111</v>
      </c>
      <c r="G805" s="82" t="n">
        <v>44964</v>
      </c>
      <c r="H805" s="87" t="n">
        <v>0.082037037037037</v>
      </c>
      <c r="I805" s="2" t="s">
        <v>335</v>
      </c>
      <c r="J805" s="2" t="s">
        <v>179</v>
      </c>
    </row>
    <row r="806" customFormat="false" ht="15" hidden="false" customHeight="false" outlineLevel="0" collapsed="false">
      <c r="A806" s="7" t="n">
        <v>805</v>
      </c>
      <c r="B806" s="7" t="s">
        <v>194</v>
      </c>
      <c r="C806" s="7" t="n">
        <v>24</v>
      </c>
      <c r="D806" s="7" t="n">
        <v>3</v>
      </c>
      <c r="E806" s="77" t="n">
        <v>45088</v>
      </c>
      <c r="F806" s="86" t="n">
        <v>0.610509259259259</v>
      </c>
      <c r="G806" s="77" t="n">
        <v>45091</v>
      </c>
      <c r="H806" s="86" t="n">
        <v>0.755081018518519</v>
      </c>
      <c r="I806" s="7" t="s">
        <v>203</v>
      </c>
      <c r="J806" s="7" t="s">
        <v>31</v>
      </c>
    </row>
    <row r="807" customFormat="false" ht="15" hidden="false" customHeight="false" outlineLevel="0" collapsed="false">
      <c r="A807" s="2" t="n">
        <v>806</v>
      </c>
      <c r="B807" s="2" t="s">
        <v>360</v>
      </c>
      <c r="C807" s="2" t="n">
        <v>29</v>
      </c>
      <c r="D807" s="2" t="n">
        <v>2</v>
      </c>
      <c r="E807" s="82" t="n">
        <v>44985</v>
      </c>
      <c r="F807" s="87" t="n">
        <v>0.542615740740741</v>
      </c>
      <c r="G807" s="82" t="n">
        <v>44993</v>
      </c>
      <c r="H807" s="87" t="n">
        <v>0.277060185185185</v>
      </c>
      <c r="I807" s="2" t="s">
        <v>440</v>
      </c>
      <c r="J807" s="2" t="s">
        <v>33</v>
      </c>
    </row>
    <row r="808" customFormat="false" ht="15" hidden="false" customHeight="false" outlineLevel="0" collapsed="false">
      <c r="A808" s="7" t="n">
        <v>807</v>
      </c>
      <c r="B808" s="7" t="s">
        <v>139</v>
      </c>
      <c r="C808" s="7" t="n">
        <v>40</v>
      </c>
      <c r="D808" s="7" t="n">
        <v>4</v>
      </c>
      <c r="E808" s="77" t="n">
        <v>45259</v>
      </c>
      <c r="F808" s="86" t="n">
        <v>0.680775462962963</v>
      </c>
      <c r="G808" s="77" t="n">
        <v>45269</v>
      </c>
      <c r="H808" s="86" t="n">
        <v>0.131909722222222</v>
      </c>
      <c r="I808" s="7" t="s">
        <v>259</v>
      </c>
      <c r="J808" s="7" t="s">
        <v>168</v>
      </c>
    </row>
    <row r="809" customFormat="false" ht="15" hidden="false" customHeight="false" outlineLevel="0" collapsed="false">
      <c r="A809" s="2" t="n">
        <v>808</v>
      </c>
      <c r="B809" s="2" t="s">
        <v>127</v>
      </c>
      <c r="C809" s="2" t="n">
        <v>9</v>
      </c>
      <c r="D809" s="2" t="n">
        <v>2</v>
      </c>
      <c r="E809" s="82" t="n">
        <v>45167</v>
      </c>
      <c r="F809" s="87" t="n">
        <v>0.650451388888889</v>
      </c>
      <c r="G809" s="82" t="n">
        <v>45168</v>
      </c>
      <c r="H809" s="87" t="n">
        <v>0.424548611111111</v>
      </c>
      <c r="I809" s="2" t="s">
        <v>546</v>
      </c>
      <c r="J809" s="2" t="s">
        <v>40</v>
      </c>
    </row>
    <row r="810" customFormat="false" ht="15" hidden="false" customHeight="false" outlineLevel="0" collapsed="false">
      <c r="A810" s="7" t="n">
        <v>809</v>
      </c>
      <c r="B810" s="7" t="s">
        <v>288</v>
      </c>
      <c r="C810" s="7" t="n">
        <v>35</v>
      </c>
      <c r="D810" s="7" t="n">
        <v>1</v>
      </c>
      <c r="E810" s="77" t="n">
        <v>44992</v>
      </c>
      <c r="F810" s="86" t="n">
        <v>0.82693287037037</v>
      </c>
      <c r="G810" s="77" t="n">
        <v>45002</v>
      </c>
      <c r="H810" s="86" t="n">
        <v>0.0774768518518519</v>
      </c>
      <c r="I810" s="7" t="s">
        <v>474</v>
      </c>
      <c r="J810" s="7" t="s">
        <v>33</v>
      </c>
    </row>
    <row r="811" customFormat="false" ht="15" hidden="false" customHeight="false" outlineLevel="0" collapsed="false">
      <c r="A811" s="2" t="n">
        <v>810</v>
      </c>
      <c r="B811" s="2" t="s">
        <v>281</v>
      </c>
      <c r="C811" s="2" t="n">
        <v>24</v>
      </c>
      <c r="D811" s="2" t="n">
        <v>3</v>
      </c>
      <c r="E811" s="82" t="n">
        <v>45275</v>
      </c>
      <c r="F811" s="87" t="n">
        <v>0.248078703703704</v>
      </c>
      <c r="G811" s="82" t="n">
        <v>45277</v>
      </c>
      <c r="H811" s="87" t="n">
        <v>0.504074074074074</v>
      </c>
      <c r="I811" s="2" t="s">
        <v>510</v>
      </c>
      <c r="J811" s="2" t="s">
        <v>31</v>
      </c>
    </row>
    <row r="812" customFormat="false" ht="15" hidden="false" customHeight="false" outlineLevel="0" collapsed="false">
      <c r="A812" s="7" t="n">
        <v>811</v>
      </c>
      <c r="B812" s="7" t="s">
        <v>176</v>
      </c>
      <c r="C812" s="7" t="n">
        <v>14</v>
      </c>
      <c r="D812" s="7" t="n">
        <v>5</v>
      </c>
      <c r="E812" s="77" t="n">
        <v>45217</v>
      </c>
      <c r="F812" s="86" t="n">
        <v>0.502905092592593</v>
      </c>
      <c r="G812" s="77" t="n">
        <v>45224</v>
      </c>
      <c r="H812" s="86" t="n">
        <v>0.913796296296296</v>
      </c>
      <c r="I812" s="7" t="s">
        <v>214</v>
      </c>
      <c r="J812" s="7" t="s">
        <v>31</v>
      </c>
    </row>
    <row r="813" customFormat="false" ht="15" hidden="false" customHeight="false" outlineLevel="0" collapsed="false">
      <c r="A813" s="2" t="n">
        <v>812</v>
      </c>
      <c r="B813" s="2" t="s">
        <v>278</v>
      </c>
      <c r="C813" s="2" t="n">
        <v>40</v>
      </c>
      <c r="D813" s="2" t="n">
        <v>2</v>
      </c>
      <c r="E813" s="82" t="n">
        <v>45272</v>
      </c>
      <c r="F813" s="87" t="n">
        <v>0.722094907407407</v>
      </c>
      <c r="G813" s="82" t="n">
        <v>45274</v>
      </c>
      <c r="H813" s="87" t="n">
        <v>0.0614814814814815</v>
      </c>
      <c r="I813" s="2" t="s">
        <v>514</v>
      </c>
      <c r="J813" s="2" t="s">
        <v>168</v>
      </c>
    </row>
    <row r="814" customFormat="false" ht="15" hidden="false" customHeight="false" outlineLevel="0" collapsed="false">
      <c r="A814" s="7" t="n">
        <v>813</v>
      </c>
      <c r="B814" s="7" t="s">
        <v>377</v>
      </c>
      <c r="C814" s="7" t="n">
        <v>32</v>
      </c>
      <c r="D814" s="7" t="n">
        <v>4</v>
      </c>
      <c r="E814" s="77" t="n">
        <v>44945</v>
      </c>
      <c r="F814" s="86" t="n">
        <v>0.370636574074074</v>
      </c>
      <c r="G814" s="77" t="n">
        <v>44949</v>
      </c>
      <c r="H814" s="86" t="n">
        <v>0.917372685185185</v>
      </c>
      <c r="I814" s="7" t="s">
        <v>250</v>
      </c>
      <c r="J814" s="7" t="s">
        <v>31</v>
      </c>
    </row>
    <row r="815" customFormat="false" ht="15" hidden="false" customHeight="false" outlineLevel="0" collapsed="false">
      <c r="A815" s="2" t="n">
        <v>814</v>
      </c>
      <c r="B815" s="2" t="s">
        <v>377</v>
      </c>
      <c r="C815" s="2" t="n">
        <v>47</v>
      </c>
      <c r="D815" s="2" t="n">
        <v>5</v>
      </c>
      <c r="E815" s="82" t="n">
        <v>44990</v>
      </c>
      <c r="F815" s="87" t="n">
        <v>0.0828703703703704</v>
      </c>
      <c r="G815" s="82" t="n">
        <v>44999</v>
      </c>
      <c r="H815" s="87" t="n">
        <v>0.195324074074074</v>
      </c>
      <c r="I815" s="2" t="s">
        <v>469</v>
      </c>
      <c r="J815" s="2" t="s">
        <v>33</v>
      </c>
    </row>
    <row r="816" customFormat="false" ht="15" hidden="false" customHeight="false" outlineLevel="0" collapsed="false">
      <c r="A816" s="7" t="n">
        <v>815</v>
      </c>
      <c r="B816" s="7" t="s">
        <v>388</v>
      </c>
      <c r="C816" s="7" t="n">
        <v>61</v>
      </c>
      <c r="D816" s="7" t="n">
        <v>3</v>
      </c>
      <c r="E816" s="77" t="n">
        <v>45198</v>
      </c>
      <c r="F816" s="86" t="n">
        <v>0.297372685185185</v>
      </c>
      <c r="G816" s="77" t="n">
        <v>45207</v>
      </c>
      <c r="H816" s="86" t="n">
        <v>0.615486111111111</v>
      </c>
      <c r="I816" s="7" t="s">
        <v>235</v>
      </c>
      <c r="J816" s="7" t="s">
        <v>168</v>
      </c>
    </row>
    <row r="817" customFormat="false" ht="15" hidden="false" customHeight="false" outlineLevel="0" collapsed="false">
      <c r="A817" s="2" t="n">
        <v>816</v>
      </c>
      <c r="B817" s="2" t="s">
        <v>230</v>
      </c>
      <c r="C817" s="2" t="n">
        <v>35</v>
      </c>
      <c r="D817" s="2" t="n">
        <v>3</v>
      </c>
      <c r="E817" s="82" t="n">
        <v>44985</v>
      </c>
      <c r="F817" s="87" t="n">
        <v>0.822511574074074</v>
      </c>
      <c r="G817" s="82" t="n">
        <v>44995</v>
      </c>
      <c r="H817" s="87" t="n">
        <v>0.57056712962963</v>
      </c>
      <c r="I817" s="2" t="s">
        <v>599</v>
      </c>
      <c r="J817" s="2" t="s">
        <v>33</v>
      </c>
    </row>
    <row r="818" customFormat="false" ht="15" hidden="false" customHeight="false" outlineLevel="0" collapsed="false">
      <c r="A818" s="7" t="n">
        <v>817</v>
      </c>
      <c r="B818" s="7" t="s">
        <v>300</v>
      </c>
      <c r="C818" s="7" t="n">
        <v>21</v>
      </c>
      <c r="D818" s="7" t="n">
        <v>2</v>
      </c>
      <c r="E818" s="77" t="n">
        <v>45166</v>
      </c>
      <c r="F818" s="86" t="n">
        <v>0.234027777777778</v>
      </c>
      <c r="G818" s="77" t="n">
        <v>45170</v>
      </c>
      <c r="H818" s="86" t="n">
        <v>0.920173611111111</v>
      </c>
      <c r="I818" s="7" t="s">
        <v>430</v>
      </c>
      <c r="J818" s="7" t="s">
        <v>40</v>
      </c>
    </row>
    <row r="819" customFormat="false" ht="15" hidden="false" customHeight="false" outlineLevel="0" collapsed="false">
      <c r="A819" s="2" t="n">
        <v>818</v>
      </c>
      <c r="B819" s="2" t="s">
        <v>133</v>
      </c>
      <c r="C819" s="2" t="n">
        <v>8</v>
      </c>
      <c r="D819" s="2" t="n">
        <v>4</v>
      </c>
      <c r="E819" s="82" t="n">
        <v>44987</v>
      </c>
      <c r="F819" s="87" t="n">
        <v>0.327152777777778</v>
      </c>
      <c r="G819" s="82" t="n">
        <v>44994</v>
      </c>
      <c r="H819" s="87" t="n">
        <v>0.380335648148148</v>
      </c>
      <c r="I819" s="2" t="s">
        <v>589</v>
      </c>
      <c r="J819" s="2" t="s">
        <v>168</v>
      </c>
    </row>
    <row r="820" customFormat="false" ht="15" hidden="false" customHeight="false" outlineLevel="0" collapsed="false">
      <c r="A820" s="7" t="n">
        <v>819</v>
      </c>
      <c r="B820" s="7" t="s">
        <v>260</v>
      </c>
      <c r="C820" s="7" t="n">
        <v>55</v>
      </c>
      <c r="D820" s="7" t="n">
        <v>5</v>
      </c>
      <c r="E820" s="77" t="n">
        <v>45160</v>
      </c>
      <c r="F820" s="86" t="n">
        <v>0.545405092592593</v>
      </c>
      <c r="G820" s="77" t="n">
        <v>45162</v>
      </c>
      <c r="H820" s="86" t="n">
        <v>0.064212962962963</v>
      </c>
      <c r="I820" s="7" t="s">
        <v>466</v>
      </c>
      <c r="J820" s="7" t="s">
        <v>40</v>
      </c>
    </row>
    <row r="821" customFormat="false" ht="15" hidden="false" customHeight="false" outlineLevel="0" collapsed="false">
      <c r="A821" s="2" t="n">
        <v>820</v>
      </c>
      <c r="B821" s="2" t="s">
        <v>204</v>
      </c>
      <c r="C821" s="2" t="n">
        <v>64</v>
      </c>
      <c r="D821" s="2" t="n">
        <v>3</v>
      </c>
      <c r="E821" s="82" t="n">
        <v>45160</v>
      </c>
      <c r="F821" s="87" t="n">
        <v>0.244247685185185</v>
      </c>
      <c r="G821" s="82" t="n">
        <v>45164</v>
      </c>
      <c r="H821" s="87" t="n">
        <v>0.203043981481482</v>
      </c>
      <c r="I821" s="2" t="s">
        <v>406</v>
      </c>
      <c r="J821" s="2" t="s">
        <v>40</v>
      </c>
    </row>
    <row r="822" customFormat="false" ht="15" hidden="false" customHeight="false" outlineLevel="0" collapsed="false">
      <c r="A822" s="7" t="n">
        <v>821</v>
      </c>
      <c r="B822" s="7" t="s">
        <v>254</v>
      </c>
      <c r="C822" s="7" t="n">
        <v>32</v>
      </c>
      <c r="D822" s="7" t="n">
        <v>4</v>
      </c>
      <c r="E822" s="77" t="n">
        <v>44984</v>
      </c>
      <c r="F822" s="86" t="n">
        <v>0.844108796296296</v>
      </c>
      <c r="G822" s="77" t="n">
        <v>44992</v>
      </c>
      <c r="H822" s="86" t="n">
        <v>0.948611111111111</v>
      </c>
      <c r="I822" s="7" t="s">
        <v>203</v>
      </c>
      <c r="J822" s="7" t="s">
        <v>31</v>
      </c>
    </row>
    <row r="823" customFormat="false" ht="15" hidden="false" customHeight="false" outlineLevel="0" collapsed="false">
      <c r="A823" s="2" t="n">
        <v>822</v>
      </c>
      <c r="B823" s="2" t="s">
        <v>325</v>
      </c>
      <c r="C823" s="2" t="n">
        <v>41</v>
      </c>
      <c r="D823" s="2" t="n">
        <v>5</v>
      </c>
      <c r="E823" s="82" t="n">
        <v>45239</v>
      </c>
      <c r="F823" s="87" t="n">
        <v>0.141041666666667</v>
      </c>
      <c r="G823" s="82" t="n">
        <v>45242</v>
      </c>
      <c r="H823" s="87" t="n">
        <v>0.177280092592593</v>
      </c>
      <c r="I823" s="2" t="s">
        <v>424</v>
      </c>
      <c r="J823" s="2" t="s">
        <v>32</v>
      </c>
    </row>
    <row r="824" customFormat="false" ht="15" hidden="false" customHeight="false" outlineLevel="0" collapsed="false">
      <c r="A824" s="7" t="n">
        <v>823</v>
      </c>
      <c r="B824" s="7" t="s">
        <v>357</v>
      </c>
      <c r="C824" s="7" t="n">
        <v>64</v>
      </c>
      <c r="D824" s="7" t="n">
        <v>3</v>
      </c>
      <c r="E824" s="77" t="n">
        <v>45165</v>
      </c>
      <c r="F824" s="86" t="n">
        <v>0.641261574074074</v>
      </c>
      <c r="G824" s="77" t="n">
        <v>45170</v>
      </c>
      <c r="H824" s="86" t="n">
        <v>0.619907407407408</v>
      </c>
      <c r="I824" s="7" t="s">
        <v>147</v>
      </c>
      <c r="J824" s="7" t="s">
        <v>40</v>
      </c>
    </row>
    <row r="825" customFormat="false" ht="15" hidden="false" customHeight="false" outlineLevel="0" collapsed="false">
      <c r="A825" s="2" t="n">
        <v>824</v>
      </c>
      <c r="B825" s="2" t="s">
        <v>385</v>
      </c>
      <c r="C825" s="2" t="n">
        <v>46</v>
      </c>
      <c r="D825" s="2" t="n">
        <v>4</v>
      </c>
      <c r="E825" s="82" t="n">
        <v>45052</v>
      </c>
      <c r="F825" s="87" t="n">
        <v>0.33068287037037</v>
      </c>
      <c r="G825" s="82" t="n">
        <v>45053</v>
      </c>
      <c r="H825" s="87" t="n">
        <v>0.641574074074074</v>
      </c>
      <c r="I825" s="2" t="s">
        <v>498</v>
      </c>
      <c r="J825" s="2" t="s">
        <v>168</v>
      </c>
    </row>
    <row r="826" customFormat="false" ht="15" hidden="false" customHeight="false" outlineLevel="0" collapsed="false">
      <c r="A826" s="7" t="n">
        <v>825</v>
      </c>
      <c r="B826" s="7" t="s">
        <v>236</v>
      </c>
      <c r="C826" s="7" t="n">
        <v>25</v>
      </c>
      <c r="D826" s="7" t="n">
        <v>5</v>
      </c>
      <c r="E826" s="77" t="n">
        <v>45107</v>
      </c>
      <c r="F826" s="86" t="n">
        <v>0.451666666666667</v>
      </c>
      <c r="G826" s="77" t="n">
        <v>45108</v>
      </c>
      <c r="H826" s="86" t="n">
        <v>0.755601851851852</v>
      </c>
      <c r="I826" s="7" t="s">
        <v>509</v>
      </c>
      <c r="J826" s="7" t="s">
        <v>168</v>
      </c>
    </row>
    <row r="827" customFormat="false" ht="15" hidden="false" customHeight="false" outlineLevel="0" collapsed="false">
      <c r="A827" s="2" t="n">
        <v>826</v>
      </c>
      <c r="B827" s="2" t="s">
        <v>331</v>
      </c>
      <c r="C827" s="2" t="n">
        <v>16</v>
      </c>
      <c r="D827" s="2" t="n">
        <v>5</v>
      </c>
      <c r="E827" s="82" t="n">
        <v>44987</v>
      </c>
      <c r="F827" s="87" t="n">
        <v>0.834803240740741</v>
      </c>
      <c r="G827" s="82" t="n">
        <v>44993</v>
      </c>
      <c r="H827" s="87" t="n">
        <v>0.261319444444444</v>
      </c>
      <c r="I827" s="2" t="s">
        <v>597</v>
      </c>
      <c r="J827" s="2" t="s">
        <v>33</v>
      </c>
    </row>
    <row r="828" customFormat="false" ht="15" hidden="false" customHeight="false" outlineLevel="0" collapsed="false">
      <c r="A828" s="7" t="n">
        <v>827</v>
      </c>
      <c r="B828" s="7" t="s">
        <v>355</v>
      </c>
      <c r="C828" s="7" t="n">
        <v>9</v>
      </c>
      <c r="D828" s="7" t="n">
        <v>1</v>
      </c>
      <c r="E828" s="77" t="n">
        <v>45167</v>
      </c>
      <c r="F828" s="86" t="n">
        <v>0.924143518518519</v>
      </c>
      <c r="G828" s="77" t="n">
        <v>45168</v>
      </c>
      <c r="H828" s="86" t="n">
        <v>0.0360532407407407</v>
      </c>
      <c r="I828" s="7" t="s">
        <v>580</v>
      </c>
      <c r="J828" s="7" t="s">
        <v>40</v>
      </c>
    </row>
    <row r="829" customFormat="false" ht="15" hidden="false" customHeight="false" outlineLevel="0" collapsed="false">
      <c r="A829" s="2" t="n">
        <v>828</v>
      </c>
      <c r="B829" s="2" t="s">
        <v>236</v>
      </c>
      <c r="C829" s="2" t="n">
        <v>8</v>
      </c>
      <c r="D829" s="2" t="n">
        <v>3</v>
      </c>
      <c r="E829" s="82" t="n">
        <v>45223</v>
      </c>
      <c r="F829" s="87" t="n">
        <v>0.69931712962963</v>
      </c>
      <c r="G829" s="82" t="n">
        <v>45231</v>
      </c>
      <c r="H829" s="87" t="n">
        <v>0.929837962962963</v>
      </c>
      <c r="I829" s="2" t="s">
        <v>402</v>
      </c>
      <c r="J829" s="2" t="s">
        <v>168</v>
      </c>
    </row>
    <row r="830" customFormat="false" ht="15" hidden="false" customHeight="false" outlineLevel="0" collapsed="false">
      <c r="A830" s="7" t="n">
        <v>829</v>
      </c>
      <c r="B830" s="7" t="s">
        <v>176</v>
      </c>
      <c r="C830" s="7" t="n">
        <v>42</v>
      </c>
      <c r="D830" s="7" t="n">
        <v>4</v>
      </c>
      <c r="E830" s="77" t="n">
        <v>45279</v>
      </c>
      <c r="F830" s="86" t="n">
        <v>0.774780092592593</v>
      </c>
      <c r="G830" s="77" t="n">
        <v>45286</v>
      </c>
      <c r="H830" s="86" t="n">
        <v>0.429212962962963</v>
      </c>
      <c r="I830" s="7" t="s">
        <v>608</v>
      </c>
      <c r="J830" s="7" t="s">
        <v>165</v>
      </c>
    </row>
    <row r="831" customFormat="false" ht="15" hidden="false" customHeight="false" outlineLevel="0" collapsed="false">
      <c r="A831" s="2" t="n">
        <v>830</v>
      </c>
      <c r="B831" s="2" t="s">
        <v>142</v>
      </c>
      <c r="C831" s="2" t="n">
        <v>46</v>
      </c>
      <c r="D831" s="2" t="n">
        <v>2</v>
      </c>
      <c r="E831" s="82" t="n">
        <v>44938</v>
      </c>
      <c r="F831" s="87" t="n">
        <v>0.804780092592593</v>
      </c>
      <c r="G831" s="82" t="n">
        <v>44941</v>
      </c>
      <c r="H831" s="87" t="n">
        <v>0.211354166666667</v>
      </c>
      <c r="I831" s="2" t="s">
        <v>424</v>
      </c>
      <c r="J831" s="2" t="s">
        <v>168</v>
      </c>
    </row>
    <row r="832" customFormat="false" ht="15" hidden="false" customHeight="false" outlineLevel="0" collapsed="false">
      <c r="A832" s="7" t="n">
        <v>831</v>
      </c>
      <c r="B832" s="7" t="s">
        <v>336</v>
      </c>
      <c r="C832" s="7" t="n">
        <v>56</v>
      </c>
      <c r="D832" s="7" t="n">
        <v>5</v>
      </c>
      <c r="E832" s="77" t="n">
        <v>45070</v>
      </c>
      <c r="F832" s="86" t="n">
        <v>0.778854166666667</v>
      </c>
      <c r="G832" s="77" t="n">
        <v>45080</v>
      </c>
      <c r="H832" s="86" t="n">
        <v>0.796030092592593</v>
      </c>
      <c r="I832" s="7" t="s">
        <v>538</v>
      </c>
      <c r="J832" s="7" t="s">
        <v>168</v>
      </c>
    </row>
    <row r="833" customFormat="false" ht="15" hidden="false" customHeight="false" outlineLevel="0" collapsed="false">
      <c r="A833" s="2" t="n">
        <v>832</v>
      </c>
      <c r="B833" s="2" t="s">
        <v>190</v>
      </c>
      <c r="C833" s="2" t="n">
        <v>65</v>
      </c>
      <c r="D833" s="2" t="n">
        <v>4</v>
      </c>
      <c r="E833" s="82" t="n">
        <v>44958</v>
      </c>
      <c r="F833" s="87" t="n">
        <v>0.789166666666667</v>
      </c>
      <c r="G833" s="82" t="n">
        <v>44967</v>
      </c>
      <c r="H833" s="87" t="n">
        <v>0.0968634259259259</v>
      </c>
      <c r="I833" s="2" t="s">
        <v>365</v>
      </c>
      <c r="J833" s="2" t="s">
        <v>165</v>
      </c>
    </row>
    <row r="834" customFormat="false" ht="15" hidden="false" customHeight="false" outlineLevel="0" collapsed="false">
      <c r="A834" s="7" t="n">
        <v>833</v>
      </c>
      <c r="B834" s="7" t="s">
        <v>127</v>
      </c>
      <c r="C834" s="7" t="n">
        <v>26</v>
      </c>
      <c r="D834" s="7" t="n">
        <v>3</v>
      </c>
      <c r="E834" s="77" t="n">
        <v>44990</v>
      </c>
      <c r="F834" s="86" t="n">
        <v>0.0283333333333333</v>
      </c>
      <c r="G834" s="77" t="n">
        <v>44998</v>
      </c>
      <c r="H834" s="86" t="n">
        <v>0.0696412037037037</v>
      </c>
      <c r="I834" s="7" t="s">
        <v>562</v>
      </c>
      <c r="J834" s="7" t="s">
        <v>33</v>
      </c>
    </row>
    <row r="835" customFormat="false" ht="15" hidden="false" customHeight="false" outlineLevel="0" collapsed="false">
      <c r="A835" s="2" t="n">
        <v>834</v>
      </c>
      <c r="B835" s="2" t="s">
        <v>196</v>
      </c>
      <c r="C835" s="2" t="n">
        <v>60</v>
      </c>
      <c r="D835" s="2" t="n">
        <v>5</v>
      </c>
      <c r="E835" s="82" t="n">
        <v>45233</v>
      </c>
      <c r="F835" s="87" t="n">
        <v>0.774537037037037</v>
      </c>
      <c r="G835" s="82" t="n">
        <v>45242</v>
      </c>
      <c r="H835" s="87" t="n">
        <v>0.584594907407407</v>
      </c>
      <c r="I835" s="2" t="s">
        <v>589</v>
      </c>
      <c r="J835" s="2" t="s">
        <v>32</v>
      </c>
    </row>
    <row r="836" customFormat="false" ht="15" hidden="false" customHeight="false" outlineLevel="0" collapsed="false">
      <c r="A836" s="7" t="n">
        <v>835</v>
      </c>
      <c r="B836" s="7" t="s">
        <v>363</v>
      </c>
      <c r="C836" s="7" t="n">
        <v>32</v>
      </c>
      <c r="D836" s="7" t="n">
        <v>2</v>
      </c>
      <c r="E836" s="77" t="n">
        <v>45112</v>
      </c>
      <c r="F836" s="86" t="n">
        <v>0.733252314814815</v>
      </c>
      <c r="G836" s="77" t="n">
        <v>45113</v>
      </c>
      <c r="H836" s="86" t="n">
        <v>0.982071759259259</v>
      </c>
      <c r="I836" s="7" t="s">
        <v>315</v>
      </c>
      <c r="J836" s="7" t="s">
        <v>31</v>
      </c>
    </row>
    <row r="837" customFormat="false" ht="15" hidden="false" customHeight="false" outlineLevel="0" collapsed="false">
      <c r="A837" s="2" t="n">
        <v>836</v>
      </c>
      <c r="B837" s="2" t="s">
        <v>176</v>
      </c>
      <c r="C837" s="2" t="n">
        <v>44</v>
      </c>
      <c r="D837" s="2" t="n">
        <v>5</v>
      </c>
      <c r="E837" s="82" t="n">
        <v>45238</v>
      </c>
      <c r="F837" s="87" t="n">
        <v>0.108391203703704</v>
      </c>
      <c r="G837" s="82" t="n">
        <v>45241</v>
      </c>
      <c r="H837" s="87" t="n">
        <v>0.132951388888889</v>
      </c>
      <c r="I837" s="2" t="s">
        <v>596</v>
      </c>
      <c r="J837" s="2" t="s">
        <v>32</v>
      </c>
    </row>
    <row r="838" customFormat="false" ht="15" hidden="false" customHeight="false" outlineLevel="0" collapsed="false">
      <c r="A838" s="7" t="n">
        <v>837</v>
      </c>
      <c r="B838" s="7" t="s">
        <v>212</v>
      </c>
      <c r="C838" s="7" t="n">
        <v>14</v>
      </c>
      <c r="D838" s="7" t="n">
        <v>5</v>
      </c>
      <c r="E838" s="77" t="n">
        <v>45279</v>
      </c>
      <c r="F838" s="86" t="n">
        <v>0.539722222222222</v>
      </c>
      <c r="G838" s="77" t="n">
        <v>45281</v>
      </c>
      <c r="H838" s="86" t="n">
        <v>0.000416666666666667</v>
      </c>
      <c r="I838" s="7" t="s">
        <v>534</v>
      </c>
      <c r="J838" s="7" t="s">
        <v>31</v>
      </c>
    </row>
    <row r="839" customFormat="false" ht="15" hidden="false" customHeight="false" outlineLevel="0" collapsed="false">
      <c r="A839" s="2" t="n">
        <v>838</v>
      </c>
      <c r="B839" s="2" t="s">
        <v>130</v>
      </c>
      <c r="C839" s="2" t="n">
        <v>19</v>
      </c>
      <c r="D839" s="2" t="n">
        <v>3</v>
      </c>
      <c r="E839" s="82" t="n">
        <v>44966</v>
      </c>
      <c r="F839" s="87" t="n">
        <v>0.429178240740741</v>
      </c>
      <c r="G839" s="82" t="n">
        <v>44974</v>
      </c>
      <c r="H839" s="87" t="n">
        <v>0.256712962962963</v>
      </c>
      <c r="I839" s="2" t="s">
        <v>570</v>
      </c>
      <c r="J839" s="2" t="s">
        <v>179</v>
      </c>
    </row>
    <row r="840" customFormat="false" ht="15" hidden="false" customHeight="false" outlineLevel="0" collapsed="false">
      <c r="A840" s="7" t="n">
        <v>839</v>
      </c>
      <c r="B840" s="7" t="s">
        <v>316</v>
      </c>
      <c r="C840" s="7" t="n">
        <v>51</v>
      </c>
      <c r="D840" s="7" t="n">
        <v>4</v>
      </c>
      <c r="E840" s="77" t="n">
        <v>45232</v>
      </c>
      <c r="F840" s="86" t="n">
        <v>0.16068287037037</v>
      </c>
      <c r="G840" s="77" t="n">
        <v>45242</v>
      </c>
      <c r="H840" s="86" t="n">
        <v>0.0762847222222222</v>
      </c>
      <c r="I840" s="7" t="s">
        <v>598</v>
      </c>
      <c r="J840" s="7" t="s">
        <v>165</v>
      </c>
    </row>
    <row r="841" customFormat="false" ht="15" hidden="false" customHeight="false" outlineLevel="0" collapsed="false">
      <c r="A841" s="2" t="n">
        <v>840</v>
      </c>
      <c r="B841" s="2" t="s">
        <v>200</v>
      </c>
      <c r="C841" s="2" t="n">
        <v>67</v>
      </c>
      <c r="D841" s="2" t="n">
        <v>2</v>
      </c>
      <c r="E841" s="82" t="n">
        <v>44939</v>
      </c>
      <c r="F841" s="87" t="n">
        <v>0.805266203703704</v>
      </c>
      <c r="G841" s="82" t="n">
        <v>44942</v>
      </c>
      <c r="H841" s="87" t="n">
        <v>0.493402777777778</v>
      </c>
      <c r="I841" s="2" t="s">
        <v>592</v>
      </c>
      <c r="J841" s="2" t="s">
        <v>168</v>
      </c>
    </row>
    <row r="842" customFormat="false" ht="15" hidden="false" customHeight="false" outlineLevel="0" collapsed="false">
      <c r="A842" s="7" t="n">
        <v>841</v>
      </c>
      <c r="B842" s="7" t="s">
        <v>227</v>
      </c>
      <c r="C842" s="7" t="n">
        <v>26</v>
      </c>
      <c r="D842" s="7" t="n">
        <v>5</v>
      </c>
      <c r="E842" s="77" t="n">
        <v>44992</v>
      </c>
      <c r="F842" s="86" t="n">
        <v>0.261111111111111</v>
      </c>
      <c r="G842" s="77" t="n">
        <v>44997</v>
      </c>
      <c r="H842" s="86" t="n">
        <v>0.969895833333333</v>
      </c>
      <c r="I842" s="7" t="s">
        <v>229</v>
      </c>
      <c r="J842" s="7" t="s">
        <v>33</v>
      </c>
    </row>
    <row r="843" customFormat="false" ht="15" hidden="false" customHeight="false" outlineLevel="0" collapsed="false">
      <c r="A843" s="2" t="n">
        <v>842</v>
      </c>
      <c r="B843" s="2" t="s">
        <v>353</v>
      </c>
      <c r="C843" s="2" t="n">
        <v>46</v>
      </c>
      <c r="D843" s="2" t="n">
        <v>2</v>
      </c>
      <c r="E843" s="82" t="n">
        <v>45289</v>
      </c>
      <c r="F843" s="87" t="n">
        <v>0.716354166666667</v>
      </c>
      <c r="G843" s="82" t="n">
        <v>45292</v>
      </c>
      <c r="H843" s="87" t="n">
        <v>0.102615740740741</v>
      </c>
      <c r="I843" s="2" t="s">
        <v>468</v>
      </c>
      <c r="J843" s="2" t="s">
        <v>168</v>
      </c>
    </row>
    <row r="844" customFormat="false" ht="15" hidden="false" customHeight="false" outlineLevel="0" collapsed="false">
      <c r="A844" s="7" t="n">
        <v>843</v>
      </c>
      <c r="B844" s="7" t="s">
        <v>142</v>
      </c>
      <c r="C844" s="7" t="n">
        <v>68</v>
      </c>
      <c r="D844" s="7" t="n">
        <v>1</v>
      </c>
      <c r="E844" s="77" t="n">
        <v>44968</v>
      </c>
      <c r="F844" s="86" t="n">
        <v>0.906979166666667</v>
      </c>
      <c r="G844" s="77" t="n">
        <v>44969</v>
      </c>
      <c r="H844" s="86" t="n">
        <v>0.810520833333333</v>
      </c>
      <c r="I844" s="7" t="s">
        <v>280</v>
      </c>
      <c r="J844" s="7" t="s">
        <v>179</v>
      </c>
    </row>
    <row r="845" customFormat="false" ht="15" hidden="false" customHeight="false" outlineLevel="0" collapsed="false">
      <c r="A845" s="2" t="n">
        <v>844</v>
      </c>
      <c r="B845" s="2" t="s">
        <v>303</v>
      </c>
      <c r="C845" s="2" t="n">
        <v>51</v>
      </c>
      <c r="D845" s="2" t="n">
        <v>1</v>
      </c>
      <c r="E845" s="82" t="n">
        <v>45208</v>
      </c>
      <c r="F845" s="87" t="n">
        <v>0.800636574074074</v>
      </c>
      <c r="G845" s="82" t="n">
        <v>45209</v>
      </c>
      <c r="H845" s="87" t="n">
        <v>0.408645833333333</v>
      </c>
      <c r="I845" s="2" t="s">
        <v>558</v>
      </c>
      <c r="J845" s="2" t="s">
        <v>165</v>
      </c>
    </row>
    <row r="846" customFormat="false" ht="15" hidden="false" customHeight="false" outlineLevel="0" collapsed="false">
      <c r="A846" s="7" t="n">
        <v>845</v>
      </c>
      <c r="B846" s="7" t="s">
        <v>202</v>
      </c>
      <c r="C846" s="7" t="n">
        <v>57</v>
      </c>
      <c r="D846" s="7" t="n">
        <v>5</v>
      </c>
      <c r="E846" s="77" t="n">
        <v>45216</v>
      </c>
      <c r="F846" s="86" t="n">
        <v>0.785601851851852</v>
      </c>
      <c r="G846" s="77" t="n">
        <v>45224</v>
      </c>
      <c r="H846" s="86" t="n">
        <v>0.1215625</v>
      </c>
      <c r="I846" s="7" t="s">
        <v>412</v>
      </c>
      <c r="J846" s="7" t="s">
        <v>31</v>
      </c>
    </row>
    <row r="847" customFormat="false" ht="15" hidden="false" customHeight="false" outlineLevel="0" collapsed="false">
      <c r="A847" s="2" t="n">
        <v>846</v>
      </c>
      <c r="B847" s="2" t="s">
        <v>309</v>
      </c>
      <c r="C847" s="2" t="n">
        <v>15</v>
      </c>
      <c r="D847" s="2" t="n">
        <v>4</v>
      </c>
      <c r="E847" s="82" t="n">
        <v>45258</v>
      </c>
      <c r="F847" s="87" t="n">
        <v>0.116423611111111</v>
      </c>
      <c r="G847" s="82" t="n">
        <v>45262</v>
      </c>
      <c r="H847" s="87" t="n">
        <v>0.288923611111111</v>
      </c>
      <c r="I847" s="2" t="s">
        <v>229</v>
      </c>
      <c r="J847" s="2" t="s">
        <v>168</v>
      </c>
    </row>
    <row r="848" customFormat="false" ht="15" hidden="false" customHeight="false" outlineLevel="0" collapsed="false">
      <c r="A848" s="7" t="n">
        <v>847</v>
      </c>
      <c r="B848" s="7" t="s">
        <v>148</v>
      </c>
      <c r="C848" s="7" t="n">
        <v>44</v>
      </c>
      <c r="D848" s="7" t="n">
        <v>4</v>
      </c>
      <c r="E848" s="77" t="n">
        <v>45237</v>
      </c>
      <c r="F848" s="86" t="n">
        <v>0.757141203703704</v>
      </c>
      <c r="G848" s="77" t="n">
        <v>45242</v>
      </c>
      <c r="H848" s="86" t="n">
        <v>0.431666666666667</v>
      </c>
      <c r="I848" s="7" t="s">
        <v>203</v>
      </c>
      <c r="J848" s="7" t="s">
        <v>32</v>
      </c>
    </row>
    <row r="849" customFormat="false" ht="15" hidden="false" customHeight="false" outlineLevel="0" collapsed="false">
      <c r="A849" s="2" t="n">
        <v>848</v>
      </c>
      <c r="B849" s="2" t="s">
        <v>136</v>
      </c>
      <c r="C849" s="2" t="n">
        <v>6</v>
      </c>
      <c r="D849" s="2" t="n">
        <v>1</v>
      </c>
      <c r="E849" s="82" t="n">
        <v>44991</v>
      </c>
      <c r="F849" s="87" t="n">
        <v>0.7034375</v>
      </c>
      <c r="G849" s="82" t="n">
        <v>44995</v>
      </c>
      <c r="H849" s="87" t="n">
        <v>0.935277777777778</v>
      </c>
      <c r="I849" s="2" t="s">
        <v>563</v>
      </c>
      <c r="J849" s="2" t="s">
        <v>33</v>
      </c>
    </row>
    <row r="850" customFormat="false" ht="15" hidden="false" customHeight="false" outlineLevel="0" collapsed="false">
      <c r="A850" s="7" t="n">
        <v>849</v>
      </c>
      <c r="B850" s="7" t="s">
        <v>159</v>
      </c>
      <c r="C850" s="7" t="n">
        <v>57</v>
      </c>
      <c r="D850" s="7" t="n">
        <v>1</v>
      </c>
      <c r="E850" s="77" t="n">
        <v>44997</v>
      </c>
      <c r="F850" s="86" t="n">
        <v>0.0533333333333333</v>
      </c>
      <c r="G850" s="77" t="n">
        <v>44999</v>
      </c>
      <c r="H850" s="86" t="n">
        <v>0.0347569444444444</v>
      </c>
      <c r="I850" s="7" t="s">
        <v>521</v>
      </c>
      <c r="J850" s="7" t="s">
        <v>31</v>
      </c>
    </row>
    <row r="851" customFormat="false" ht="15" hidden="false" customHeight="false" outlineLevel="0" collapsed="false">
      <c r="A851" s="2" t="n">
        <v>850</v>
      </c>
      <c r="B851" s="2" t="s">
        <v>372</v>
      </c>
      <c r="C851" s="2" t="n">
        <v>21</v>
      </c>
      <c r="D851" s="2" t="n">
        <v>4</v>
      </c>
      <c r="E851" s="82" t="n">
        <v>45161</v>
      </c>
      <c r="F851" s="87" t="n">
        <v>0.968946759259259</v>
      </c>
      <c r="G851" s="82" t="n">
        <v>45163</v>
      </c>
      <c r="H851" s="87" t="n">
        <v>0.438206018518519</v>
      </c>
      <c r="I851" s="2" t="s">
        <v>321</v>
      </c>
      <c r="J851" s="2" t="s">
        <v>40</v>
      </c>
    </row>
    <row r="852" customFormat="false" ht="15" hidden="false" customHeight="false" outlineLevel="0" collapsed="false">
      <c r="A852" s="7" t="n">
        <v>851</v>
      </c>
      <c r="B852" s="7" t="s">
        <v>198</v>
      </c>
      <c r="C852" s="7" t="n">
        <v>13</v>
      </c>
      <c r="D852" s="7" t="n">
        <v>3</v>
      </c>
      <c r="E852" s="77" t="n">
        <v>44991</v>
      </c>
      <c r="F852" s="86" t="n">
        <v>0.480520833333333</v>
      </c>
      <c r="G852" s="77" t="n">
        <v>44995</v>
      </c>
      <c r="H852" s="86" t="n">
        <v>0.762430555555556</v>
      </c>
      <c r="I852" s="7" t="s">
        <v>569</v>
      </c>
      <c r="J852" s="7" t="s">
        <v>33</v>
      </c>
    </row>
    <row r="853" customFormat="false" ht="15" hidden="false" customHeight="false" outlineLevel="0" collapsed="false">
      <c r="A853" s="2" t="n">
        <v>852</v>
      </c>
      <c r="B853" s="2" t="s">
        <v>209</v>
      </c>
      <c r="C853" s="2" t="n">
        <v>44</v>
      </c>
      <c r="D853" s="2" t="n">
        <v>2</v>
      </c>
      <c r="E853" s="82" t="n">
        <v>45241</v>
      </c>
      <c r="F853" s="87" t="n">
        <v>0.40400462962963</v>
      </c>
      <c r="G853" s="82" t="n">
        <v>45244</v>
      </c>
      <c r="H853" s="87" t="n">
        <v>0.594097222222222</v>
      </c>
      <c r="I853" s="2" t="s">
        <v>516</v>
      </c>
      <c r="J853" s="2" t="s">
        <v>32</v>
      </c>
    </row>
    <row r="854" customFormat="false" ht="15" hidden="false" customHeight="false" outlineLevel="0" collapsed="false">
      <c r="A854" s="7" t="n">
        <v>853</v>
      </c>
      <c r="B854" s="7" t="s">
        <v>254</v>
      </c>
      <c r="C854" s="7" t="n">
        <v>51</v>
      </c>
      <c r="D854" s="7" t="n">
        <v>3</v>
      </c>
      <c r="E854" s="77" t="n">
        <v>45186</v>
      </c>
      <c r="F854" s="86" t="n">
        <v>0.885335648148148</v>
      </c>
      <c r="G854" s="77" t="n">
        <v>45192</v>
      </c>
      <c r="H854" s="86" t="n">
        <v>0.602407407407407</v>
      </c>
      <c r="I854" s="7" t="s">
        <v>442</v>
      </c>
      <c r="J854" s="7" t="s">
        <v>165</v>
      </c>
    </row>
    <row r="855" customFormat="false" ht="15" hidden="false" customHeight="false" outlineLevel="0" collapsed="false">
      <c r="A855" s="2" t="n">
        <v>854</v>
      </c>
      <c r="B855" s="2" t="s">
        <v>167</v>
      </c>
      <c r="C855" s="2" t="n">
        <v>62</v>
      </c>
      <c r="D855" s="2" t="n">
        <v>3</v>
      </c>
      <c r="E855" s="82" t="n">
        <v>44984</v>
      </c>
      <c r="F855" s="87" t="n">
        <v>0.0837152777777778</v>
      </c>
      <c r="G855" s="82" t="n">
        <v>44987</v>
      </c>
      <c r="H855" s="87" t="n">
        <v>0.119085648148148</v>
      </c>
      <c r="I855" s="2" t="s">
        <v>250</v>
      </c>
      <c r="J855" s="2" t="s">
        <v>33</v>
      </c>
    </row>
    <row r="856" customFormat="false" ht="15" hidden="false" customHeight="false" outlineLevel="0" collapsed="false">
      <c r="A856" s="7" t="n">
        <v>855</v>
      </c>
      <c r="B856" s="7" t="s">
        <v>204</v>
      </c>
      <c r="C856" s="7" t="n">
        <v>57</v>
      </c>
      <c r="D856" s="7" t="n">
        <v>5</v>
      </c>
      <c r="E856" s="77" t="n">
        <v>45145</v>
      </c>
      <c r="F856" s="86" t="n">
        <v>0.99318287037037</v>
      </c>
      <c r="G856" s="77" t="n">
        <v>45155</v>
      </c>
      <c r="H856" s="86" t="n">
        <v>0.844247685185185</v>
      </c>
      <c r="I856" s="7" t="s">
        <v>153</v>
      </c>
      <c r="J856" s="7" t="s">
        <v>31</v>
      </c>
    </row>
    <row r="857" customFormat="false" ht="15" hidden="false" customHeight="false" outlineLevel="0" collapsed="false">
      <c r="A857" s="2" t="n">
        <v>856</v>
      </c>
      <c r="B857" s="2" t="s">
        <v>331</v>
      </c>
      <c r="C857" s="2" t="n">
        <v>21</v>
      </c>
      <c r="D857" s="2" t="n">
        <v>2</v>
      </c>
      <c r="E857" s="82" t="n">
        <v>45165</v>
      </c>
      <c r="F857" s="87" t="n">
        <v>0.736238425925926</v>
      </c>
      <c r="G857" s="82" t="n">
        <v>45171</v>
      </c>
      <c r="H857" s="87" t="n">
        <v>0.678356481481482</v>
      </c>
      <c r="I857" s="2" t="s">
        <v>448</v>
      </c>
      <c r="J857" s="2" t="s">
        <v>40</v>
      </c>
    </row>
    <row r="858" customFormat="false" ht="15" hidden="false" customHeight="false" outlineLevel="0" collapsed="false">
      <c r="A858" s="7" t="n">
        <v>857</v>
      </c>
      <c r="B858" s="7" t="s">
        <v>263</v>
      </c>
      <c r="C858" s="7" t="n">
        <v>63</v>
      </c>
      <c r="D858" s="7" t="n">
        <v>1</v>
      </c>
      <c r="E858" s="77" t="n">
        <v>44966</v>
      </c>
      <c r="F858" s="86" t="n">
        <v>0.390486111111111</v>
      </c>
      <c r="G858" s="77" t="n">
        <v>44975</v>
      </c>
      <c r="H858" s="86" t="n">
        <v>0.583842592592593</v>
      </c>
      <c r="I858" s="7" t="s">
        <v>203</v>
      </c>
      <c r="J858" s="7" t="s">
        <v>165</v>
      </c>
    </row>
    <row r="859" customFormat="false" ht="15" hidden="false" customHeight="false" outlineLevel="0" collapsed="false">
      <c r="A859" s="2" t="n">
        <v>858</v>
      </c>
      <c r="B859" s="2" t="s">
        <v>242</v>
      </c>
      <c r="C859" s="2" t="n">
        <v>44</v>
      </c>
      <c r="D859" s="2" t="n">
        <v>4</v>
      </c>
      <c r="E859" s="82" t="n">
        <v>45238</v>
      </c>
      <c r="F859" s="87" t="n">
        <v>0.0776388888888889</v>
      </c>
      <c r="G859" s="82" t="n">
        <v>45239</v>
      </c>
      <c r="H859" s="87" t="n">
        <v>0.667638888888889</v>
      </c>
      <c r="I859" s="2" t="s">
        <v>551</v>
      </c>
      <c r="J859" s="2" t="s">
        <v>32</v>
      </c>
    </row>
    <row r="860" customFormat="false" ht="15" hidden="false" customHeight="false" outlineLevel="0" collapsed="false">
      <c r="A860" s="7" t="n">
        <v>859</v>
      </c>
      <c r="B860" s="7" t="s">
        <v>245</v>
      </c>
      <c r="C860" s="7" t="n">
        <v>43</v>
      </c>
      <c r="D860" s="7" t="n">
        <v>1</v>
      </c>
      <c r="E860" s="77" t="n">
        <v>45240</v>
      </c>
      <c r="F860" s="86" t="n">
        <v>0.296076388888889</v>
      </c>
      <c r="G860" s="77" t="n">
        <v>45245</v>
      </c>
      <c r="H860" s="86" t="n">
        <v>0.0739236111111111</v>
      </c>
      <c r="I860" s="7" t="s">
        <v>603</v>
      </c>
      <c r="J860" s="7" t="s">
        <v>32</v>
      </c>
    </row>
    <row r="861" customFormat="false" ht="15" hidden="false" customHeight="false" outlineLevel="0" collapsed="false">
      <c r="A861" s="2" t="n">
        <v>860</v>
      </c>
      <c r="B861" s="2" t="s">
        <v>294</v>
      </c>
      <c r="C861" s="2" t="n">
        <v>14</v>
      </c>
      <c r="D861" s="2" t="n">
        <v>1</v>
      </c>
      <c r="E861" s="82" t="n">
        <v>44936</v>
      </c>
      <c r="F861" s="87" t="n">
        <v>0.812488425925926</v>
      </c>
      <c r="G861" s="82" t="n">
        <v>44939</v>
      </c>
      <c r="H861" s="87" t="n">
        <v>0.562847222222222</v>
      </c>
      <c r="I861" s="2" t="s">
        <v>123</v>
      </c>
      <c r="J861" s="2" t="s">
        <v>31</v>
      </c>
    </row>
    <row r="862" customFormat="false" ht="15" hidden="false" customHeight="false" outlineLevel="0" collapsed="false">
      <c r="A862" s="7" t="n">
        <v>861</v>
      </c>
      <c r="B862" s="7" t="s">
        <v>198</v>
      </c>
      <c r="C862" s="7" t="n">
        <v>32</v>
      </c>
      <c r="D862" s="7" t="n">
        <v>1</v>
      </c>
      <c r="E862" s="77" t="n">
        <v>44966</v>
      </c>
      <c r="F862" s="86" t="n">
        <v>0.346886574074074</v>
      </c>
      <c r="G862" s="77" t="n">
        <v>44971</v>
      </c>
      <c r="H862" s="86" t="n">
        <v>0.109421296296296</v>
      </c>
      <c r="I862" s="7" t="s">
        <v>268</v>
      </c>
      <c r="J862" s="7" t="s">
        <v>31</v>
      </c>
    </row>
    <row r="863" customFormat="false" ht="15" hidden="false" customHeight="false" outlineLevel="0" collapsed="false">
      <c r="A863" s="2" t="n">
        <v>862</v>
      </c>
      <c r="B863" s="2" t="s">
        <v>251</v>
      </c>
      <c r="C863" s="2" t="n">
        <v>6</v>
      </c>
      <c r="D863" s="2" t="n">
        <v>4</v>
      </c>
      <c r="E863" s="82" t="n">
        <v>44992</v>
      </c>
      <c r="F863" s="87" t="n">
        <v>0.243912037037037</v>
      </c>
      <c r="G863" s="82" t="n">
        <v>45000</v>
      </c>
      <c r="H863" s="87" t="n">
        <v>0.349849537037037</v>
      </c>
      <c r="I863" s="2" t="s">
        <v>564</v>
      </c>
      <c r="J863" s="2" t="s">
        <v>33</v>
      </c>
    </row>
    <row r="864" customFormat="false" ht="15" hidden="false" customHeight="false" outlineLevel="0" collapsed="false">
      <c r="A864" s="7" t="n">
        <v>863</v>
      </c>
      <c r="B864" s="7" t="s">
        <v>390</v>
      </c>
      <c r="C864" s="7" t="n">
        <v>20</v>
      </c>
      <c r="D864" s="7" t="n">
        <v>3</v>
      </c>
      <c r="E864" s="77" t="n">
        <v>45082</v>
      </c>
      <c r="F864" s="86" t="n">
        <v>0.394490740740741</v>
      </c>
      <c r="G864" s="77" t="n">
        <v>45092</v>
      </c>
      <c r="H864" s="86" t="n">
        <v>0.134085648148148</v>
      </c>
      <c r="I864" s="7" t="s">
        <v>439</v>
      </c>
      <c r="J864" s="7" t="s">
        <v>168</v>
      </c>
    </row>
    <row r="865" customFormat="false" ht="15" hidden="false" customHeight="false" outlineLevel="0" collapsed="false">
      <c r="A865" s="2" t="n">
        <v>864</v>
      </c>
      <c r="B865" s="2" t="s">
        <v>204</v>
      </c>
      <c r="C865" s="2" t="n">
        <v>11</v>
      </c>
      <c r="D865" s="2" t="n">
        <v>1</v>
      </c>
      <c r="E865" s="82" t="n">
        <v>44968</v>
      </c>
      <c r="F865" s="87" t="n">
        <v>0.815532407407407</v>
      </c>
      <c r="G865" s="82" t="n">
        <v>44972</v>
      </c>
      <c r="H865" s="87" t="n">
        <v>0.33724537037037</v>
      </c>
      <c r="I865" s="2" t="s">
        <v>473</v>
      </c>
      <c r="J865" s="2" t="s">
        <v>179</v>
      </c>
    </row>
    <row r="866" customFormat="false" ht="15" hidden="false" customHeight="false" outlineLevel="0" collapsed="false">
      <c r="A866" s="7" t="n">
        <v>865</v>
      </c>
      <c r="B866" s="7" t="s">
        <v>202</v>
      </c>
      <c r="C866" s="7" t="n">
        <v>19</v>
      </c>
      <c r="D866" s="7" t="n">
        <v>1</v>
      </c>
      <c r="E866" s="77" t="n">
        <v>44969</v>
      </c>
      <c r="F866" s="86" t="n">
        <v>0.756412037037037</v>
      </c>
      <c r="G866" s="77" t="n">
        <v>44970</v>
      </c>
      <c r="H866" s="86" t="n">
        <v>0.276388888888889</v>
      </c>
      <c r="I866" s="7" t="s">
        <v>469</v>
      </c>
      <c r="J866" s="7" t="s">
        <v>179</v>
      </c>
    </row>
    <row r="867" customFormat="false" ht="15" hidden="false" customHeight="false" outlineLevel="0" collapsed="false">
      <c r="A867" s="2" t="n">
        <v>866</v>
      </c>
      <c r="B867" s="2" t="s">
        <v>178</v>
      </c>
      <c r="C867" s="2" t="n">
        <v>15</v>
      </c>
      <c r="D867" s="2" t="n">
        <v>5</v>
      </c>
      <c r="E867" s="82" t="n">
        <v>45148</v>
      </c>
      <c r="F867" s="87" t="n">
        <v>0.837928240740741</v>
      </c>
      <c r="G867" s="82" t="n">
        <v>45149</v>
      </c>
      <c r="H867" s="87" t="n">
        <v>0.335196759259259</v>
      </c>
      <c r="I867" s="2" t="s">
        <v>486</v>
      </c>
      <c r="J867" s="2" t="s">
        <v>168</v>
      </c>
    </row>
    <row r="868" customFormat="false" ht="15" hidden="false" customHeight="false" outlineLevel="0" collapsed="false">
      <c r="A868" s="7" t="n">
        <v>867</v>
      </c>
      <c r="B868" s="7" t="s">
        <v>161</v>
      </c>
      <c r="C868" s="7" t="n">
        <v>48</v>
      </c>
      <c r="D868" s="7" t="n">
        <v>1</v>
      </c>
      <c r="E868" s="77" t="n">
        <v>45232</v>
      </c>
      <c r="F868" s="86" t="n">
        <v>0.515347222222222</v>
      </c>
      <c r="G868" s="77" t="n">
        <v>45234</v>
      </c>
      <c r="H868" s="86" t="n">
        <v>0.21443287037037</v>
      </c>
      <c r="I868" s="7" t="s">
        <v>403</v>
      </c>
      <c r="J868" s="7" t="s">
        <v>32</v>
      </c>
    </row>
    <row r="869" customFormat="false" ht="15" hidden="false" customHeight="false" outlineLevel="0" collapsed="false">
      <c r="A869" s="2" t="n">
        <v>868</v>
      </c>
      <c r="B869" s="2" t="s">
        <v>390</v>
      </c>
      <c r="C869" s="2" t="n">
        <v>32</v>
      </c>
      <c r="D869" s="2" t="n">
        <v>1</v>
      </c>
      <c r="E869" s="82" t="n">
        <v>45160</v>
      </c>
      <c r="F869" s="87" t="n">
        <v>0.0425578703703704</v>
      </c>
      <c r="G869" s="82" t="n">
        <v>45168</v>
      </c>
      <c r="H869" s="87" t="n">
        <v>0.423055555555556</v>
      </c>
      <c r="I869" s="2" t="s">
        <v>175</v>
      </c>
      <c r="J869" s="2" t="s">
        <v>31</v>
      </c>
    </row>
    <row r="870" customFormat="false" ht="15" hidden="false" customHeight="false" outlineLevel="0" collapsed="false">
      <c r="A870" s="7" t="n">
        <v>869</v>
      </c>
      <c r="B870" s="7" t="s">
        <v>202</v>
      </c>
      <c r="C870" s="7" t="n">
        <v>3</v>
      </c>
      <c r="D870" s="7" t="n">
        <v>5</v>
      </c>
      <c r="E870" s="77" t="n">
        <v>44963</v>
      </c>
      <c r="F870" s="86" t="n">
        <v>0.418969907407407</v>
      </c>
      <c r="G870" s="77" t="n">
        <v>44968</v>
      </c>
      <c r="H870" s="86" t="n">
        <v>0.969768518518519</v>
      </c>
      <c r="I870" s="7" t="s">
        <v>408</v>
      </c>
      <c r="J870" s="7" t="s">
        <v>179</v>
      </c>
    </row>
    <row r="871" customFormat="false" ht="15" hidden="false" customHeight="false" outlineLevel="0" collapsed="false">
      <c r="A871" s="2" t="n">
        <v>870</v>
      </c>
      <c r="B871" s="2" t="s">
        <v>172</v>
      </c>
      <c r="C871" s="2" t="n">
        <v>43</v>
      </c>
      <c r="D871" s="2" t="n">
        <v>5</v>
      </c>
      <c r="E871" s="82" t="n">
        <v>45235</v>
      </c>
      <c r="F871" s="87" t="n">
        <v>0.634560185185185</v>
      </c>
      <c r="G871" s="82" t="n">
        <v>45237</v>
      </c>
      <c r="H871" s="87" t="n">
        <v>0.284479166666667</v>
      </c>
      <c r="I871" s="2" t="s">
        <v>518</v>
      </c>
      <c r="J871" s="2" t="s">
        <v>32</v>
      </c>
    </row>
    <row r="872" customFormat="false" ht="15" hidden="false" customHeight="false" outlineLevel="0" collapsed="false">
      <c r="A872" s="7" t="n">
        <v>871</v>
      </c>
      <c r="B872" s="7" t="s">
        <v>288</v>
      </c>
      <c r="C872" s="7" t="n">
        <v>15</v>
      </c>
      <c r="D872" s="7" t="n">
        <v>1</v>
      </c>
      <c r="E872" s="77" t="n">
        <v>45088</v>
      </c>
      <c r="F872" s="86" t="n">
        <v>0.253819444444444</v>
      </c>
      <c r="G872" s="77" t="n">
        <v>45092</v>
      </c>
      <c r="H872" s="86" t="n">
        <v>0.87287037037037</v>
      </c>
      <c r="I872" s="7" t="s">
        <v>560</v>
      </c>
      <c r="J872" s="7" t="s">
        <v>168</v>
      </c>
    </row>
    <row r="873" customFormat="false" ht="15" hidden="false" customHeight="false" outlineLevel="0" collapsed="false">
      <c r="A873" s="2" t="n">
        <v>872</v>
      </c>
      <c r="B873" s="2" t="s">
        <v>377</v>
      </c>
      <c r="C873" s="2" t="n">
        <v>13</v>
      </c>
      <c r="D873" s="2" t="n">
        <v>2</v>
      </c>
      <c r="E873" s="82" t="n">
        <v>44990</v>
      </c>
      <c r="F873" s="87" t="n">
        <v>0.852743055555556</v>
      </c>
      <c r="G873" s="82" t="n">
        <v>44995</v>
      </c>
      <c r="H873" s="87" t="n">
        <v>0.0641550925925926</v>
      </c>
      <c r="I873" s="2" t="s">
        <v>284</v>
      </c>
      <c r="J873" s="2" t="s">
        <v>33</v>
      </c>
    </row>
    <row r="874" customFormat="false" ht="15" hidden="false" customHeight="false" outlineLevel="0" collapsed="false">
      <c r="A874" s="7" t="n">
        <v>873</v>
      </c>
      <c r="B874" s="7" t="s">
        <v>192</v>
      </c>
      <c r="C874" s="7" t="n">
        <v>64</v>
      </c>
      <c r="D874" s="7" t="n">
        <v>4</v>
      </c>
      <c r="E874" s="77" t="n">
        <v>45164</v>
      </c>
      <c r="F874" s="86" t="n">
        <v>0.45625</v>
      </c>
      <c r="G874" s="77" t="n">
        <v>45174</v>
      </c>
      <c r="H874" s="86" t="n">
        <v>0.6565625</v>
      </c>
      <c r="I874" s="7" t="s">
        <v>504</v>
      </c>
      <c r="J874" s="7" t="s">
        <v>40</v>
      </c>
    </row>
    <row r="875" customFormat="false" ht="15" hidden="false" customHeight="false" outlineLevel="0" collapsed="false">
      <c r="A875" s="2" t="n">
        <v>874</v>
      </c>
      <c r="B875" s="2" t="s">
        <v>151</v>
      </c>
      <c r="C875" s="2" t="n">
        <v>68</v>
      </c>
      <c r="D875" s="2" t="n">
        <v>1</v>
      </c>
      <c r="E875" s="82" t="n">
        <v>44968</v>
      </c>
      <c r="F875" s="87" t="n">
        <v>0.529513888888889</v>
      </c>
      <c r="G875" s="82" t="n">
        <v>44978</v>
      </c>
      <c r="H875" s="87" t="n">
        <v>0.733148148148148</v>
      </c>
      <c r="I875" s="2" t="s">
        <v>541</v>
      </c>
      <c r="J875" s="2" t="s">
        <v>179</v>
      </c>
    </row>
    <row r="876" customFormat="false" ht="15" hidden="false" customHeight="false" outlineLevel="0" collapsed="false">
      <c r="A876" s="7" t="n">
        <v>875</v>
      </c>
      <c r="B876" s="7" t="s">
        <v>154</v>
      </c>
      <c r="C876" s="7" t="n">
        <v>13</v>
      </c>
      <c r="D876" s="7" t="n">
        <v>1</v>
      </c>
      <c r="E876" s="77" t="n">
        <v>44990</v>
      </c>
      <c r="F876" s="86" t="n">
        <v>0.890636574074074</v>
      </c>
      <c r="G876" s="77" t="n">
        <v>44999</v>
      </c>
      <c r="H876" s="86" t="n">
        <v>0.831782407407407</v>
      </c>
      <c r="I876" s="7" t="s">
        <v>533</v>
      </c>
      <c r="J876" s="7" t="s">
        <v>33</v>
      </c>
    </row>
    <row r="877" customFormat="false" ht="15" hidden="false" customHeight="false" outlineLevel="0" collapsed="false">
      <c r="A877" s="2" t="n">
        <v>876</v>
      </c>
      <c r="B877" s="2" t="s">
        <v>167</v>
      </c>
      <c r="C877" s="2" t="n">
        <v>4</v>
      </c>
      <c r="D877" s="2" t="n">
        <v>4</v>
      </c>
      <c r="E877" s="82" t="n">
        <v>45236</v>
      </c>
      <c r="F877" s="87" t="n">
        <v>0.401805555555556</v>
      </c>
      <c r="G877" s="82" t="n">
        <v>45244</v>
      </c>
      <c r="H877" s="87" t="n">
        <v>0.866481481481482</v>
      </c>
      <c r="I877" s="2" t="s">
        <v>438</v>
      </c>
      <c r="J877" s="2" t="s">
        <v>32</v>
      </c>
    </row>
    <row r="878" customFormat="false" ht="15" hidden="false" customHeight="false" outlineLevel="0" collapsed="false">
      <c r="A878" s="7" t="n">
        <v>877</v>
      </c>
      <c r="B878" s="7" t="s">
        <v>227</v>
      </c>
      <c r="C878" s="7" t="n">
        <v>46</v>
      </c>
      <c r="D878" s="7" t="n">
        <v>5</v>
      </c>
      <c r="E878" s="77" t="n">
        <v>44994</v>
      </c>
      <c r="F878" s="86" t="n">
        <v>0.96962962962963</v>
      </c>
      <c r="G878" s="77" t="n">
        <v>45003</v>
      </c>
      <c r="H878" s="86" t="n">
        <v>0.519027777777778</v>
      </c>
      <c r="I878" s="7" t="s">
        <v>408</v>
      </c>
      <c r="J878" s="7" t="s">
        <v>168</v>
      </c>
    </row>
    <row r="879" customFormat="false" ht="15" hidden="false" customHeight="false" outlineLevel="0" collapsed="false">
      <c r="A879" s="2" t="n">
        <v>878</v>
      </c>
      <c r="B879" s="2" t="s">
        <v>275</v>
      </c>
      <c r="C879" s="2" t="n">
        <v>4</v>
      </c>
      <c r="D879" s="2" t="n">
        <v>2</v>
      </c>
      <c r="E879" s="82" t="n">
        <v>45240</v>
      </c>
      <c r="F879" s="87" t="n">
        <v>0.692349537037037</v>
      </c>
      <c r="G879" s="82" t="n">
        <v>45249</v>
      </c>
      <c r="H879" s="87" t="n">
        <v>0.698310185185185</v>
      </c>
      <c r="I879" s="2" t="s">
        <v>569</v>
      </c>
      <c r="J879" s="2" t="s">
        <v>32</v>
      </c>
    </row>
    <row r="880" customFormat="false" ht="15" hidden="false" customHeight="false" outlineLevel="0" collapsed="false">
      <c r="A880" s="7" t="n">
        <v>879</v>
      </c>
      <c r="B880" s="7" t="s">
        <v>372</v>
      </c>
      <c r="C880" s="7" t="n">
        <v>33</v>
      </c>
      <c r="D880" s="7" t="n">
        <v>2</v>
      </c>
      <c r="E880" s="77" t="n">
        <v>44964</v>
      </c>
      <c r="F880" s="86" t="n">
        <v>0.232337962962963</v>
      </c>
      <c r="G880" s="77" t="n">
        <v>44967</v>
      </c>
      <c r="H880" s="86" t="n">
        <v>0.477523148148148</v>
      </c>
      <c r="I880" s="7" t="s">
        <v>459</v>
      </c>
      <c r="J880" s="7" t="s">
        <v>179</v>
      </c>
    </row>
    <row r="881" customFormat="false" ht="15" hidden="false" customHeight="false" outlineLevel="0" collapsed="false">
      <c r="A881" s="2" t="n">
        <v>880</v>
      </c>
      <c r="B881" s="2" t="s">
        <v>236</v>
      </c>
      <c r="C881" s="2" t="n">
        <v>34</v>
      </c>
      <c r="D881" s="2" t="n">
        <v>5</v>
      </c>
      <c r="E881" s="82" t="n">
        <v>45167</v>
      </c>
      <c r="F881" s="87" t="n">
        <v>0.926689814814815</v>
      </c>
      <c r="G881" s="82" t="n">
        <v>45169</v>
      </c>
      <c r="H881" s="87" t="n">
        <v>0.20474537037037</v>
      </c>
      <c r="I881" s="2" t="s">
        <v>533</v>
      </c>
      <c r="J881" s="2" t="s">
        <v>40</v>
      </c>
    </row>
    <row r="882" customFormat="false" ht="15" hidden="false" customHeight="false" outlineLevel="0" collapsed="false">
      <c r="A882" s="7" t="n">
        <v>881</v>
      </c>
      <c r="B882" s="7" t="s">
        <v>164</v>
      </c>
      <c r="C882" s="7" t="n">
        <v>28</v>
      </c>
      <c r="D882" s="7" t="n">
        <v>4</v>
      </c>
      <c r="E882" s="77" t="n">
        <v>45159</v>
      </c>
      <c r="F882" s="86" t="n">
        <v>0.637291666666667</v>
      </c>
      <c r="G882" s="77" t="n">
        <v>45166</v>
      </c>
      <c r="H882" s="86" t="n">
        <v>0.541493055555556</v>
      </c>
      <c r="I882" s="7" t="s">
        <v>510</v>
      </c>
      <c r="J882" s="7" t="s">
        <v>40</v>
      </c>
    </row>
    <row r="883" customFormat="false" ht="15" hidden="false" customHeight="false" outlineLevel="0" collapsed="false">
      <c r="A883" s="2" t="n">
        <v>882</v>
      </c>
      <c r="B883" s="2" t="s">
        <v>363</v>
      </c>
      <c r="C883" s="2" t="n">
        <v>64</v>
      </c>
      <c r="D883" s="2" t="n">
        <v>2</v>
      </c>
      <c r="E883" s="82" t="n">
        <v>45167</v>
      </c>
      <c r="F883" s="87" t="n">
        <v>0.231018518518519</v>
      </c>
      <c r="G883" s="82" t="n">
        <v>45177</v>
      </c>
      <c r="H883" s="87" t="n">
        <v>0.677002314814815</v>
      </c>
      <c r="I883" s="2" t="s">
        <v>576</v>
      </c>
      <c r="J883" s="2" t="s">
        <v>40</v>
      </c>
    </row>
    <row r="884" customFormat="false" ht="15" hidden="false" customHeight="false" outlineLevel="0" collapsed="false">
      <c r="A884" s="7" t="n">
        <v>883</v>
      </c>
      <c r="B884" s="7" t="s">
        <v>227</v>
      </c>
      <c r="C884" s="7" t="n">
        <v>36</v>
      </c>
      <c r="D884" s="7" t="n">
        <v>4</v>
      </c>
      <c r="E884" s="77" t="n">
        <v>45123</v>
      </c>
      <c r="F884" s="86" t="n">
        <v>0.822268518518519</v>
      </c>
      <c r="G884" s="77" t="n">
        <v>45124</v>
      </c>
      <c r="H884" s="86" t="n">
        <v>0.877106481481482</v>
      </c>
      <c r="I884" s="7" t="s">
        <v>562</v>
      </c>
      <c r="J884" s="7" t="s">
        <v>31</v>
      </c>
    </row>
    <row r="885" customFormat="false" ht="15" hidden="false" customHeight="false" outlineLevel="0" collapsed="false">
      <c r="A885" s="2" t="n">
        <v>884</v>
      </c>
      <c r="B885" s="2" t="s">
        <v>369</v>
      </c>
      <c r="C885" s="2" t="n">
        <v>10</v>
      </c>
      <c r="D885" s="2" t="n">
        <v>3</v>
      </c>
      <c r="E885" s="82" t="n">
        <v>45003</v>
      </c>
      <c r="F885" s="87" t="n">
        <v>0.927592592592593</v>
      </c>
      <c r="G885" s="82" t="n">
        <v>45012</v>
      </c>
      <c r="H885" s="87" t="n">
        <v>0.791608796296296</v>
      </c>
      <c r="I885" s="2" t="s">
        <v>585</v>
      </c>
      <c r="J885" s="2" t="s">
        <v>31</v>
      </c>
    </row>
    <row r="886" customFormat="false" ht="15" hidden="false" customHeight="false" outlineLevel="0" collapsed="false">
      <c r="A886" s="7" t="n">
        <v>885</v>
      </c>
      <c r="B886" s="7" t="s">
        <v>350</v>
      </c>
      <c r="C886" s="7" t="n">
        <v>42</v>
      </c>
      <c r="D886" s="7" t="n">
        <v>2</v>
      </c>
      <c r="E886" s="77" t="n">
        <v>45216</v>
      </c>
      <c r="F886" s="86" t="n">
        <v>0.828449074074074</v>
      </c>
      <c r="G886" s="77" t="n">
        <v>45220</v>
      </c>
      <c r="H886" s="86" t="n">
        <v>0.782060185185185</v>
      </c>
      <c r="I886" s="7" t="s">
        <v>531</v>
      </c>
      <c r="J886" s="7" t="s">
        <v>165</v>
      </c>
    </row>
    <row r="887" customFormat="false" ht="15" hidden="false" customHeight="false" outlineLevel="0" collapsed="false">
      <c r="A887" s="2" t="n">
        <v>886</v>
      </c>
      <c r="B887" s="2" t="s">
        <v>239</v>
      </c>
      <c r="C887" s="2" t="n">
        <v>53</v>
      </c>
      <c r="D887" s="2" t="n">
        <v>3</v>
      </c>
      <c r="E887" s="82" t="n">
        <v>45159</v>
      </c>
      <c r="F887" s="87" t="n">
        <v>0.349328703703704</v>
      </c>
      <c r="G887" s="82" t="n">
        <v>45163</v>
      </c>
      <c r="H887" s="87" t="n">
        <v>0.82818287037037</v>
      </c>
      <c r="I887" s="2" t="s">
        <v>503</v>
      </c>
      <c r="J887" s="2" t="s">
        <v>40</v>
      </c>
    </row>
    <row r="888" customFormat="false" ht="15" hidden="false" customHeight="false" outlineLevel="0" collapsed="false">
      <c r="A888" s="7" t="n">
        <v>887</v>
      </c>
      <c r="B888" s="7" t="s">
        <v>369</v>
      </c>
      <c r="C888" s="7" t="n">
        <v>51</v>
      </c>
      <c r="D888" s="7" t="n">
        <v>3</v>
      </c>
      <c r="E888" s="77" t="n">
        <v>45106</v>
      </c>
      <c r="F888" s="86" t="n">
        <v>0.72255787037037</v>
      </c>
      <c r="G888" s="77" t="n">
        <v>45107</v>
      </c>
      <c r="H888" s="86" t="n">
        <v>0.413773148148148</v>
      </c>
      <c r="I888" s="7" t="s">
        <v>608</v>
      </c>
      <c r="J888" s="7" t="s">
        <v>165</v>
      </c>
    </row>
    <row r="889" customFormat="false" ht="15" hidden="false" customHeight="false" outlineLevel="0" collapsed="false">
      <c r="A889" s="2" t="n">
        <v>888</v>
      </c>
      <c r="B889" s="2" t="s">
        <v>161</v>
      </c>
      <c r="C889" s="2" t="n">
        <v>69</v>
      </c>
      <c r="D889" s="2" t="n">
        <v>3</v>
      </c>
      <c r="E889" s="82" t="n">
        <v>44991</v>
      </c>
      <c r="F889" s="87" t="n">
        <v>0.48244212962963</v>
      </c>
      <c r="G889" s="82" t="n">
        <v>44996</v>
      </c>
      <c r="H889" s="87" t="n">
        <v>0.634826388888889</v>
      </c>
      <c r="I889" s="2" t="s">
        <v>378</v>
      </c>
      <c r="J889" s="2" t="s">
        <v>33</v>
      </c>
    </row>
    <row r="890" customFormat="false" ht="15" hidden="false" customHeight="false" outlineLevel="0" collapsed="false">
      <c r="A890" s="7" t="n">
        <v>889</v>
      </c>
      <c r="B890" s="7" t="s">
        <v>254</v>
      </c>
      <c r="C890" s="7" t="n">
        <v>36</v>
      </c>
      <c r="D890" s="7" t="n">
        <v>3</v>
      </c>
      <c r="E890" s="77" t="n">
        <v>45154</v>
      </c>
      <c r="F890" s="86" t="n">
        <v>0.963009259259259</v>
      </c>
      <c r="G890" s="77" t="n">
        <v>45156</v>
      </c>
      <c r="H890" s="86" t="n">
        <v>0.420162037037037</v>
      </c>
      <c r="I890" s="7" t="s">
        <v>197</v>
      </c>
      <c r="J890" s="7" t="s">
        <v>31</v>
      </c>
    </row>
    <row r="891" customFormat="false" ht="15" hidden="false" customHeight="false" outlineLevel="0" collapsed="false">
      <c r="A891" s="2" t="n">
        <v>890</v>
      </c>
      <c r="B891" s="2" t="s">
        <v>294</v>
      </c>
      <c r="C891" s="2" t="n">
        <v>45</v>
      </c>
      <c r="D891" s="2" t="n">
        <v>4</v>
      </c>
      <c r="E891" s="82" t="n">
        <v>45008</v>
      </c>
      <c r="F891" s="87" t="n">
        <v>0.975925925925926</v>
      </c>
      <c r="G891" s="82" t="n">
        <v>45012</v>
      </c>
      <c r="H891" s="87" t="n">
        <v>0.484895833333333</v>
      </c>
      <c r="I891" s="2" t="s">
        <v>456</v>
      </c>
      <c r="J891" s="2" t="s">
        <v>31</v>
      </c>
    </row>
    <row r="892" customFormat="false" ht="15" hidden="false" customHeight="false" outlineLevel="0" collapsed="false">
      <c r="A892" s="7" t="n">
        <v>891</v>
      </c>
      <c r="B892" s="7" t="s">
        <v>192</v>
      </c>
      <c r="C892" s="7" t="n">
        <v>58</v>
      </c>
      <c r="D892" s="7" t="n">
        <v>2</v>
      </c>
      <c r="E892" s="77" t="n">
        <v>44965</v>
      </c>
      <c r="F892" s="86" t="n">
        <v>0.622719907407408</v>
      </c>
      <c r="G892" s="77" t="n">
        <v>44973</v>
      </c>
      <c r="H892" s="86" t="n">
        <v>0.996354166666667</v>
      </c>
      <c r="I892" s="7" t="s">
        <v>565</v>
      </c>
      <c r="J892" s="7" t="s">
        <v>179</v>
      </c>
    </row>
    <row r="893" customFormat="false" ht="15" hidden="false" customHeight="false" outlineLevel="0" collapsed="false">
      <c r="A893" s="2" t="n">
        <v>892</v>
      </c>
      <c r="B893" s="2" t="s">
        <v>188</v>
      </c>
      <c r="C893" s="2" t="n">
        <v>11</v>
      </c>
      <c r="D893" s="2" t="n">
        <v>4</v>
      </c>
      <c r="E893" s="82" t="n">
        <v>44963</v>
      </c>
      <c r="F893" s="87" t="n">
        <v>0.772962962962963</v>
      </c>
      <c r="G893" s="82" t="n">
        <v>44964</v>
      </c>
      <c r="H893" s="87" t="n">
        <v>0.0603472222222222</v>
      </c>
      <c r="I893" s="2" t="s">
        <v>589</v>
      </c>
      <c r="J893" s="2" t="s">
        <v>179</v>
      </c>
    </row>
    <row r="894" customFormat="false" ht="15" hidden="false" customHeight="false" outlineLevel="0" collapsed="false">
      <c r="A894" s="7" t="n">
        <v>893</v>
      </c>
      <c r="B894" s="7" t="s">
        <v>151</v>
      </c>
      <c r="C894" s="7" t="n">
        <v>63</v>
      </c>
      <c r="D894" s="7" t="n">
        <v>3</v>
      </c>
      <c r="E894" s="77" t="n">
        <v>45013</v>
      </c>
      <c r="F894" s="86" t="n">
        <v>0.653263888888889</v>
      </c>
      <c r="G894" s="77" t="n">
        <v>45023</v>
      </c>
      <c r="H894" s="86" t="n">
        <v>0.617627314814815</v>
      </c>
      <c r="I894" s="7" t="s">
        <v>556</v>
      </c>
      <c r="J894" s="7" t="s">
        <v>165</v>
      </c>
    </row>
    <row r="895" customFormat="false" ht="15" hidden="false" customHeight="false" outlineLevel="0" collapsed="false">
      <c r="A895" s="2" t="n">
        <v>894</v>
      </c>
      <c r="B895" s="2" t="s">
        <v>372</v>
      </c>
      <c r="C895" s="2" t="n">
        <v>54</v>
      </c>
      <c r="D895" s="2" t="n">
        <v>4</v>
      </c>
      <c r="E895" s="82" t="n">
        <v>45213</v>
      </c>
      <c r="F895" s="87" t="n">
        <v>0.587303240740741</v>
      </c>
      <c r="G895" s="82" t="n">
        <v>45220</v>
      </c>
      <c r="H895" s="87" t="n">
        <v>0.965520833333333</v>
      </c>
      <c r="I895" s="2" t="s">
        <v>530</v>
      </c>
      <c r="J895" s="2" t="s">
        <v>168</v>
      </c>
    </row>
    <row r="896" customFormat="false" ht="15" hidden="false" customHeight="false" outlineLevel="0" collapsed="false">
      <c r="A896" s="7" t="n">
        <v>895</v>
      </c>
      <c r="B896" s="7" t="s">
        <v>300</v>
      </c>
      <c r="C896" s="7" t="n">
        <v>45</v>
      </c>
      <c r="D896" s="7" t="n">
        <v>1</v>
      </c>
      <c r="E896" s="77" t="n">
        <v>45013</v>
      </c>
      <c r="F896" s="86" t="n">
        <v>0.781898148148148</v>
      </c>
      <c r="G896" s="77" t="n">
        <v>45022</v>
      </c>
      <c r="H896" s="86" t="n">
        <v>0.120601851851852</v>
      </c>
      <c r="I896" s="7" t="s">
        <v>555</v>
      </c>
      <c r="J896" s="7" t="s">
        <v>31</v>
      </c>
    </row>
    <row r="897" customFormat="false" ht="15" hidden="false" customHeight="false" outlineLevel="0" collapsed="false">
      <c r="A897" s="2" t="n">
        <v>896</v>
      </c>
      <c r="B897" s="2" t="s">
        <v>263</v>
      </c>
      <c r="C897" s="2" t="n">
        <v>46</v>
      </c>
      <c r="D897" s="2" t="n">
        <v>1</v>
      </c>
      <c r="E897" s="82" t="n">
        <v>45021</v>
      </c>
      <c r="F897" s="87" t="n">
        <v>0.176331018518519</v>
      </c>
      <c r="G897" s="82" t="n">
        <v>45026</v>
      </c>
      <c r="H897" s="87" t="n">
        <v>0.534895833333333</v>
      </c>
      <c r="I897" s="2" t="s">
        <v>404</v>
      </c>
      <c r="J897" s="2" t="s">
        <v>168</v>
      </c>
    </row>
    <row r="898" customFormat="false" ht="15" hidden="false" customHeight="false" outlineLevel="0" collapsed="false">
      <c r="A898" s="7" t="n">
        <v>897</v>
      </c>
      <c r="B898" s="7" t="s">
        <v>200</v>
      </c>
      <c r="C898" s="7" t="n">
        <v>34</v>
      </c>
      <c r="D898" s="7" t="n">
        <v>5</v>
      </c>
      <c r="E898" s="77" t="n">
        <v>45163</v>
      </c>
      <c r="F898" s="86" t="n">
        <v>0.328715277777778</v>
      </c>
      <c r="G898" s="77" t="n">
        <v>45170</v>
      </c>
      <c r="H898" s="86" t="n">
        <v>0.585300925925926</v>
      </c>
      <c r="I898" s="7" t="s">
        <v>346</v>
      </c>
      <c r="J898" s="7" t="s">
        <v>40</v>
      </c>
    </row>
    <row r="899" customFormat="false" ht="15" hidden="false" customHeight="false" outlineLevel="0" collapsed="false">
      <c r="A899" s="2" t="n">
        <v>898</v>
      </c>
      <c r="B899" s="2" t="s">
        <v>172</v>
      </c>
      <c r="C899" s="2" t="n">
        <v>52</v>
      </c>
      <c r="D899" s="2" t="n">
        <v>1</v>
      </c>
      <c r="E899" s="82" t="n">
        <v>44966</v>
      </c>
      <c r="F899" s="87" t="n">
        <v>0.263101851851852</v>
      </c>
      <c r="G899" s="82" t="n">
        <v>44970</v>
      </c>
      <c r="H899" s="87" t="n">
        <v>0.967847222222222</v>
      </c>
      <c r="I899" s="2" t="s">
        <v>444</v>
      </c>
      <c r="J899" s="2" t="s">
        <v>179</v>
      </c>
    </row>
    <row r="900" customFormat="false" ht="15" hidden="false" customHeight="false" outlineLevel="0" collapsed="false">
      <c r="A900" s="7" t="n">
        <v>899</v>
      </c>
      <c r="B900" s="7" t="s">
        <v>154</v>
      </c>
      <c r="C900" s="7" t="n">
        <v>63</v>
      </c>
      <c r="D900" s="7" t="n">
        <v>1</v>
      </c>
      <c r="E900" s="77" t="n">
        <v>45277</v>
      </c>
      <c r="F900" s="86" t="n">
        <v>0.895775462962963</v>
      </c>
      <c r="G900" s="77" t="n">
        <v>45284</v>
      </c>
      <c r="H900" s="86" t="n">
        <v>0.0115856481481482</v>
      </c>
      <c r="I900" s="7" t="s">
        <v>277</v>
      </c>
      <c r="J900" s="7" t="s">
        <v>165</v>
      </c>
    </row>
    <row r="901" customFormat="false" ht="15" hidden="false" customHeight="false" outlineLevel="0" collapsed="false">
      <c r="A901" s="2" t="n">
        <v>900</v>
      </c>
      <c r="B901" s="2" t="s">
        <v>192</v>
      </c>
      <c r="C901" s="2" t="n">
        <v>57</v>
      </c>
      <c r="D901" s="2" t="n">
        <v>3</v>
      </c>
      <c r="E901" s="82" t="n">
        <v>45023</v>
      </c>
      <c r="F901" s="87" t="n">
        <v>0.63125</v>
      </c>
      <c r="G901" s="82" t="n">
        <v>45031</v>
      </c>
      <c r="H901" s="87" t="n">
        <v>0.354780092592593</v>
      </c>
      <c r="I901" s="2" t="s">
        <v>550</v>
      </c>
      <c r="J901" s="2" t="s">
        <v>31</v>
      </c>
    </row>
    <row r="902" customFormat="false" ht="15" hidden="false" customHeight="false" outlineLevel="0" collapsed="false">
      <c r="A902" s="7" t="n">
        <v>901</v>
      </c>
      <c r="B902" s="7" t="s">
        <v>233</v>
      </c>
      <c r="C902" s="7" t="n">
        <v>27</v>
      </c>
      <c r="D902" s="7" t="n">
        <v>4</v>
      </c>
      <c r="E902" s="77" t="n">
        <v>45160</v>
      </c>
      <c r="F902" s="86" t="n">
        <v>0.330300925925926</v>
      </c>
      <c r="G902" s="77" t="n">
        <v>45165</v>
      </c>
      <c r="H902" s="86" t="n">
        <v>0.0642361111111111</v>
      </c>
      <c r="I902" s="7" t="s">
        <v>335</v>
      </c>
      <c r="J902" s="7" t="s">
        <v>40</v>
      </c>
    </row>
    <row r="903" customFormat="false" ht="15" hidden="false" customHeight="false" outlineLevel="0" collapsed="false">
      <c r="A903" s="2" t="n">
        <v>902</v>
      </c>
      <c r="B903" s="2" t="s">
        <v>188</v>
      </c>
      <c r="C903" s="2" t="n">
        <v>32</v>
      </c>
      <c r="D903" s="2" t="n">
        <v>5</v>
      </c>
      <c r="E903" s="82" t="n">
        <v>45007</v>
      </c>
      <c r="F903" s="87" t="n">
        <v>0.56244212962963</v>
      </c>
      <c r="G903" s="82" t="n">
        <v>45009</v>
      </c>
      <c r="H903" s="87" t="n">
        <v>0.516678240740741</v>
      </c>
      <c r="I903" s="2" t="s">
        <v>268</v>
      </c>
      <c r="J903" s="2" t="s">
        <v>31</v>
      </c>
    </row>
    <row r="904" customFormat="false" ht="15" hidden="false" customHeight="false" outlineLevel="0" collapsed="false">
      <c r="A904" s="7" t="n">
        <v>903</v>
      </c>
      <c r="B904" s="7" t="s">
        <v>300</v>
      </c>
      <c r="C904" s="7" t="n">
        <v>63</v>
      </c>
      <c r="D904" s="7" t="n">
        <v>2</v>
      </c>
      <c r="E904" s="77" t="n">
        <v>45184</v>
      </c>
      <c r="F904" s="86" t="n">
        <v>0.737766203703704</v>
      </c>
      <c r="G904" s="77" t="n">
        <v>45191</v>
      </c>
      <c r="H904" s="86" t="n">
        <v>0.811550925925926</v>
      </c>
      <c r="I904" s="7" t="s">
        <v>265</v>
      </c>
      <c r="J904" s="7" t="s">
        <v>165</v>
      </c>
    </row>
    <row r="905" customFormat="false" ht="15" hidden="false" customHeight="false" outlineLevel="0" collapsed="false">
      <c r="A905" s="2" t="n">
        <v>904</v>
      </c>
      <c r="B905" s="2" t="s">
        <v>159</v>
      </c>
      <c r="C905" s="2" t="n">
        <v>2</v>
      </c>
      <c r="D905" s="2" t="n">
        <v>4</v>
      </c>
      <c r="E905" s="82" t="n">
        <v>44969</v>
      </c>
      <c r="F905" s="87" t="n">
        <v>0.920694444444445</v>
      </c>
      <c r="G905" s="82" t="n">
        <v>44974</v>
      </c>
      <c r="H905" s="87" t="n">
        <v>0.0455671296296296</v>
      </c>
      <c r="I905" s="2" t="s">
        <v>489</v>
      </c>
      <c r="J905" s="2" t="s">
        <v>179</v>
      </c>
    </row>
    <row r="906" customFormat="false" ht="15" hidden="false" customHeight="false" outlineLevel="0" collapsed="false">
      <c r="A906" s="7" t="n">
        <v>905</v>
      </c>
      <c r="B906" s="7" t="s">
        <v>338</v>
      </c>
      <c r="C906" s="7" t="n">
        <v>58</v>
      </c>
      <c r="D906" s="7" t="n">
        <v>1</v>
      </c>
      <c r="E906" s="77" t="n">
        <v>44967</v>
      </c>
      <c r="F906" s="86" t="n">
        <v>0.813599537037037</v>
      </c>
      <c r="G906" s="77" t="n">
        <v>44973</v>
      </c>
      <c r="H906" s="86" t="n">
        <v>0.355717592592593</v>
      </c>
      <c r="I906" s="7" t="s">
        <v>420</v>
      </c>
      <c r="J906" s="7" t="s">
        <v>179</v>
      </c>
    </row>
    <row r="907" customFormat="false" ht="15" hidden="false" customHeight="false" outlineLevel="0" collapsed="false">
      <c r="A907" s="2" t="n">
        <v>906</v>
      </c>
      <c r="B907" s="2" t="s">
        <v>392</v>
      </c>
      <c r="C907" s="2" t="n">
        <v>49</v>
      </c>
      <c r="D907" s="2" t="n">
        <v>3</v>
      </c>
      <c r="E907" s="82" t="n">
        <v>44963</v>
      </c>
      <c r="F907" s="87" t="n">
        <v>0.0530092592592593</v>
      </c>
      <c r="G907" s="82" t="n">
        <v>44973</v>
      </c>
      <c r="H907" s="87" t="n">
        <v>0.385277777777778</v>
      </c>
      <c r="I907" s="2" t="s">
        <v>430</v>
      </c>
      <c r="J907" s="2" t="s">
        <v>179</v>
      </c>
    </row>
    <row r="908" customFormat="false" ht="15" hidden="false" customHeight="false" outlineLevel="0" collapsed="false">
      <c r="A908" s="7" t="n">
        <v>907</v>
      </c>
      <c r="B908" s="7" t="s">
        <v>242</v>
      </c>
      <c r="C908" s="7" t="n">
        <v>30</v>
      </c>
      <c r="D908" s="7" t="n">
        <v>2</v>
      </c>
      <c r="E908" s="77" t="n">
        <v>45035</v>
      </c>
      <c r="F908" s="86" t="n">
        <v>0.900474537037037</v>
      </c>
      <c r="G908" s="77" t="n">
        <v>45041</v>
      </c>
      <c r="H908" s="86" t="n">
        <v>0.466701388888889</v>
      </c>
      <c r="I908" s="7" t="s">
        <v>293</v>
      </c>
      <c r="J908" s="7" t="s">
        <v>168</v>
      </c>
    </row>
    <row r="909" customFormat="false" ht="15" hidden="false" customHeight="false" outlineLevel="0" collapsed="false">
      <c r="A909" s="2" t="n">
        <v>908</v>
      </c>
      <c r="B909" s="2" t="s">
        <v>366</v>
      </c>
      <c r="C909" s="2" t="n">
        <v>28</v>
      </c>
      <c r="D909" s="2" t="n">
        <v>5</v>
      </c>
      <c r="E909" s="82" t="n">
        <v>45160</v>
      </c>
      <c r="F909" s="87" t="n">
        <v>0.660706018518519</v>
      </c>
      <c r="G909" s="82" t="n">
        <v>45162</v>
      </c>
      <c r="H909" s="87" t="n">
        <v>0.951481481481482</v>
      </c>
      <c r="I909" s="2" t="s">
        <v>516</v>
      </c>
      <c r="J909" s="2" t="s">
        <v>40</v>
      </c>
    </row>
    <row r="910" customFormat="false" ht="15" hidden="false" customHeight="false" outlineLevel="0" collapsed="false">
      <c r="A910" s="7" t="n">
        <v>909</v>
      </c>
      <c r="B910" s="7" t="s">
        <v>350</v>
      </c>
      <c r="C910" s="7" t="n">
        <v>42</v>
      </c>
      <c r="D910" s="7" t="n">
        <v>1</v>
      </c>
      <c r="E910" s="77" t="n">
        <v>45234</v>
      </c>
      <c r="F910" s="86" t="n">
        <v>0.322118055555556</v>
      </c>
      <c r="G910" s="77" t="n">
        <v>45238</v>
      </c>
      <c r="H910" s="86" t="n">
        <v>0.93431712962963</v>
      </c>
      <c r="I910" s="7" t="s">
        <v>418</v>
      </c>
      <c r="J910" s="7" t="s">
        <v>165</v>
      </c>
    </row>
    <row r="911" customFormat="false" ht="15" hidden="false" customHeight="false" outlineLevel="0" collapsed="false">
      <c r="A911" s="2" t="n">
        <v>910</v>
      </c>
      <c r="B911" s="2" t="s">
        <v>300</v>
      </c>
      <c r="C911" s="2" t="n">
        <v>55</v>
      </c>
      <c r="D911" s="2" t="n">
        <v>4</v>
      </c>
      <c r="E911" s="82" t="n">
        <v>45164</v>
      </c>
      <c r="F911" s="87" t="n">
        <v>0.0856828703703704</v>
      </c>
      <c r="G911" s="82" t="n">
        <v>45173</v>
      </c>
      <c r="H911" s="87" t="n">
        <v>0.710532407407407</v>
      </c>
      <c r="I911" s="2" t="s">
        <v>447</v>
      </c>
      <c r="J911" s="2" t="s">
        <v>40</v>
      </c>
    </row>
    <row r="912" customFormat="false" ht="15" hidden="false" customHeight="false" outlineLevel="0" collapsed="false">
      <c r="A912" s="7" t="n">
        <v>911</v>
      </c>
      <c r="B912" s="7" t="s">
        <v>313</v>
      </c>
      <c r="C912" s="7" t="n">
        <v>22</v>
      </c>
      <c r="D912" s="7" t="n">
        <v>4</v>
      </c>
      <c r="E912" s="77" t="n">
        <v>44949</v>
      </c>
      <c r="F912" s="86" t="n">
        <v>0.221435185185185</v>
      </c>
      <c r="G912" s="77" t="n">
        <v>44954</v>
      </c>
      <c r="H912" s="86" t="n">
        <v>0.0661921296296296</v>
      </c>
      <c r="I912" s="7" t="s">
        <v>505</v>
      </c>
      <c r="J912" s="7" t="s">
        <v>165</v>
      </c>
    </row>
    <row r="913" customFormat="false" ht="15" hidden="false" customHeight="false" outlineLevel="0" collapsed="false">
      <c r="A913" s="2" t="n">
        <v>912</v>
      </c>
      <c r="B913" s="2" t="s">
        <v>288</v>
      </c>
      <c r="C913" s="2" t="n">
        <v>9</v>
      </c>
      <c r="D913" s="2" t="n">
        <v>4</v>
      </c>
      <c r="E913" s="82" t="n">
        <v>45167</v>
      </c>
      <c r="F913" s="87" t="n">
        <v>0.13193287037037</v>
      </c>
      <c r="G913" s="82" t="n">
        <v>45175</v>
      </c>
      <c r="H913" s="87" t="n">
        <v>0.48349537037037</v>
      </c>
      <c r="I913" s="2" t="s">
        <v>387</v>
      </c>
      <c r="J913" s="2" t="s">
        <v>40</v>
      </c>
    </row>
    <row r="914" customFormat="false" ht="15" hidden="false" customHeight="false" outlineLevel="0" collapsed="false">
      <c r="A914" s="7" t="n">
        <v>913</v>
      </c>
      <c r="B914" s="7" t="s">
        <v>372</v>
      </c>
      <c r="C914" s="7" t="n">
        <v>56</v>
      </c>
      <c r="D914" s="7" t="n">
        <v>5</v>
      </c>
      <c r="E914" s="77" t="n">
        <v>45270</v>
      </c>
      <c r="F914" s="86" t="n">
        <v>0.777361111111111</v>
      </c>
      <c r="G914" s="77" t="n">
        <v>45272</v>
      </c>
      <c r="H914" s="86" t="n">
        <v>0.234108796296296</v>
      </c>
      <c r="I914" s="7" t="s">
        <v>232</v>
      </c>
      <c r="J914" s="7" t="s">
        <v>168</v>
      </c>
    </row>
    <row r="915" customFormat="false" ht="15" hidden="false" customHeight="false" outlineLevel="0" collapsed="false">
      <c r="A915" s="2" t="n">
        <v>914</v>
      </c>
      <c r="B915" s="2" t="s">
        <v>248</v>
      </c>
      <c r="C915" s="2" t="n">
        <v>33</v>
      </c>
      <c r="D915" s="2" t="n">
        <v>4</v>
      </c>
      <c r="E915" s="82" t="n">
        <v>44966</v>
      </c>
      <c r="F915" s="87" t="n">
        <v>0.619652777777778</v>
      </c>
      <c r="G915" s="82" t="n">
        <v>44971</v>
      </c>
      <c r="H915" s="87" t="n">
        <v>0.40787037037037</v>
      </c>
      <c r="I915" s="2" t="s">
        <v>555</v>
      </c>
      <c r="J915" s="2" t="s">
        <v>179</v>
      </c>
    </row>
    <row r="916" customFormat="false" ht="15" hidden="false" customHeight="false" outlineLevel="0" collapsed="false">
      <c r="A916" s="7" t="n">
        <v>915</v>
      </c>
      <c r="B916" s="7" t="s">
        <v>161</v>
      </c>
      <c r="C916" s="7" t="n">
        <v>35</v>
      </c>
      <c r="D916" s="7" t="n">
        <v>1</v>
      </c>
      <c r="E916" s="77" t="n">
        <v>44991</v>
      </c>
      <c r="F916" s="86" t="n">
        <v>0.883796296296296</v>
      </c>
      <c r="G916" s="77" t="n">
        <v>44999</v>
      </c>
      <c r="H916" s="86" t="n">
        <v>0.230983796296296</v>
      </c>
      <c r="I916" s="7" t="s">
        <v>601</v>
      </c>
      <c r="J916" s="7" t="s">
        <v>33</v>
      </c>
    </row>
    <row r="917" customFormat="false" ht="15" hidden="false" customHeight="false" outlineLevel="0" collapsed="false">
      <c r="A917" s="2" t="n">
        <v>916</v>
      </c>
      <c r="B917" s="2" t="s">
        <v>291</v>
      </c>
      <c r="C917" s="2" t="n">
        <v>33</v>
      </c>
      <c r="D917" s="2" t="n">
        <v>2</v>
      </c>
      <c r="E917" s="82" t="n">
        <v>44963</v>
      </c>
      <c r="F917" s="87" t="n">
        <v>0.182743055555556</v>
      </c>
      <c r="G917" s="82" t="n">
        <v>44971</v>
      </c>
      <c r="H917" s="87" t="n">
        <v>0.888472222222222</v>
      </c>
      <c r="I917" s="2" t="s">
        <v>321</v>
      </c>
      <c r="J917" s="2" t="s">
        <v>179</v>
      </c>
    </row>
    <row r="918" customFormat="false" ht="15" hidden="false" customHeight="false" outlineLevel="0" collapsed="false">
      <c r="A918" s="7" t="n">
        <v>917</v>
      </c>
      <c r="B918" s="7" t="s">
        <v>260</v>
      </c>
      <c r="C918" s="7" t="n">
        <v>12</v>
      </c>
      <c r="D918" s="7" t="n">
        <v>3</v>
      </c>
      <c r="E918" s="77" t="n">
        <v>44950</v>
      </c>
      <c r="F918" s="86" t="n">
        <v>0.247847222222222</v>
      </c>
      <c r="G918" s="77" t="n">
        <v>44955</v>
      </c>
      <c r="H918" s="86" t="n">
        <v>0.461377314814815</v>
      </c>
      <c r="I918" s="7" t="s">
        <v>203</v>
      </c>
      <c r="J918" s="7" t="s">
        <v>168</v>
      </c>
    </row>
    <row r="919" customFormat="false" ht="15" hidden="false" customHeight="false" outlineLevel="0" collapsed="false">
      <c r="A919" s="2" t="n">
        <v>918</v>
      </c>
      <c r="B919" s="2" t="s">
        <v>347</v>
      </c>
      <c r="C919" s="2" t="n">
        <v>19</v>
      </c>
      <c r="D919" s="2" t="n">
        <v>2</v>
      </c>
      <c r="E919" s="82" t="n">
        <v>44969</v>
      </c>
      <c r="F919" s="87" t="n">
        <v>0.759097222222222</v>
      </c>
      <c r="G919" s="82" t="n">
        <v>44978</v>
      </c>
      <c r="H919" s="87" t="n">
        <v>0.918125</v>
      </c>
      <c r="I919" s="2" t="s">
        <v>517</v>
      </c>
      <c r="J919" s="2" t="s">
        <v>179</v>
      </c>
    </row>
    <row r="920" customFormat="false" ht="15" hidden="false" customHeight="false" outlineLevel="0" collapsed="false">
      <c r="A920" s="7" t="n">
        <v>919</v>
      </c>
      <c r="B920" s="7" t="s">
        <v>218</v>
      </c>
      <c r="C920" s="7" t="n">
        <v>35</v>
      </c>
      <c r="D920" s="7" t="n">
        <v>5</v>
      </c>
      <c r="E920" s="77" t="n">
        <v>44985</v>
      </c>
      <c r="F920" s="86" t="n">
        <v>0.352696759259259</v>
      </c>
      <c r="G920" s="77" t="n">
        <v>44989</v>
      </c>
      <c r="H920" s="86" t="n">
        <v>0.00380787037037037</v>
      </c>
      <c r="I920" s="7" t="s">
        <v>333</v>
      </c>
      <c r="J920" s="7" t="s">
        <v>33</v>
      </c>
    </row>
    <row r="921" customFormat="false" ht="15" hidden="false" customHeight="false" outlineLevel="0" collapsed="false">
      <c r="A921" s="2" t="n">
        <v>920</v>
      </c>
      <c r="B921" s="2" t="s">
        <v>190</v>
      </c>
      <c r="C921" s="2" t="n">
        <v>45</v>
      </c>
      <c r="D921" s="2" t="n">
        <v>1</v>
      </c>
      <c r="E921" s="82" t="n">
        <v>45106</v>
      </c>
      <c r="F921" s="87" t="n">
        <v>0.849363425925926</v>
      </c>
      <c r="G921" s="82" t="n">
        <v>45115</v>
      </c>
      <c r="H921" s="87" t="n">
        <v>0.987233796296296</v>
      </c>
      <c r="I921" s="2" t="s">
        <v>394</v>
      </c>
      <c r="J921" s="2" t="s">
        <v>31</v>
      </c>
    </row>
    <row r="922" customFormat="false" ht="15" hidden="false" customHeight="false" outlineLevel="0" collapsed="false">
      <c r="A922" s="7" t="n">
        <v>921</v>
      </c>
      <c r="B922" s="7" t="s">
        <v>334</v>
      </c>
      <c r="C922" s="7" t="n">
        <v>23</v>
      </c>
      <c r="D922" s="7" t="n">
        <v>4</v>
      </c>
      <c r="E922" s="77" t="n">
        <v>45187</v>
      </c>
      <c r="F922" s="86" t="n">
        <v>0.578240740740741</v>
      </c>
      <c r="G922" s="77" t="n">
        <v>45192</v>
      </c>
      <c r="H922" s="86" t="n">
        <v>0.30724537037037</v>
      </c>
      <c r="I922" s="7" t="s">
        <v>387</v>
      </c>
      <c r="J922" s="7" t="s">
        <v>168</v>
      </c>
    </row>
    <row r="923" customFormat="false" ht="15" hidden="false" customHeight="false" outlineLevel="0" collapsed="false">
      <c r="A923" s="2" t="n">
        <v>922</v>
      </c>
      <c r="B923" s="2" t="s">
        <v>148</v>
      </c>
      <c r="C923" s="2" t="n">
        <v>23</v>
      </c>
      <c r="D923" s="2" t="n">
        <v>1</v>
      </c>
      <c r="E923" s="82" t="n">
        <v>45274</v>
      </c>
      <c r="F923" s="87" t="n">
        <v>0.386388888888889</v>
      </c>
      <c r="G923" s="82" t="n">
        <v>45278</v>
      </c>
      <c r="H923" s="87" t="n">
        <v>0.335844907407407</v>
      </c>
      <c r="I923" s="2" t="s">
        <v>478</v>
      </c>
      <c r="J923" s="2" t="s">
        <v>168</v>
      </c>
    </row>
    <row r="924" customFormat="false" ht="15" hidden="false" customHeight="false" outlineLevel="0" collapsed="false">
      <c r="A924" s="7" t="n">
        <v>923</v>
      </c>
      <c r="B924" s="7" t="s">
        <v>206</v>
      </c>
      <c r="C924" s="7" t="n">
        <v>7</v>
      </c>
      <c r="D924" s="7" t="n">
        <v>4</v>
      </c>
      <c r="E924" s="77" t="n">
        <v>44984</v>
      </c>
      <c r="F924" s="86" t="n">
        <v>0.609398148148148</v>
      </c>
      <c r="G924" s="77" t="n">
        <v>44985</v>
      </c>
      <c r="H924" s="86" t="n">
        <v>0.917789351851852</v>
      </c>
      <c r="I924" s="7" t="s">
        <v>132</v>
      </c>
      <c r="J924" s="7" t="s">
        <v>33</v>
      </c>
    </row>
    <row r="925" customFormat="false" ht="15" hidden="false" customHeight="false" outlineLevel="0" collapsed="false">
      <c r="A925" s="2" t="n">
        <v>924</v>
      </c>
      <c r="B925" s="2" t="s">
        <v>159</v>
      </c>
      <c r="C925" s="2" t="n">
        <v>17</v>
      </c>
      <c r="D925" s="2" t="n">
        <v>1</v>
      </c>
      <c r="E925" s="82" t="n">
        <v>45010</v>
      </c>
      <c r="F925" s="87" t="n">
        <v>0.407743055555556</v>
      </c>
      <c r="G925" s="82" t="n">
        <v>45020</v>
      </c>
      <c r="H925" s="87" t="n">
        <v>0.955613425925926</v>
      </c>
      <c r="I925" s="2" t="s">
        <v>550</v>
      </c>
      <c r="J925" s="2" t="s">
        <v>168</v>
      </c>
    </row>
    <row r="926" customFormat="false" ht="15" hidden="false" customHeight="false" outlineLevel="0" collapsed="false">
      <c r="A926" s="7" t="n">
        <v>925</v>
      </c>
      <c r="B926" s="7" t="s">
        <v>157</v>
      </c>
      <c r="C926" s="7" t="n">
        <v>31</v>
      </c>
      <c r="D926" s="7" t="n">
        <v>1</v>
      </c>
      <c r="E926" s="77" t="n">
        <v>44934</v>
      </c>
      <c r="F926" s="86" t="n">
        <v>0.0387847222222222</v>
      </c>
      <c r="G926" s="77" t="n">
        <v>44938</v>
      </c>
      <c r="H926" s="86" t="n">
        <v>0.277164351851852</v>
      </c>
      <c r="I926" s="7" t="s">
        <v>518</v>
      </c>
      <c r="J926" s="7" t="s">
        <v>165</v>
      </c>
    </row>
    <row r="927" customFormat="false" ht="15" hidden="false" customHeight="false" outlineLevel="0" collapsed="false">
      <c r="A927" s="2" t="n">
        <v>926</v>
      </c>
      <c r="B927" s="2" t="s">
        <v>251</v>
      </c>
      <c r="C927" s="2" t="n">
        <v>40</v>
      </c>
      <c r="D927" s="2" t="n">
        <v>4</v>
      </c>
      <c r="E927" s="82" t="n">
        <v>45013</v>
      </c>
      <c r="F927" s="87" t="n">
        <v>0.959699074074074</v>
      </c>
      <c r="G927" s="82" t="n">
        <v>45016</v>
      </c>
      <c r="H927" s="87" t="n">
        <v>0.994039351851852</v>
      </c>
      <c r="I927" s="2" t="s">
        <v>468</v>
      </c>
      <c r="J927" s="2" t="s">
        <v>168</v>
      </c>
    </row>
    <row r="928" customFormat="false" ht="15" hidden="false" customHeight="false" outlineLevel="0" collapsed="false">
      <c r="A928" s="7" t="n">
        <v>927</v>
      </c>
      <c r="B928" s="7" t="s">
        <v>392</v>
      </c>
      <c r="C928" s="7" t="n">
        <v>43</v>
      </c>
      <c r="D928" s="7" t="n">
        <v>4</v>
      </c>
      <c r="E928" s="77" t="n">
        <v>45233</v>
      </c>
      <c r="F928" s="86" t="n">
        <v>0.2765625</v>
      </c>
      <c r="G928" s="77" t="n">
        <v>45241</v>
      </c>
      <c r="H928" s="86" t="n">
        <v>0.208530092592593</v>
      </c>
      <c r="I928" s="7" t="s">
        <v>391</v>
      </c>
      <c r="J928" s="7" t="s">
        <v>32</v>
      </c>
    </row>
    <row r="929" customFormat="false" ht="15" hidden="false" customHeight="false" outlineLevel="0" collapsed="false">
      <c r="A929" s="2" t="n">
        <v>928</v>
      </c>
      <c r="B929" s="2" t="s">
        <v>157</v>
      </c>
      <c r="C929" s="2" t="n">
        <v>23</v>
      </c>
      <c r="D929" s="2" t="n">
        <v>3</v>
      </c>
      <c r="E929" s="82" t="n">
        <v>45249</v>
      </c>
      <c r="F929" s="87" t="n">
        <v>0.462777777777778</v>
      </c>
      <c r="G929" s="82" t="n">
        <v>45257</v>
      </c>
      <c r="H929" s="87" t="n">
        <v>0.427916666666667</v>
      </c>
      <c r="I929" s="2" t="s">
        <v>274</v>
      </c>
      <c r="J929" s="2" t="s">
        <v>168</v>
      </c>
    </row>
    <row r="930" customFormat="false" ht="15" hidden="false" customHeight="false" outlineLevel="0" collapsed="false">
      <c r="A930" s="7" t="n">
        <v>929</v>
      </c>
      <c r="B930" s="7" t="s">
        <v>353</v>
      </c>
      <c r="C930" s="7" t="n">
        <v>23</v>
      </c>
      <c r="D930" s="7" t="n">
        <v>1</v>
      </c>
      <c r="E930" s="77" t="n">
        <v>45004</v>
      </c>
      <c r="F930" s="86" t="n">
        <v>0.292268518518519</v>
      </c>
      <c r="G930" s="77" t="n">
        <v>45011</v>
      </c>
      <c r="H930" s="86" t="n">
        <v>0.543425925925926</v>
      </c>
      <c r="I930" s="7" t="s">
        <v>453</v>
      </c>
      <c r="J930" s="7" t="s">
        <v>168</v>
      </c>
    </row>
    <row r="931" customFormat="false" ht="15" hidden="false" customHeight="false" outlineLevel="0" collapsed="false">
      <c r="A931" s="2" t="n">
        <v>930</v>
      </c>
      <c r="B931" s="2" t="s">
        <v>347</v>
      </c>
      <c r="C931" s="2" t="n">
        <v>61</v>
      </c>
      <c r="D931" s="2" t="n">
        <v>3</v>
      </c>
      <c r="E931" s="82" t="n">
        <v>45080</v>
      </c>
      <c r="F931" s="87" t="n">
        <v>0.661469907407407</v>
      </c>
      <c r="G931" s="82" t="n">
        <v>45084</v>
      </c>
      <c r="H931" s="87" t="n">
        <v>0.8203125</v>
      </c>
      <c r="I931" s="2" t="s">
        <v>381</v>
      </c>
      <c r="J931" s="2" t="s">
        <v>168</v>
      </c>
    </row>
    <row r="932" customFormat="false" ht="15" hidden="false" customHeight="false" outlineLevel="0" collapsed="false">
      <c r="A932" s="7" t="n">
        <v>931</v>
      </c>
      <c r="B932" s="7" t="s">
        <v>263</v>
      </c>
      <c r="C932" s="7" t="n">
        <v>14</v>
      </c>
      <c r="D932" s="7" t="n">
        <v>1</v>
      </c>
      <c r="E932" s="77" t="n">
        <v>45033</v>
      </c>
      <c r="F932" s="86" t="n">
        <v>0.825138888888889</v>
      </c>
      <c r="G932" s="77" t="n">
        <v>45035</v>
      </c>
      <c r="H932" s="86" t="n">
        <v>0.43443287037037</v>
      </c>
      <c r="I932" s="7" t="s">
        <v>478</v>
      </c>
      <c r="J932" s="7" t="s">
        <v>31</v>
      </c>
    </row>
    <row r="933" customFormat="false" ht="15" hidden="false" customHeight="false" outlineLevel="0" collapsed="false">
      <c r="A933" s="2" t="n">
        <v>932</v>
      </c>
      <c r="B933" s="2" t="s">
        <v>218</v>
      </c>
      <c r="C933" s="2" t="n">
        <v>63</v>
      </c>
      <c r="D933" s="2" t="n">
        <v>2</v>
      </c>
      <c r="E933" s="82" t="n">
        <v>45228</v>
      </c>
      <c r="F933" s="87" t="n">
        <v>0.689236111111111</v>
      </c>
      <c r="G933" s="82" t="n">
        <v>45232</v>
      </c>
      <c r="H933" s="87" t="n">
        <v>0.928599537037037</v>
      </c>
      <c r="I933" s="2" t="s">
        <v>356</v>
      </c>
      <c r="J933" s="2" t="s">
        <v>165</v>
      </c>
    </row>
    <row r="934" customFormat="false" ht="15" hidden="false" customHeight="false" outlineLevel="0" collapsed="false">
      <c r="A934" s="7" t="n">
        <v>933</v>
      </c>
      <c r="B934" s="7" t="s">
        <v>218</v>
      </c>
      <c r="C934" s="7" t="n">
        <v>51</v>
      </c>
      <c r="D934" s="7" t="n">
        <v>3</v>
      </c>
      <c r="E934" s="77" t="n">
        <v>45244</v>
      </c>
      <c r="F934" s="86" t="n">
        <v>0.51181712962963</v>
      </c>
      <c r="G934" s="77" t="n">
        <v>45253</v>
      </c>
      <c r="H934" s="86" t="n">
        <v>0.118078703703704</v>
      </c>
      <c r="I934" s="7" t="s">
        <v>497</v>
      </c>
      <c r="J934" s="7" t="s">
        <v>165</v>
      </c>
    </row>
    <row r="935" customFormat="false" ht="15" hidden="false" customHeight="false" outlineLevel="0" collapsed="false">
      <c r="A935" s="2" t="n">
        <v>934</v>
      </c>
      <c r="B935" s="2" t="s">
        <v>181</v>
      </c>
      <c r="C935" s="2" t="n">
        <v>27</v>
      </c>
      <c r="D935" s="2" t="n">
        <v>5</v>
      </c>
      <c r="E935" s="82" t="n">
        <v>45160</v>
      </c>
      <c r="F935" s="87" t="n">
        <v>0.0285185185185185</v>
      </c>
      <c r="G935" s="82" t="n">
        <v>45161</v>
      </c>
      <c r="H935" s="87" t="n">
        <v>0.360324074074074</v>
      </c>
      <c r="I935" s="2" t="s">
        <v>126</v>
      </c>
      <c r="J935" s="2" t="s">
        <v>40</v>
      </c>
    </row>
    <row r="936" customFormat="false" ht="15" hidden="false" customHeight="false" outlineLevel="0" collapsed="false">
      <c r="A936" s="7" t="n">
        <v>935</v>
      </c>
      <c r="B936" s="7" t="s">
        <v>242</v>
      </c>
      <c r="C936" s="7" t="n">
        <v>27</v>
      </c>
      <c r="D936" s="7" t="n">
        <v>5</v>
      </c>
      <c r="E936" s="77" t="n">
        <v>45158</v>
      </c>
      <c r="F936" s="86" t="n">
        <v>0.4015625</v>
      </c>
      <c r="G936" s="77" t="n">
        <v>45167</v>
      </c>
      <c r="H936" s="86" t="n">
        <v>0.721261574074074</v>
      </c>
      <c r="I936" s="7" t="s">
        <v>470</v>
      </c>
      <c r="J936" s="7" t="s">
        <v>40</v>
      </c>
    </row>
    <row r="937" customFormat="false" ht="15" hidden="false" customHeight="false" outlineLevel="0" collapsed="false">
      <c r="A937" s="2" t="n">
        <v>936</v>
      </c>
      <c r="B937" s="2" t="s">
        <v>239</v>
      </c>
      <c r="C937" s="2" t="n">
        <v>43</v>
      </c>
      <c r="D937" s="2" t="n">
        <v>4</v>
      </c>
      <c r="E937" s="82" t="n">
        <v>45232</v>
      </c>
      <c r="F937" s="87" t="n">
        <v>0.893414351851852</v>
      </c>
      <c r="G937" s="82" t="n">
        <v>45238</v>
      </c>
      <c r="H937" s="87" t="n">
        <v>0.41912037037037</v>
      </c>
      <c r="I937" s="2" t="s">
        <v>201</v>
      </c>
      <c r="J937" s="2" t="s">
        <v>32</v>
      </c>
    </row>
    <row r="938" customFormat="false" ht="15" hidden="false" customHeight="false" outlineLevel="0" collapsed="false">
      <c r="A938" s="7" t="n">
        <v>937</v>
      </c>
      <c r="B938" s="7" t="s">
        <v>385</v>
      </c>
      <c r="C938" s="7" t="n">
        <v>51</v>
      </c>
      <c r="D938" s="7" t="n">
        <v>2</v>
      </c>
      <c r="E938" s="77" t="n">
        <v>44996</v>
      </c>
      <c r="F938" s="86" t="n">
        <v>0.165081018518519</v>
      </c>
      <c r="G938" s="77" t="n">
        <v>45000</v>
      </c>
      <c r="H938" s="86" t="n">
        <v>0.81056712962963</v>
      </c>
      <c r="I938" s="7" t="s">
        <v>548</v>
      </c>
      <c r="J938" s="7" t="s">
        <v>165</v>
      </c>
    </row>
    <row r="939" customFormat="false" ht="15" hidden="false" customHeight="false" outlineLevel="0" collapsed="false">
      <c r="A939" s="2" t="n">
        <v>938</v>
      </c>
      <c r="B939" s="2" t="s">
        <v>136</v>
      </c>
      <c r="C939" s="2" t="n">
        <v>59</v>
      </c>
      <c r="D939" s="2" t="n">
        <v>3</v>
      </c>
      <c r="E939" s="82" t="n">
        <v>45167</v>
      </c>
      <c r="F939" s="87" t="n">
        <v>0.758900462962963</v>
      </c>
      <c r="G939" s="82" t="n">
        <v>45177</v>
      </c>
      <c r="H939" s="87" t="n">
        <v>0.0538541666666667</v>
      </c>
      <c r="I939" s="2" t="s">
        <v>545</v>
      </c>
      <c r="J939" s="2" t="s">
        <v>40</v>
      </c>
    </row>
    <row r="940" customFormat="false" ht="15" hidden="false" customHeight="false" outlineLevel="0" collapsed="false">
      <c r="A940" s="7" t="n">
        <v>939</v>
      </c>
      <c r="B940" s="7" t="s">
        <v>350</v>
      </c>
      <c r="C940" s="7" t="n">
        <v>9</v>
      </c>
      <c r="D940" s="7" t="n">
        <v>4</v>
      </c>
      <c r="E940" s="77" t="n">
        <v>45158</v>
      </c>
      <c r="F940" s="86" t="n">
        <v>0.871585648148148</v>
      </c>
      <c r="G940" s="77" t="n">
        <v>45159</v>
      </c>
      <c r="H940" s="86" t="n">
        <v>0.191828703703704</v>
      </c>
      <c r="I940" s="7" t="s">
        <v>241</v>
      </c>
      <c r="J940" s="7" t="s">
        <v>40</v>
      </c>
    </row>
    <row r="941" customFormat="false" ht="15" hidden="false" customHeight="false" outlineLevel="0" collapsed="false">
      <c r="A941" s="2" t="n">
        <v>940</v>
      </c>
      <c r="B941" s="2" t="s">
        <v>344</v>
      </c>
      <c r="C941" s="2" t="n">
        <v>57</v>
      </c>
      <c r="D941" s="2" t="n">
        <v>4</v>
      </c>
      <c r="E941" s="82" t="n">
        <v>44937</v>
      </c>
      <c r="F941" s="87" t="n">
        <v>0.985011574074074</v>
      </c>
      <c r="G941" s="82" t="n">
        <v>44938</v>
      </c>
      <c r="H941" s="87" t="n">
        <v>0.17005787037037</v>
      </c>
      <c r="I941" s="2" t="s">
        <v>515</v>
      </c>
      <c r="J941" s="2" t="s">
        <v>31</v>
      </c>
    </row>
    <row r="942" customFormat="false" ht="15" hidden="false" customHeight="false" outlineLevel="0" collapsed="false">
      <c r="A942" s="7" t="n">
        <v>941</v>
      </c>
      <c r="B942" s="7" t="s">
        <v>278</v>
      </c>
      <c r="C942" s="7" t="n">
        <v>18</v>
      </c>
      <c r="D942" s="7" t="n">
        <v>4</v>
      </c>
      <c r="E942" s="77" t="n">
        <v>45065</v>
      </c>
      <c r="F942" s="86" t="n">
        <v>0.38619212962963</v>
      </c>
      <c r="G942" s="77" t="n">
        <v>45068</v>
      </c>
      <c r="H942" s="86" t="n">
        <v>0.436122685185185</v>
      </c>
      <c r="I942" s="7" t="s">
        <v>268</v>
      </c>
      <c r="J942" s="7" t="s">
        <v>31</v>
      </c>
    </row>
    <row r="943" customFormat="false" ht="15" hidden="false" customHeight="false" outlineLevel="0" collapsed="false">
      <c r="A943" s="2" t="n">
        <v>942</v>
      </c>
      <c r="B943" s="2" t="s">
        <v>185</v>
      </c>
      <c r="C943" s="2" t="n">
        <v>51</v>
      </c>
      <c r="D943" s="2" t="n">
        <v>1</v>
      </c>
      <c r="E943" s="82" t="n">
        <v>45283</v>
      </c>
      <c r="F943" s="87" t="n">
        <v>0.208136574074074</v>
      </c>
      <c r="G943" s="82" t="n">
        <v>45286</v>
      </c>
      <c r="H943" s="87" t="n">
        <v>0.664143518518519</v>
      </c>
      <c r="I943" s="2" t="s">
        <v>579</v>
      </c>
      <c r="J943" s="2" t="s">
        <v>165</v>
      </c>
    </row>
    <row r="944" customFormat="false" ht="15" hidden="false" customHeight="false" outlineLevel="0" collapsed="false">
      <c r="A944" s="7" t="n">
        <v>943</v>
      </c>
      <c r="B944" s="7" t="s">
        <v>190</v>
      </c>
      <c r="C944" s="7" t="n">
        <v>22</v>
      </c>
      <c r="D944" s="7" t="n">
        <v>4</v>
      </c>
      <c r="E944" s="77" t="n">
        <v>44976</v>
      </c>
      <c r="F944" s="86" t="n">
        <v>0.6021875</v>
      </c>
      <c r="G944" s="77" t="n">
        <v>44979</v>
      </c>
      <c r="H944" s="86" t="n">
        <v>0.795821759259259</v>
      </c>
      <c r="I944" s="7" t="s">
        <v>506</v>
      </c>
      <c r="J944" s="7" t="s">
        <v>165</v>
      </c>
    </row>
    <row r="945" customFormat="false" ht="15" hidden="false" customHeight="false" outlineLevel="0" collapsed="false">
      <c r="A945" s="2" t="n">
        <v>944</v>
      </c>
      <c r="B945" s="2" t="s">
        <v>185</v>
      </c>
      <c r="C945" s="2" t="n">
        <v>67</v>
      </c>
      <c r="D945" s="2" t="n">
        <v>4</v>
      </c>
      <c r="E945" s="82" t="n">
        <v>45247</v>
      </c>
      <c r="F945" s="87" t="n">
        <v>0.857326388888889</v>
      </c>
      <c r="G945" s="82" t="n">
        <v>45251</v>
      </c>
      <c r="H945" s="87" t="n">
        <v>0.694907407407407</v>
      </c>
      <c r="I945" s="2" t="s">
        <v>169</v>
      </c>
      <c r="J945" s="2" t="s">
        <v>168</v>
      </c>
    </row>
    <row r="946" customFormat="false" ht="15" hidden="false" customHeight="false" outlineLevel="0" collapsed="false">
      <c r="A946" s="7" t="n">
        <v>945</v>
      </c>
      <c r="B946" s="7" t="s">
        <v>218</v>
      </c>
      <c r="C946" s="7" t="n">
        <v>18</v>
      </c>
      <c r="D946" s="7" t="n">
        <v>2</v>
      </c>
      <c r="E946" s="77" t="n">
        <v>45137</v>
      </c>
      <c r="F946" s="86" t="n">
        <v>0.500023148148148</v>
      </c>
      <c r="G946" s="77" t="n">
        <v>45144</v>
      </c>
      <c r="H946" s="86" t="n">
        <v>0.531122685185185</v>
      </c>
      <c r="I946" s="7" t="s">
        <v>534</v>
      </c>
      <c r="J946" s="7" t="s">
        <v>31</v>
      </c>
    </row>
    <row r="947" customFormat="false" ht="15" hidden="false" customHeight="false" outlineLevel="0" collapsed="false">
      <c r="A947" s="2" t="n">
        <v>946</v>
      </c>
      <c r="B947" s="2" t="s">
        <v>254</v>
      </c>
      <c r="C947" s="2" t="n">
        <v>17</v>
      </c>
      <c r="D947" s="2" t="n">
        <v>4</v>
      </c>
      <c r="E947" s="82" t="n">
        <v>45262</v>
      </c>
      <c r="F947" s="87" t="n">
        <v>0.463530092592593</v>
      </c>
      <c r="G947" s="82" t="n">
        <v>45269</v>
      </c>
      <c r="H947" s="87" t="n">
        <v>0.738391203703704</v>
      </c>
      <c r="I947" s="2" t="s">
        <v>545</v>
      </c>
      <c r="J947" s="2" t="s">
        <v>168</v>
      </c>
    </row>
    <row r="948" customFormat="false" ht="15" hidden="false" customHeight="false" outlineLevel="0" collapsed="false">
      <c r="A948" s="7" t="n">
        <v>947</v>
      </c>
      <c r="B948" s="7" t="s">
        <v>392</v>
      </c>
      <c r="C948" s="7" t="n">
        <v>38</v>
      </c>
      <c r="D948" s="7" t="n">
        <v>3</v>
      </c>
      <c r="E948" s="77" t="n">
        <v>45205</v>
      </c>
      <c r="F948" s="86" t="n">
        <v>0.802997685185185</v>
      </c>
      <c r="G948" s="77" t="n">
        <v>45207</v>
      </c>
      <c r="H948" s="86" t="n">
        <v>0.975543981481482</v>
      </c>
      <c r="I948" s="7" t="s">
        <v>500</v>
      </c>
      <c r="J948" s="7" t="s">
        <v>31</v>
      </c>
    </row>
    <row r="949" customFormat="false" ht="15" hidden="false" customHeight="false" outlineLevel="0" collapsed="false">
      <c r="A949" s="2" t="n">
        <v>948</v>
      </c>
      <c r="B949" s="2" t="s">
        <v>285</v>
      </c>
      <c r="C949" s="2" t="n">
        <v>26</v>
      </c>
      <c r="D949" s="2" t="n">
        <v>3</v>
      </c>
      <c r="E949" s="82" t="n">
        <v>44989</v>
      </c>
      <c r="F949" s="87" t="n">
        <v>0.765173611111111</v>
      </c>
      <c r="G949" s="82" t="n">
        <v>44992</v>
      </c>
      <c r="H949" s="87" t="n">
        <v>0.549606481481482</v>
      </c>
      <c r="I949" s="2" t="s">
        <v>327</v>
      </c>
      <c r="J949" s="2" t="s">
        <v>33</v>
      </c>
    </row>
    <row r="950" customFormat="false" ht="15" hidden="false" customHeight="false" outlineLevel="0" collapsed="false">
      <c r="A950" s="7" t="n">
        <v>949</v>
      </c>
      <c r="B950" s="7" t="s">
        <v>176</v>
      </c>
      <c r="C950" s="7" t="n">
        <v>6</v>
      </c>
      <c r="D950" s="7" t="n">
        <v>4</v>
      </c>
      <c r="E950" s="77" t="n">
        <v>44984</v>
      </c>
      <c r="F950" s="86" t="n">
        <v>0.871539351851852</v>
      </c>
      <c r="G950" s="77" t="n">
        <v>44991</v>
      </c>
      <c r="H950" s="86" t="n">
        <v>0.399502314814815</v>
      </c>
      <c r="I950" s="7" t="s">
        <v>208</v>
      </c>
      <c r="J950" s="7" t="s">
        <v>33</v>
      </c>
    </row>
    <row r="951" customFormat="false" ht="15" hidden="false" customHeight="false" outlineLevel="0" collapsed="false">
      <c r="A951" s="2" t="n">
        <v>950</v>
      </c>
      <c r="B951" s="2" t="s">
        <v>161</v>
      </c>
      <c r="C951" s="2" t="n">
        <v>39</v>
      </c>
      <c r="D951" s="2" t="n">
        <v>3</v>
      </c>
      <c r="E951" s="82" t="n">
        <v>45215</v>
      </c>
      <c r="F951" s="87" t="n">
        <v>0.813194444444444</v>
      </c>
      <c r="G951" s="82" t="n">
        <v>45217</v>
      </c>
      <c r="H951" s="87" t="n">
        <v>0.881481481481482</v>
      </c>
      <c r="I951" s="2" t="s">
        <v>591</v>
      </c>
      <c r="J951" s="2" t="s">
        <v>165</v>
      </c>
    </row>
    <row r="952" customFormat="false" ht="15" hidden="false" customHeight="false" outlineLevel="0" collapsed="false">
      <c r="A952" s="7" t="n">
        <v>951</v>
      </c>
      <c r="B952" s="7" t="s">
        <v>185</v>
      </c>
      <c r="C952" s="7" t="n">
        <v>20</v>
      </c>
      <c r="D952" s="7" t="n">
        <v>1</v>
      </c>
      <c r="E952" s="77" t="n">
        <v>45253</v>
      </c>
      <c r="F952" s="86" t="n">
        <v>0.648715277777778</v>
      </c>
      <c r="G952" s="77" t="n">
        <v>45255</v>
      </c>
      <c r="H952" s="86" t="n">
        <v>0.794143518518519</v>
      </c>
      <c r="I952" s="7" t="s">
        <v>287</v>
      </c>
      <c r="J952" s="7" t="s">
        <v>168</v>
      </c>
    </row>
    <row r="953" customFormat="false" ht="15" hidden="false" customHeight="false" outlineLevel="0" collapsed="false">
      <c r="A953" s="2" t="n">
        <v>952</v>
      </c>
      <c r="B953" s="2" t="s">
        <v>192</v>
      </c>
      <c r="C953" s="2" t="n">
        <v>49</v>
      </c>
      <c r="D953" s="2" t="n">
        <v>4</v>
      </c>
      <c r="E953" s="82" t="n">
        <v>44969</v>
      </c>
      <c r="F953" s="87" t="n">
        <v>0.116747685185185</v>
      </c>
      <c r="G953" s="82" t="n">
        <v>44979</v>
      </c>
      <c r="H953" s="87" t="n">
        <v>0.388298611111111</v>
      </c>
      <c r="I953" s="2" t="s">
        <v>268</v>
      </c>
      <c r="J953" s="2" t="s">
        <v>179</v>
      </c>
    </row>
    <row r="954" customFormat="false" ht="15" hidden="false" customHeight="false" outlineLevel="0" collapsed="false">
      <c r="A954" s="7" t="n">
        <v>953</v>
      </c>
      <c r="B954" s="7" t="s">
        <v>328</v>
      </c>
      <c r="C954" s="7" t="n">
        <v>40</v>
      </c>
      <c r="D954" s="7" t="n">
        <v>1</v>
      </c>
      <c r="E954" s="77" t="n">
        <v>45172</v>
      </c>
      <c r="F954" s="86" t="n">
        <v>0.0180671296296296</v>
      </c>
      <c r="G954" s="77" t="n">
        <v>45173</v>
      </c>
      <c r="H954" s="86" t="n">
        <v>0.315162037037037</v>
      </c>
      <c r="I954" s="7" t="s">
        <v>603</v>
      </c>
      <c r="J954" s="7" t="s">
        <v>168</v>
      </c>
    </row>
    <row r="955" customFormat="false" ht="15" hidden="false" customHeight="false" outlineLevel="0" collapsed="false">
      <c r="A955" s="2" t="n">
        <v>954</v>
      </c>
      <c r="B955" s="2" t="s">
        <v>291</v>
      </c>
      <c r="C955" s="2" t="n">
        <v>44</v>
      </c>
      <c r="D955" s="2" t="n">
        <v>3</v>
      </c>
      <c r="E955" s="82" t="n">
        <v>45232</v>
      </c>
      <c r="F955" s="87" t="n">
        <v>0.167858796296296</v>
      </c>
      <c r="G955" s="82" t="n">
        <v>45233</v>
      </c>
      <c r="H955" s="87" t="n">
        <v>0.764594907407407</v>
      </c>
      <c r="I955" s="2" t="s">
        <v>193</v>
      </c>
      <c r="J955" s="2" t="s">
        <v>32</v>
      </c>
    </row>
    <row r="956" customFormat="false" ht="15" hidden="false" customHeight="false" outlineLevel="0" collapsed="false">
      <c r="A956" s="7" t="n">
        <v>955</v>
      </c>
      <c r="B956" s="7" t="s">
        <v>164</v>
      </c>
      <c r="C956" s="7" t="n">
        <v>24</v>
      </c>
      <c r="D956" s="7" t="n">
        <v>4</v>
      </c>
      <c r="E956" s="77" t="n">
        <v>45080</v>
      </c>
      <c r="F956" s="86" t="n">
        <v>0.0213888888888889</v>
      </c>
      <c r="G956" s="77" t="n">
        <v>45084</v>
      </c>
      <c r="H956" s="86" t="n">
        <v>0.380162037037037</v>
      </c>
      <c r="I956" s="7" t="s">
        <v>569</v>
      </c>
      <c r="J956" s="7" t="s">
        <v>31</v>
      </c>
    </row>
    <row r="957" customFormat="false" ht="15" hidden="false" customHeight="false" outlineLevel="0" collapsed="false">
      <c r="A957" s="2" t="n">
        <v>956</v>
      </c>
      <c r="B957" s="2" t="s">
        <v>215</v>
      </c>
      <c r="C957" s="2" t="n">
        <v>34</v>
      </c>
      <c r="D957" s="2" t="n">
        <v>5</v>
      </c>
      <c r="E957" s="82" t="n">
        <v>45167</v>
      </c>
      <c r="F957" s="87" t="n">
        <v>0.203055555555556</v>
      </c>
      <c r="G957" s="82" t="n">
        <v>45172</v>
      </c>
      <c r="H957" s="87" t="n">
        <v>0.620462962962963</v>
      </c>
      <c r="I957" s="2" t="s">
        <v>550</v>
      </c>
      <c r="J957" s="2" t="s">
        <v>40</v>
      </c>
    </row>
    <row r="958" customFormat="false" ht="15" hidden="false" customHeight="false" outlineLevel="0" collapsed="false">
      <c r="A958" s="7" t="n">
        <v>957</v>
      </c>
      <c r="B958" s="7" t="s">
        <v>218</v>
      </c>
      <c r="C958" s="7" t="n">
        <v>23</v>
      </c>
      <c r="D958" s="7" t="n">
        <v>1</v>
      </c>
      <c r="E958" s="77" t="n">
        <v>45275</v>
      </c>
      <c r="F958" s="86" t="n">
        <v>0.0809953703703704</v>
      </c>
      <c r="G958" s="77" t="n">
        <v>45277</v>
      </c>
      <c r="H958" s="86" t="n">
        <v>0.880497685185185</v>
      </c>
      <c r="I958" s="7" t="s">
        <v>448</v>
      </c>
      <c r="J958" s="7" t="s">
        <v>168</v>
      </c>
    </row>
    <row r="959" customFormat="false" ht="15" hidden="false" customHeight="false" outlineLevel="0" collapsed="false">
      <c r="A959" s="2" t="n">
        <v>958</v>
      </c>
      <c r="B959" s="2" t="s">
        <v>148</v>
      </c>
      <c r="C959" s="2" t="n">
        <v>16</v>
      </c>
      <c r="D959" s="2" t="n">
        <v>3</v>
      </c>
      <c r="E959" s="82" t="n">
        <v>44992</v>
      </c>
      <c r="F959" s="87" t="n">
        <v>0.585381944444445</v>
      </c>
      <c r="G959" s="82" t="n">
        <v>44999</v>
      </c>
      <c r="H959" s="87" t="n">
        <v>0.919918981481481</v>
      </c>
      <c r="I959" s="2" t="s">
        <v>274</v>
      </c>
      <c r="J959" s="2" t="s">
        <v>33</v>
      </c>
    </row>
    <row r="960" customFormat="false" ht="15" hidden="false" customHeight="false" outlineLevel="0" collapsed="false">
      <c r="A960" s="7" t="n">
        <v>959</v>
      </c>
      <c r="B960" s="7" t="s">
        <v>388</v>
      </c>
      <c r="C960" s="7" t="n">
        <v>40</v>
      </c>
      <c r="D960" s="7" t="n">
        <v>1</v>
      </c>
      <c r="E960" s="77" t="n">
        <v>45281</v>
      </c>
      <c r="F960" s="86" t="n">
        <v>0.0796990740740741</v>
      </c>
      <c r="G960" s="77" t="n">
        <v>45286</v>
      </c>
      <c r="H960" s="86" t="n">
        <v>0.878993055555556</v>
      </c>
      <c r="I960" s="7" t="s">
        <v>534</v>
      </c>
      <c r="J960" s="7" t="s">
        <v>168</v>
      </c>
    </row>
    <row r="961" customFormat="false" ht="15" hidden="false" customHeight="false" outlineLevel="0" collapsed="false">
      <c r="A961" s="2" t="n">
        <v>960</v>
      </c>
      <c r="B961" s="2" t="s">
        <v>202</v>
      </c>
      <c r="C961" s="2" t="n">
        <v>48</v>
      </c>
      <c r="D961" s="2" t="n">
        <v>3</v>
      </c>
      <c r="E961" s="82" t="n">
        <v>45235</v>
      </c>
      <c r="F961" s="87" t="n">
        <v>0.226261574074074</v>
      </c>
      <c r="G961" s="82" t="n">
        <v>45238</v>
      </c>
      <c r="H961" s="87" t="n">
        <v>0.414085648148148</v>
      </c>
      <c r="I961" s="2" t="s">
        <v>500</v>
      </c>
      <c r="J961" s="2" t="s">
        <v>32</v>
      </c>
    </row>
    <row r="962" customFormat="false" ht="15" hidden="false" customHeight="false" outlineLevel="0" collapsed="false">
      <c r="A962" s="7" t="n">
        <v>961</v>
      </c>
      <c r="B962" s="7" t="s">
        <v>167</v>
      </c>
      <c r="C962" s="7" t="n">
        <v>1</v>
      </c>
      <c r="D962" s="7" t="n">
        <v>5</v>
      </c>
      <c r="E962" s="77" t="n">
        <v>44958</v>
      </c>
      <c r="F962" s="86" t="n">
        <v>0.284351851851852</v>
      </c>
      <c r="G962" s="77" t="n">
        <v>44967</v>
      </c>
      <c r="H962" s="86" t="n">
        <v>0.871273148148148</v>
      </c>
      <c r="I962" s="7" t="s">
        <v>396</v>
      </c>
      <c r="J962" s="7" t="s">
        <v>165</v>
      </c>
    </row>
    <row r="963" customFormat="false" ht="15" hidden="false" customHeight="false" outlineLevel="0" collapsed="false">
      <c r="A963" s="2" t="n">
        <v>962</v>
      </c>
      <c r="B963" s="2" t="s">
        <v>194</v>
      </c>
      <c r="C963" s="2" t="n">
        <v>17</v>
      </c>
      <c r="D963" s="2" t="n">
        <v>5</v>
      </c>
      <c r="E963" s="82" t="n">
        <v>45198</v>
      </c>
      <c r="F963" s="87" t="n">
        <v>0.497141203703704</v>
      </c>
      <c r="G963" s="82" t="n">
        <v>45200</v>
      </c>
      <c r="H963" s="87" t="n">
        <v>0.677175925925926</v>
      </c>
      <c r="I963" s="2" t="s">
        <v>446</v>
      </c>
      <c r="J963" s="2" t="s">
        <v>168</v>
      </c>
    </row>
    <row r="964" customFormat="false" ht="15" hidden="false" customHeight="false" outlineLevel="0" collapsed="false">
      <c r="A964" s="7" t="n">
        <v>963</v>
      </c>
      <c r="B964" s="7" t="s">
        <v>188</v>
      </c>
      <c r="C964" s="7" t="n">
        <v>29</v>
      </c>
      <c r="D964" s="7" t="n">
        <v>1</v>
      </c>
      <c r="E964" s="77" t="n">
        <v>44988</v>
      </c>
      <c r="F964" s="86" t="n">
        <v>0.364108796296296</v>
      </c>
      <c r="G964" s="77" t="n">
        <v>44991</v>
      </c>
      <c r="H964" s="86" t="n">
        <v>0.442199074074074</v>
      </c>
      <c r="I964" s="7" t="s">
        <v>526</v>
      </c>
      <c r="J964" s="7" t="s">
        <v>33</v>
      </c>
    </row>
    <row r="965" customFormat="false" ht="15" hidden="false" customHeight="false" outlineLevel="0" collapsed="false">
      <c r="A965" s="2" t="n">
        <v>964</v>
      </c>
      <c r="B965" s="2" t="s">
        <v>388</v>
      </c>
      <c r="C965" s="2" t="n">
        <v>32</v>
      </c>
      <c r="D965" s="2" t="n">
        <v>4</v>
      </c>
      <c r="E965" s="82" t="n">
        <v>45218</v>
      </c>
      <c r="F965" s="87" t="n">
        <v>0.27755787037037</v>
      </c>
      <c r="G965" s="82" t="n">
        <v>45222</v>
      </c>
      <c r="H965" s="87" t="n">
        <v>0.932395833333333</v>
      </c>
      <c r="I965" s="2" t="s">
        <v>437</v>
      </c>
      <c r="J965" s="2" t="s">
        <v>31</v>
      </c>
    </row>
    <row r="966" customFormat="false" ht="15" hidden="false" customHeight="false" outlineLevel="0" collapsed="false">
      <c r="A966" s="7" t="n">
        <v>965</v>
      </c>
      <c r="B966" s="7" t="s">
        <v>338</v>
      </c>
      <c r="C966" s="7" t="n">
        <v>62</v>
      </c>
      <c r="D966" s="7" t="n">
        <v>1</v>
      </c>
      <c r="E966" s="77" t="n">
        <v>44987</v>
      </c>
      <c r="F966" s="86" t="n">
        <v>0.135532407407407</v>
      </c>
      <c r="G966" s="77" t="n">
        <v>44991</v>
      </c>
      <c r="H966" s="86" t="n">
        <v>0.722476851851852</v>
      </c>
      <c r="I966" s="7" t="s">
        <v>158</v>
      </c>
      <c r="J966" s="7" t="s">
        <v>33</v>
      </c>
    </row>
    <row r="967" customFormat="false" ht="15" hidden="false" customHeight="false" outlineLevel="0" collapsed="false">
      <c r="A967" s="2" t="n">
        <v>966</v>
      </c>
      <c r="B967" s="2" t="s">
        <v>285</v>
      </c>
      <c r="C967" s="2" t="n">
        <v>13</v>
      </c>
      <c r="D967" s="2" t="n">
        <v>2</v>
      </c>
      <c r="E967" s="82" t="n">
        <v>44986</v>
      </c>
      <c r="F967" s="87" t="n">
        <v>0.0979861111111111</v>
      </c>
      <c r="G967" s="82" t="n">
        <v>44995</v>
      </c>
      <c r="H967" s="87" t="n">
        <v>0.43255787037037</v>
      </c>
      <c r="I967" s="2" t="s">
        <v>509</v>
      </c>
      <c r="J967" s="2" t="s">
        <v>33</v>
      </c>
    </row>
    <row r="968" customFormat="false" ht="15" hidden="false" customHeight="false" outlineLevel="0" collapsed="false">
      <c r="A968" s="7" t="n">
        <v>967</v>
      </c>
      <c r="B968" s="7" t="s">
        <v>227</v>
      </c>
      <c r="C968" s="7" t="n">
        <v>68</v>
      </c>
      <c r="D968" s="7" t="n">
        <v>4</v>
      </c>
      <c r="E968" s="77" t="n">
        <v>44969</v>
      </c>
      <c r="F968" s="86" t="n">
        <v>0.014849537037037</v>
      </c>
      <c r="G968" s="77" t="n">
        <v>44977</v>
      </c>
      <c r="H968" s="86" t="n">
        <v>0.770694444444445</v>
      </c>
      <c r="I968" s="7" t="s">
        <v>568</v>
      </c>
      <c r="J968" s="7" t="s">
        <v>179</v>
      </c>
    </row>
    <row r="969" customFormat="false" ht="15" hidden="false" customHeight="false" outlineLevel="0" collapsed="false">
      <c r="A969" s="2" t="n">
        <v>968</v>
      </c>
      <c r="B969" s="2" t="s">
        <v>127</v>
      </c>
      <c r="C969" s="2" t="n">
        <v>9</v>
      </c>
      <c r="D969" s="2" t="n">
        <v>2</v>
      </c>
      <c r="E969" s="82" t="n">
        <v>45163</v>
      </c>
      <c r="F969" s="87" t="n">
        <v>0.996782407407407</v>
      </c>
      <c r="G969" s="82" t="n">
        <v>45170</v>
      </c>
      <c r="H969" s="87" t="n">
        <v>0.850127314814815</v>
      </c>
      <c r="I969" s="2" t="s">
        <v>438</v>
      </c>
      <c r="J969" s="2" t="s">
        <v>40</v>
      </c>
    </row>
    <row r="970" customFormat="false" ht="15" hidden="false" customHeight="false" outlineLevel="0" collapsed="false">
      <c r="A970" s="7" t="n">
        <v>969</v>
      </c>
      <c r="B970" s="7" t="s">
        <v>133</v>
      </c>
      <c r="C970" s="7" t="n">
        <v>42</v>
      </c>
      <c r="D970" s="7" t="n">
        <v>4</v>
      </c>
      <c r="E970" s="77" t="n">
        <v>45168</v>
      </c>
      <c r="F970" s="86" t="n">
        <v>0.955949074074074</v>
      </c>
      <c r="G970" s="77" t="n">
        <v>45172</v>
      </c>
      <c r="H970" s="86" t="n">
        <v>0.140960648148148</v>
      </c>
      <c r="I970" s="7" t="s">
        <v>454</v>
      </c>
      <c r="J970" s="7" t="s">
        <v>165</v>
      </c>
    </row>
    <row r="971" customFormat="false" ht="15" hidden="false" customHeight="false" outlineLevel="0" collapsed="false">
      <c r="A971" s="2" t="n">
        <v>970</v>
      </c>
      <c r="B971" s="2" t="s">
        <v>176</v>
      </c>
      <c r="C971" s="2" t="n">
        <v>54</v>
      </c>
      <c r="D971" s="2" t="n">
        <v>4</v>
      </c>
      <c r="E971" s="82" t="n">
        <v>45029</v>
      </c>
      <c r="F971" s="87" t="n">
        <v>0.1434375</v>
      </c>
      <c r="G971" s="82" t="n">
        <v>45037</v>
      </c>
      <c r="H971" s="87" t="n">
        <v>0.900891203703704</v>
      </c>
      <c r="I971" s="2" t="s">
        <v>568</v>
      </c>
      <c r="J971" s="2" t="s">
        <v>168</v>
      </c>
    </row>
    <row r="972" customFormat="false" ht="15" hidden="false" customHeight="false" outlineLevel="0" collapsed="false">
      <c r="A972" s="7" t="n">
        <v>971</v>
      </c>
      <c r="B972" s="7" t="s">
        <v>192</v>
      </c>
      <c r="C972" s="7" t="n">
        <v>47</v>
      </c>
      <c r="D972" s="7" t="n">
        <v>1</v>
      </c>
      <c r="E972" s="77" t="n">
        <v>44987</v>
      </c>
      <c r="F972" s="86" t="n">
        <v>0.168206018518519</v>
      </c>
      <c r="G972" s="77" t="n">
        <v>44995</v>
      </c>
      <c r="H972" s="86" t="n">
        <v>0.803888888888889</v>
      </c>
      <c r="I972" s="7" t="s">
        <v>578</v>
      </c>
      <c r="J972" s="7" t="s">
        <v>33</v>
      </c>
    </row>
    <row r="973" customFormat="false" ht="15" hidden="false" customHeight="false" outlineLevel="0" collapsed="false">
      <c r="A973" s="2" t="n">
        <v>972</v>
      </c>
      <c r="B973" s="2" t="s">
        <v>190</v>
      </c>
      <c r="C973" s="2" t="n">
        <v>30</v>
      </c>
      <c r="D973" s="2" t="n">
        <v>2</v>
      </c>
      <c r="E973" s="82" t="n">
        <v>45046</v>
      </c>
      <c r="F973" s="87" t="n">
        <v>0.0656712962962963</v>
      </c>
      <c r="G973" s="82" t="n">
        <v>45048</v>
      </c>
      <c r="H973" s="87" t="n">
        <v>0.22724537037037</v>
      </c>
      <c r="I973" s="2" t="s">
        <v>599</v>
      </c>
      <c r="J973" s="2" t="s">
        <v>168</v>
      </c>
    </row>
    <row r="974" customFormat="false" ht="15" hidden="false" customHeight="false" outlineLevel="0" collapsed="false">
      <c r="A974" s="7" t="n">
        <v>973</v>
      </c>
      <c r="B974" s="7" t="s">
        <v>200</v>
      </c>
      <c r="C974" s="7" t="n">
        <v>66</v>
      </c>
      <c r="D974" s="7" t="n">
        <v>3</v>
      </c>
      <c r="E974" s="77" t="n">
        <v>44983</v>
      </c>
      <c r="F974" s="86" t="n">
        <v>0.441608796296296</v>
      </c>
      <c r="G974" s="77" t="n">
        <v>44992</v>
      </c>
      <c r="H974" s="86" t="n">
        <v>0.157222222222222</v>
      </c>
      <c r="I974" s="7" t="s">
        <v>199</v>
      </c>
      <c r="J974" s="7" t="s">
        <v>33</v>
      </c>
    </row>
    <row r="975" customFormat="false" ht="15" hidden="false" customHeight="false" outlineLevel="0" collapsed="false">
      <c r="A975" s="2" t="n">
        <v>974</v>
      </c>
      <c r="B975" s="2" t="s">
        <v>161</v>
      </c>
      <c r="C975" s="2" t="n">
        <v>17</v>
      </c>
      <c r="D975" s="2" t="n">
        <v>4</v>
      </c>
      <c r="E975" s="82" t="n">
        <v>45234</v>
      </c>
      <c r="F975" s="87" t="n">
        <v>0.803460648148148</v>
      </c>
      <c r="G975" s="82" t="n">
        <v>45237</v>
      </c>
      <c r="H975" s="87" t="n">
        <v>0.674618055555556</v>
      </c>
      <c r="I975" s="2" t="s">
        <v>518</v>
      </c>
      <c r="J975" s="2" t="s">
        <v>168</v>
      </c>
    </row>
    <row r="976" customFormat="false" ht="15" hidden="false" customHeight="false" outlineLevel="0" collapsed="false">
      <c r="A976" s="7" t="n">
        <v>975</v>
      </c>
      <c r="B976" s="7" t="s">
        <v>331</v>
      </c>
      <c r="C976" s="7" t="n">
        <v>62</v>
      </c>
      <c r="D976" s="7" t="n">
        <v>2</v>
      </c>
      <c r="E976" s="77" t="n">
        <v>44989</v>
      </c>
      <c r="F976" s="86" t="n">
        <v>0.0184259259259259</v>
      </c>
      <c r="G976" s="77" t="n">
        <v>44997</v>
      </c>
      <c r="H976" s="86" t="n">
        <v>0.335902777777778</v>
      </c>
      <c r="I976" s="7" t="s">
        <v>578</v>
      </c>
      <c r="J976" s="7" t="s">
        <v>33</v>
      </c>
    </row>
    <row r="977" customFormat="false" ht="15" hidden="false" customHeight="false" outlineLevel="0" collapsed="false">
      <c r="A977" s="2" t="n">
        <v>976</v>
      </c>
      <c r="B977" s="2" t="s">
        <v>170</v>
      </c>
      <c r="C977" s="2" t="n">
        <v>17</v>
      </c>
      <c r="D977" s="2" t="n">
        <v>2</v>
      </c>
      <c r="E977" s="82" t="n">
        <v>45065</v>
      </c>
      <c r="F977" s="87" t="n">
        <v>0.299409722222222</v>
      </c>
      <c r="G977" s="82" t="n">
        <v>45066</v>
      </c>
      <c r="H977" s="87" t="n">
        <v>0.360046296296296</v>
      </c>
      <c r="I977" s="2" t="s">
        <v>535</v>
      </c>
      <c r="J977" s="2" t="s">
        <v>168</v>
      </c>
    </row>
    <row r="978" customFormat="false" ht="15" hidden="false" customHeight="false" outlineLevel="0" collapsed="false">
      <c r="A978" s="7" t="n">
        <v>977</v>
      </c>
      <c r="B978" s="7" t="s">
        <v>136</v>
      </c>
      <c r="C978" s="7" t="n">
        <v>47</v>
      </c>
      <c r="D978" s="7" t="n">
        <v>2</v>
      </c>
      <c r="E978" s="77" t="n">
        <v>44990</v>
      </c>
      <c r="F978" s="86" t="n">
        <v>0.523275462962963</v>
      </c>
      <c r="G978" s="77" t="n">
        <v>44992</v>
      </c>
      <c r="H978" s="86" t="n">
        <v>0.985925925925926</v>
      </c>
      <c r="I978" s="7" t="s">
        <v>540</v>
      </c>
      <c r="J978" s="7" t="s">
        <v>33</v>
      </c>
    </row>
    <row r="979" customFormat="false" ht="15" hidden="false" customHeight="false" outlineLevel="0" collapsed="false">
      <c r="A979" s="2" t="n">
        <v>978</v>
      </c>
      <c r="B979" s="2" t="s">
        <v>174</v>
      </c>
      <c r="C979" s="2" t="n">
        <v>29</v>
      </c>
      <c r="D979" s="2" t="n">
        <v>4</v>
      </c>
      <c r="E979" s="82" t="n">
        <v>44985</v>
      </c>
      <c r="F979" s="87" t="n">
        <v>0.374479166666667</v>
      </c>
      <c r="G979" s="82" t="n">
        <v>44994</v>
      </c>
      <c r="H979" s="87" t="n">
        <v>0.271608796296296</v>
      </c>
      <c r="I979" s="2" t="s">
        <v>199</v>
      </c>
      <c r="J979" s="2" t="s">
        <v>33</v>
      </c>
    </row>
    <row r="980" customFormat="false" ht="15" hidden="false" customHeight="false" outlineLevel="0" collapsed="false">
      <c r="A980" s="7" t="n">
        <v>979</v>
      </c>
      <c r="B980" s="7" t="s">
        <v>198</v>
      </c>
      <c r="C980" s="7" t="n">
        <v>9</v>
      </c>
      <c r="D980" s="7" t="n">
        <v>4</v>
      </c>
      <c r="E980" s="77" t="n">
        <v>45166</v>
      </c>
      <c r="F980" s="86" t="n">
        <v>0.779907407407407</v>
      </c>
      <c r="G980" s="77" t="n">
        <v>45169</v>
      </c>
      <c r="H980" s="86" t="n">
        <v>0.842337962962963</v>
      </c>
      <c r="I980" s="7" t="s">
        <v>123</v>
      </c>
      <c r="J980" s="7" t="s">
        <v>40</v>
      </c>
    </row>
    <row r="981" customFormat="false" ht="15" hidden="false" customHeight="false" outlineLevel="0" collapsed="false">
      <c r="A981" s="2" t="n">
        <v>980</v>
      </c>
      <c r="B981" s="2" t="s">
        <v>303</v>
      </c>
      <c r="C981" s="2" t="n">
        <v>12</v>
      </c>
      <c r="D981" s="2" t="n">
        <v>5</v>
      </c>
      <c r="E981" s="82" t="n">
        <v>45190</v>
      </c>
      <c r="F981" s="87" t="n">
        <v>0.857939814814815</v>
      </c>
      <c r="G981" s="82" t="n">
        <v>45199</v>
      </c>
      <c r="H981" s="87" t="n">
        <v>0.0303125</v>
      </c>
      <c r="I981" s="2" t="s">
        <v>277</v>
      </c>
      <c r="J981" s="2" t="s">
        <v>168</v>
      </c>
    </row>
    <row r="982" customFormat="false" ht="15" hidden="false" customHeight="false" outlineLevel="0" collapsed="false">
      <c r="A982" s="7" t="n">
        <v>981</v>
      </c>
      <c r="B982" s="7" t="s">
        <v>161</v>
      </c>
      <c r="C982" s="7" t="n">
        <v>46</v>
      </c>
      <c r="D982" s="7" t="n">
        <v>2</v>
      </c>
      <c r="E982" s="77" t="n">
        <v>45018</v>
      </c>
      <c r="F982" s="86" t="n">
        <v>0.83412037037037</v>
      </c>
      <c r="G982" s="77" t="n">
        <v>45019</v>
      </c>
      <c r="H982" s="86" t="n">
        <v>0.848344907407407</v>
      </c>
      <c r="I982" s="7" t="s">
        <v>327</v>
      </c>
      <c r="J982" s="7" t="s">
        <v>168</v>
      </c>
    </row>
    <row r="983" customFormat="false" ht="15" hidden="false" customHeight="false" outlineLevel="0" collapsed="false">
      <c r="A983" s="2" t="n">
        <v>982</v>
      </c>
      <c r="B983" s="2" t="s">
        <v>174</v>
      </c>
      <c r="C983" s="2" t="n">
        <v>47</v>
      </c>
      <c r="D983" s="2" t="n">
        <v>4</v>
      </c>
      <c r="E983" s="82" t="n">
        <v>44985</v>
      </c>
      <c r="F983" s="87" t="n">
        <v>0.789155092592593</v>
      </c>
      <c r="G983" s="82" t="n">
        <v>44989</v>
      </c>
      <c r="H983" s="87" t="n">
        <v>0.132905092592593</v>
      </c>
      <c r="I983" s="2" t="s">
        <v>577</v>
      </c>
      <c r="J983" s="2" t="s">
        <v>33</v>
      </c>
    </row>
    <row r="984" customFormat="false" ht="15" hidden="false" customHeight="false" outlineLevel="0" collapsed="false">
      <c r="A984" s="7" t="n">
        <v>983</v>
      </c>
      <c r="B984" s="7" t="s">
        <v>377</v>
      </c>
      <c r="C984" s="7" t="n">
        <v>70</v>
      </c>
      <c r="D984" s="7" t="n">
        <v>1</v>
      </c>
      <c r="E984" s="77" t="n">
        <v>45010</v>
      </c>
      <c r="F984" s="86" t="n">
        <v>0.402592592592593</v>
      </c>
      <c r="G984" s="77" t="n">
        <v>45017</v>
      </c>
      <c r="H984" s="86" t="n">
        <v>0.276886574074074</v>
      </c>
      <c r="I984" s="7" t="s">
        <v>559</v>
      </c>
      <c r="J984" s="7" t="s">
        <v>31</v>
      </c>
    </row>
    <row r="985" customFormat="false" ht="15" hidden="false" customHeight="false" outlineLevel="0" collapsed="false">
      <c r="A985" s="2" t="n">
        <v>984</v>
      </c>
      <c r="B985" s="2" t="s">
        <v>278</v>
      </c>
      <c r="C985" s="2" t="n">
        <v>65</v>
      </c>
      <c r="D985" s="2" t="n">
        <v>1</v>
      </c>
      <c r="E985" s="82" t="n">
        <v>45141</v>
      </c>
      <c r="F985" s="87" t="n">
        <v>0.938217592592593</v>
      </c>
      <c r="G985" s="82" t="n">
        <v>45145</v>
      </c>
      <c r="H985" s="87" t="n">
        <v>0.693877314814815</v>
      </c>
      <c r="I985" s="2" t="s">
        <v>193</v>
      </c>
      <c r="J985" s="2" t="s">
        <v>165</v>
      </c>
    </row>
    <row r="986" customFormat="false" ht="15" hidden="false" customHeight="false" outlineLevel="0" collapsed="false">
      <c r="A986" s="7" t="n">
        <v>985</v>
      </c>
      <c r="B986" s="7" t="s">
        <v>311</v>
      </c>
      <c r="C986" s="7" t="n">
        <v>31</v>
      </c>
      <c r="D986" s="7" t="n">
        <v>4</v>
      </c>
      <c r="E986" s="77" t="n">
        <v>45204</v>
      </c>
      <c r="F986" s="86" t="n">
        <v>0.477314814814815</v>
      </c>
      <c r="G986" s="77" t="n">
        <v>45212</v>
      </c>
      <c r="H986" s="86" t="n">
        <v>0.703877314814815</v>
      </c>
      <c r="I986" s="7" t="s">
        <v>474</v>
      </c>
      <c r="J986" s="7" t="s">
        <v>165</v>
      </c>
    </row>
    <row r="987" customFormat="false" ht="15" hidden="false" customHeight="false" outlineLevel="0" collapsed="false">
      <c r="A987" s="2" t="n">
        <v>986</v>
      </c>
      <c r="B987" s="2" t="s">
        <v>355</v>
      </c>
      <c r="C987" s="2" t="n">
        <v>1</v>
      </c>
      <c r="D987" s="2" t="n">
        <v>2</v>
      </c>
      <c r="E987" s="82" t="n">
        <v>45233</v>
      </c>
      <c r="F987" s="87" t="n">
        <v>0.695763888888889</v>
      </c>
      <c r="G987" s="82" t="n">
        <v>45235</v>
      </c>
      <c r="H987" s="87" t="n">
        <v>0.946851851851852</v>
      </c>
      <c r="I987" s="2" t="s">
        <v>195</v>
      </c>
      <c r="J987" s="2" t="s">
        <v>165</v>
      </c>
    </row>
    <row r="988" customFormat="false" ht="15" hidden="false" customHeight="false" outlineLevel="0" collapsed="false">
      <c r="A988" s="7" t="n">
        <v>987</v>
      </c>
      <c r="B988" s="7" t="s">
        <v>172</v>
      </c>
      <c r="C988" s="7" t="n">
        <v>65</v>
      </c>
      <c r="D988" s="7" t="n">
        <v>3</v>
      </c>
      <c r="E988" s="77" t="n">
        <v>45280</v>
      </c>
      <c r="F988" s="86" t="n">
        <v>0.384224537037037</v>
      </c>
      <c r="G988" s="77" t="n">
        <v>45285</v>
      </c>
      <c r="H988" s="86" t="n">
        <v>0.173715277777778</v>
      </c>
      <c r="I988" s="7" t="s">
        <v>290</v>
      </c>
      <c r="J988" s="7" t="s">
        <v>165</v>
      </c>
    </row>
    <row r="989" customFormat="false" ht="15" hidden="false" customHeight="false" outlineLevel="0" collapsed="false">
      <c r="A989" s="2" t="n">
        <v>988</v>
      </c>
      <c r="B989" s="2" t="s">
        <v>176</v>
      </c>
      <c r="C989" s="2" t="n">
        <v>4</v>
      </c>
      <c r="D989" s="2" t="n">
        <v>3</v>
      </c>
      <c r="E989" s="82" t="n">
        <v>45240</v>
      </c>
      <c r="F989" s="87" t="n">
        <v>0.407835648148148</v>
      </c>
      <c r="G989" s="82" t="n">
        <v>45245</v>
      </c>
      <c r="H989" s="87" t="n">
        <v>0.437025462962963</v>
      </c>
      <c r="I989" s="2" t="s">
        <v>485</v>
      </c>
      <c r="J989" s="2" t="s">
        <v>32</v>
      </c>
    </row>
    <row r="990" customFormat="false" ht="15" hidden="false" customHeight="false" outlineLevel="0" collapsed="false">
      <c r="A990" s="7" t="n">
        <v>989</v>
      </c>
      <c r="B990" s="7" t="s">
        <v>170</v>
      </c>
      <c r="C990" s="7" t="n">
        <v>52</v>
      </c>
      <c r="D990" s="7" t="n">
        <v>3</v>
      </c>
      <c r="E990" s="77" t="n">
        <v>44963</v>
      </c>
      <c r="F990" s="86" t="n">
        <v>0.341284722222222</v>
      </c>
      <c r="G990" s="77" t="n">
        <v>44972</v>
      </c>
      <c r="H990" s="86" t="n">
        <v>0.0833796296296296</v>
      </c>
      <c r="I990" s="7" t="s">
        <v>271</v>
      </c>
      <c r="J990" s="7" t="s">
        <v>179</v>
      </c>
    </row>
    <row r="991" customFormat="false" ht="15" hidden="false" customHeight="false" outlineLevel="0" collapsed="false">
      <c r="A991" s="2" t="n">
        <v>990</v>
      </c>
      <c r="B991" s="2" t="s">
        <v>178</v>
      </c>
      <c r="C991" s="2" t="n">
        <v>42</v>
      </c>
      <c r="D991" s="2" t="n">
        <v>2</v>
      </c>
      <c r="E991" s="82" t="n">
        <v>45264</v>
      </c>
      <c r="F991" s="87" t="n">
        <v>0.930555555555556</v>
      </c>
      <c r="G991" s="82" t="n">
        <v>45268</v>
      </c>
      <c r="H991" s="87" t="n">
        <v>0.998553240740741</v>
      </c>
      <c r="I991" s="2" t="s">
        <v>171</v>
      </c>
      <c r="J991" s="2" t="s">
        <v>165</v>
      </c>
    </row>
    <row r="992" customFormat="false" ht="15" hidden="false" customHeight="false" outlineLevel="0" collapsed="false">
      <c r="A992" s="7" t="n">
        <v>991</v>
      </c>
      <c r="B992" s="7" t="s">
        <v>266</v>
      </c>
      <c r="C992" s="7" t="n">
        <v>36</v>
      </c>
      <c r="D992" s="7" t="n">
        <v>5</v>
      </c>
      <c r="E992" s="77" t="n">
        <v>44966</v>
      </c>
      <c r="F992" s="86" t="n">
        <v>0.625833333333333</v>
      </c>
      <c r="G992" s="77" t="n">
        <v>44972</v>
      </c>
      <c r="H992" s="86" t="n">
        <v>0.720092592592593</v>
      </c>
      <c r="I992" s="7" t="s">
        <v>199</v>
      </c>
      <c r="J992" s="7" t="s">
        <v>31</v>
      </c>
    </row>
    <row r="993" customFormat="false" ht="15" hidden="false" customHeight="false" outlineLevel="0" collapsed="false">
      <c r="A993" s="2" t="n">
        <v>992</v>
      </c>
      <c r="B993" s="2" t="s">
        <v>369</v>
      </c>
      <c r="C993" s="2" t="n">
        <v>43</v>
      </c>
      <c r="D993" s="2" t="n">
        <v>3</v>
      </c>
      <c r="E993" s="82" t="n">
        <v>45232</v>
      </c>
      <c r="F993" s="87" t="n">
        <v>0.58962962962963</v>
      </c>
      <c r="G993" s="82" t="n">
        <v>45233</v>
      </c>
      <c r="H993" s="87" t="n">
        <v>0.814340277777778</v>
      </c>
      <c r="I993" s="2" t="s">
        <v>312</v>
      </c>
      <c r="J993" s="2" t="s">
        <v>32</v>
      </c>
    </row>
    <row r="994" customFormat="false" ht="15" hidden="false" customHeight="false" outlineLevel="0" collapsed="false">
      <c r="A994" s="7" t="n">
        <v>993</v>
      </c>
      <c r="B994" s="7" t="s">
        <v>344</v>
      </c>
      <c r="C994" s="7" t="n">
        <v>61</v>
      </c>
      <c r="D994" s="7" t="n">
        <v>5</v>
      </c>
      <c r="E994" s="77" t="n">
        <v>45207</v>
      </c>
      <c r="F994" s="86" t="n">
        <v>0.898680555555556</v>
      </c>
      <c r="G994" s="77" t="n">
        <v>45213</v>
      </c>
      <c r="H994" s="86" t="n">
        <v>0.663865740740741</v>
      </c>
      <c r="I994" s="7" t="s">
        <v>459</v>
      </c>
      <c r="J994" s="7" t="s">
        <v>168</v>
      </c>
    </row>
    <row r="995" customFormat="false" ht="15" hidden="false" customHeight="false" outlineLevel="0" collapsed="false">
      <c r="A995" s="2" t="n">
        <v>994</v>
      </c>
      <c r="B995" s="2" t="s">
        <v>133</v>
      </c>
      <c r="C995" s="2" t="n">
        <v>68</v>
      </c>
      <c r="D995" s="2" t="n">
        <v>2</v>
      </c>
      <c r="E995" s="82" t="n">
        <v>44970</v>
      </c>
      <c r="F995" s="87" t="n">
        <v>0.947638888888889</v>
      </c>
      <c r="G995" s="82" t="n">
        <v>44978</v>
      </c>
      <c r="H995" s="87" t="n">
        <v>0.281597222222222</v>
      </c>
      <c r="I995" s="2" t="s">
        <v>299</v>
      </c>
      <c r="J995" s="2" t="s">
        <v>179</v>
      </c>
    </row>
    <row r="996" customFormat="false" ht="15" hidden="false" customHeight="false" outlineLevel="0" collapsed="false">
      <c r="A996" s="7" t="n">
        <v>995</v>
      </c>
      <c r="B996" s="7" t="s">
        <v>363</v>
      </c>
      <c r="C996" s="7" t="n">
        <v>57</v>
      </c>
      <c r="D996" s="7" t="n">
        <v>2</v>
      </c>
      <c r="E996" s="77" t="n">
        <v>45127</v>
      </c>
      <c r="F996" s="86" t="n">
        <v>0.0282175925925926</v>
      </c>
      <c r="G996" s="77" t="n">
        <v>45134</v>
      </c>
      <c r="H996" s="86" t="n">
        <v>0.487534722222222</v>
      </c>
      <c r="I996" s="7" t="s">
        <v>497</v>
      </c>
      <c r="J996" s="7" t="s">
        <v>31</v>
      </c>
    </row>
    <row r="997" customFormat="false" ht="15" hidden="false" customHeight="false" outlineLevel="0" collapsed="false">
      <c r="A997" s="2" t="n">
        <v>996</v>
      </c>
      <c r="B997" s="2" t="s">
        <v>331</v>
      </c>
      <c r="C997" s="2" t="n">
        <v>25</v>
      </c>
      <c r="D997" s="2" t="n">
        <v>5</v>
      </c>
      <c r="E997" s="82" t="n">
        <v>45059</v>
      </c>
      <c r="F997" s="87" t="n">
        <v>0.288298611111111</v>
      </c>
      <c r="G997" s="82" t="n">
        <v>45065</v>
      </c>
      <c r="H997" s="87" t="n">
        <v>0.237037037037037</v>
      </c>
      <c r="I997" s="2" t="s">
        <v>368</v>
      </c>
      <c r="J997" s="2" t="s">
        <v>168</v>
      </c>
    </row>
    <row r="998" customFormat="false" ht="15" hidden="false" customHeight="false" outlineLevel="0" collapsed="false">
      <c r="A998" s="7" t="n">
        <v>997</v>
      </c>
      <c r="B998" s="7" t="s">
        <v>388</v>
      </c>
      <c r="C998" s="7" t="n">
        <v>19</v>
      </c>
      <c r="D998" s="7" t="n">
        <v>2</v>
      </c>
      <c r="E998" s="77" t="n">
        <v>44961</v>
      </c>
      <c r="F998" s="86" t="n">
        <v>0.186423611111111</v>
      </c>
      <c r="G998" s="77" t="n">
        <v>44967</v>
      </c>
      <c r="H998" s="86" t="n">
        <v>0.493333333333333</v>
      </c>
      <c r="I998" s="7" t="s">
        <v>604</v>
      </c>
      <c r="J998" s="7" t="s">
        <v>179</v>
      </c>
    </row>
    <row r="999" customFormat="false" ht="15" hidden="false" customHeight="false" outlineLevel="0" collapsed="false">
      <c r="A999" s="2" t="n">
        <v>998</v>
      </c>
      <c r="B999" s="2" t="s">
        <v>242</v>
      </c>
      <c r="C999" s="2" t="n">
        <v>44</v>
      </c>
      <c r="D999" s="2" t="n">
        <v>1</v>
      </c>
      <c r="E999" s="82" t="n">
        <v>45236</v>
      </c>
      <c r="F999" s="87" t="n">
        <v>0.678599537037037</v>
      </c>
      <c r="G999" s="82" t="n">
        <v>45244</v>
      </c>
      <c r="H999" s="87" t="n">
        <v>0.189872685185185</v>
      </c>
      <c r="I999" s="2" t="s">
        <v>193</v>
      </c>
      <c r="J999" s="2" t="s">
        <v>32</v>
      </c>
    </row>
    <row r="1000" customFormat="false" ht="15" hidden="false" customHeight="false" outlineLevel="0" collapsed="false">
      <c r="A1000" s="7" t="n">
        <v>999</v>
      </c>
      <c r="B1000" s="7" t="s">
        <v>266</v>
      </c>
      <c r="C1000" s="7" t="n">
        <v>52</v>
      </c>
      <c r="D1000" s="7" t="n">
        <v>2</v>
      </c>
      <c r="E1000" s="77" t="n">
        <v>44963</v>
      </c>
      <c r="F1000" s="86" t="n">
        <v>0.945011574074074</v>
      </c>
      <c r="G1000" s="77" t="n">
        <v>44967</v>
      </c>
      <c r="H1000" s="86" t="n">
        <v>0.520381944444444</v>
      </c>
      <c r="I1000" s="7" t="s">
        <v>490</v>
      </c>
      <c r="J1000" s="7" t="s">
        <v>179</v>
      </c>
    </row>
    <row r="1001" customFormat="false" ht="15" hidden="false" customHeight="false" outlineLevel="0" collapsed="false">
      <c r="A1001" s="2" t="n">
        <v>1000</v>
      </c>
      <c r="B1001" s="2" t="s">
        <v>157</v>
      </c>
      <c r="C1001" s="2" t="n">
        <v>27</v>
      </c>
      <c r="D1001" s="2" t="n">
        <v>4</v>
      </c>
      <c r="E1001" s="82" t="n">
        <v>45163</v>
      </c>
      <c r="F1001" s="87" t="n">
        <v>0.0574421296296296</v>
      </c>
      <c r="G1001" s="82" t="n">
        <v>45169</v>
      </c>
      <c r="H1001" s="87" t="n">
        <v>0.290266203703704</v>
      </c>
      <c r="I1001" s="2" t="s">
        <v>582</v>
      </c>
      <c r="J1001" s="2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17"/>
    <col collapsed="false" customWidth="true" hidden="false" outlineLevel="0" max="6" min="6" style="0" width="52"/>
  </cols>
  <sheetData>
    <row r="1" customFormat="false" ht="19.5" hidden="false" customHeight="true" outlineLevel="0" collapsed="false">
      <c r="A1" s="76" t="s">
        <v>59</v>
      </c>
      <c r="B1" s="76" t="s">
        <v>80</v>
      </c>
      <c r="C1" s="76" t="s">
        <v>82</v>
      </c>
      <c r="D1" s="76" t="s">
        <v>84</v>
      </c>
      <c r="E1" s="76" t="s">
        <v>75</v>
      </c>
      <c r="F1" s="76" t="s">
        <v>87</v>
      </c>
    </row>
    <row r="2" customFormat="false" ht="15" hidden="false" customHeight="false" outlineLevel="0" collapsed="false">
      <c r="A2" s="7" t="n">
        <v>1</v>
      </c>
      <c r="B2" s="7" t="s">
        <v>623</v>
      </c>
      <c r="C2" s="7" t="s">
        <v>41</v>
      </c>
      <c r="D2" s="88" t="n">
        <v>1935</v>
      </c>
      <c r="E2" s="7" t="s">
        <v>165</v>
      </c>
      <c r="F2" s="7" t="s">
        <v>624</v>
      </c>
    </row>
    <row r="3" customFormat="false" ht="15" hidden="false" customHeight="false" outlineLevel="0" collapsed="false">
      <c r="A3" s="2" t="n">
        <v>2</v>
      </c>
      <c r="B3" s="2" t="s">
        <v>625</v>
      </c>
      <c r="C3" s="2" t="s">
        <v>39</v>
      </c>
      <c r="D3" s="55" t="n">
        <v>441</v>
      </c>
      <c r="E3" s="2" t="s">
        <v>179</v>
      </c>
      <c r="F3" s="2" t="s">
        <v>626</v>
      </c>
    </row>
    <row r="4" customFormat="false" ht="15" hidden="false" customHeight="false" outlineLevel="0" collapsed="false">
      <c r="A4" s="7" t="n">
        <v>3</v>
      </c>
      <c r="B4" s="7" t="s">
        <v>627</v>
      </c>
      <c r="C4" s="7" t="s">
        <v>37</v>
      </c>
      <c r="D4" s="88" t="n">
        <v>1534</v>
      </c>
      <c r="E4" s="7" t="s">
        <v>179</v>
      </c>
      <c r="F4" s="7" t="s">
        <v>628</v>
      </c>
    </row>
    <row r="5" customFormat="false" ht="15" hidden="false" customHeight="false" outlineLevel="0" collapsed="false">
      <c r="A5" s="2" t="n">
        <v>4</v>
      </c>
      <c r="B5" s="2" t="s">
        <v>629</v>
      </c>
      <c r="C5" s="2" t="s">
        <v>42</v>
      </c>
      <c r="D5" s="55" t="n">
        <v>1199</v>
      </c>
      <c r="E5" s="2" t="s">
        <v>32</v>
      </c>
      <c r="F5" s="2" t="s">
        <v>630</v>
      </c>
    </row>
    <row r="6" customFormat="false" ht="15" hidden="false" customHeight="false" outlineLevel="0" collapsed="false">
      <c r="A6" s="7" t="n">
        <v>5</v>
      </c>
      <c r="B6" s="7" t="s">
        <v>631</v>
      </c>
      <c r="C6" s="7" t="s">
        <v>37</v>
      </c>
      <c r="D6" s="88" t="n">
        <v>1444</v>
      </c>
      <c r="E6" s="7" t="s">
        <v>165</v>
      </c>
      <c r="F6" s="7" t="s">
        <v>632</v>
      </c>
    </row>
    <row r="7" customFormat="false" ht="15" hidden="false" customHeight="false" outlineLevel="0" collapsed="false">
      <c r="A7" s="2" t="n">
        <v>6</v>
      </c>
      <c r="B7" s="2" t="s">
        <v>633</v>
      </c>
      <c r="C7" s="2" t="s">
        <v>36</v>
      </c>
      <c r="D7" s="55" t="n">
        <v>1112</v>
      </c>
      <c r="E7" s="2" t="s">
        <v>33</v>
      </c>
      <c r="F7" s="2" t="s">
        <v>634</v>
      </c>
    </row>
    <row r="8" customFormat="false" ht="15" hidden="false" customHeight="false" outlineLevel="0" collapsed="false">
      <c r="A8" s="7" t="n">
        <v>7</v>
      </c>
      <c r="B8" s="7" t="s">
        <v>635</v>
      </c>
      <c r="C8" s="7" t="s">
        <v>41</v>
      </c>
      <c r="D8" s="88" t="n">
        <v>409</v>
      </c>
      <c r="E8" s="7" t="s">
        <v>33</v>
      </c>
      <c r="F8" s="7" t="s">
        <v>636</v>
      </c>
    </row>
    <row r="9" customFormat="false" ht="15" hidden="false" customHeight="false" outlineLevel="0" collapsed="false">
      <c r="A9" s="2" t="n">
        <v>8</v>
      </c>
      <c r="B9" s="2" t="s">
        <v>637</v>
      </c>
      <c r="C9" s="2" t="s">
        <v>42</v>
      </c>
      <c r="D9" s="55" t="n">
        <v>252</v>
      </c>
      <c r="E9" s="2" t="s">
        <v>168</v>
      </c>
      <c r="F9" s="2" t="s">
        <v>638</v>
      </c>
    </row>
    <row r="10" customFormat="false" ht="15" hidden="false" customHeight="false" outlineLevel="0" collapsed="false">
      <c r="A10" s="7" t="n">
        <v>9</v>
      </c>
      <c r="B10" s="7" t="s">
        <v>639</v>
      </c>
      <c r="C10" s="7" t="s">
        <v>37</v>
      </c>
      <c r="D10" s="88" t="n">
        <v>1605</v>
      </c>
      <c r="E10" s="7" t="s">
        <v>40</v>
      </c>
      <c r="F10" s="7" t="s">
        <v>640</v>
      </c>
    </row>
    <row r="11" customFormat="false" ht="15" hidden="false" customHeight="false" outlineLevel="0" collapsed="false">
      <c r="A11" s="2" t="n">
        <v>10</v>
      </c>
      <c r="B11" s="2" t="s">
        <v>641</v>
      </c>
      <c r="C11" s="2" t="s">
        <v>36</v>
      </c>
      <c r="D11" s="55" t="n">
        <v>259</v>
      </c>
      <c r="E11" s="2" t="s">
        <v>31</v>
      </c>
      <c r="F11" s="2" t="s">
        <v>642</v>
      </c>
    </row>
    <row r="12" customFormat="false" ht="15" hidden="false" customHeight="false" outlineLevel="0" collapsed="false">
      <c r="A12" s="7" t="n">
        <v>11</v>
      </c>
      <c r="B12" s="7" t="s">
        <v>643</v>
      </c>
      <c r="C12" s="7" t="s">
        <v>38</v>
      </c>
      <c r="D12" s="88" t="n">
        <v>1096</v>
      </c>
      <c r="E12" s="7" t="s">
        <v>179</v>
      </c>
      <c r="F12" s="7" t="s">
        <v>644</v>
      </c>
    </row>
    <row r="13" customFormat="false" ht="15" hidden="false" customHeight="false" outlineLevel="0" collapsed="false">
      <c r="A13" s="2" t="n">
        <v>12</v>
      </c>
      <c r="B13" s="2" t="s">
        <v>645</v>
      </c>
      <c r="C13" s="2" t="s">
        <v>39</v>
      </c>
      <c r="D13" s="55" t="n">
        <v>672</v>
      </c>
      <c r="E13" s="2" t="s">
        <v>168</v>
      </c>
      <c r="F13" s="2" t="s">
        <v>646</v>
      </c>
    </row>
    <row r="14" customFormat="false" ht="15" hidden="false" customHeight="false" outlineLevel="0" collapsed="false">
      <c r="A14" s="7" t="n">
        <v>13</v>
      </c>
      <c r="B14" s="7" t="s">
        <v>647</v>
      </c>
      <c r="C14" s="7" t="s">
        <v>38</v>
      </c>
      <c r="D14" s="88" t="n">
        <v>1141</v>
      </c>
      <c r="E14" s="7" t="s">
        <v>33</v>
      </c>
      <c r="F14" s="7" t="s">
        <v>648</v>
      </c>
    </row>
    <row r="15" customFormat="false" ht="15" hidden="false" customHeight="false" outlineLevel="0" collapsed="false">
      <c r="A15" s="2" t="n">
        <v>14</v>
      </c>
      <c r="B15" s="2" t="s">
        <v>649</v>
      </c>
      <c r="C15" s="2" t="s">
        <v>37</v>
      </c>
      <c r="D15" s="55" t="n">
        <v>1915</v>
      </c>
      <c r="E15" s="2" t="s">
        <v>31</v>
      </c>
      <c r="F15" s="2" t="s">
        <v>650</v>
      </c>
    </row>
    <row r="16" customFormat="false" ht="15" hidden="false" customHeight="false" outlineLevel="0" collapsed="false">
      <c r="A16" s="7" t="n">
        <v>15</v>
      </c>
      <c r="B16" s="7" t="s">
        <v>651</v>
      </c>
      <c r="C16" s="7" t="s">
        <v>40</v>
      </c>
      <c r="D16" s="88" t="n">
        <v>1488</v>
      </c>
      <c r="E16" s="7" t="s">
        <v>168</v>
      </c>
      <c r="F16" s="7" t="s">
        <v>652</v>
      </c>
    </row>
    <row r="17" customFormat="false" ht="15" hidden="false" customHeight="false" outlineLevel="0" collapsed="false">
      <c r="A17" s="2" t="n">
        <v>16</v>
      </c>
      <c r="B17" s="2" t="s">
        <v>653</v>
      </c>
      <c r="C17" s="2" t="s">
        <v>42</v>
      </c>
      <c r="D17" s="55" t="n">
        <v>1721</v>
      </c>
      <c r="E17" s="2" t="s">
        <v>33</v>
      </c>
      <c r="F17" s="2" t="s">
        <v>654</v>
      </c>
    </row>
    <row r="18" customFormat="false" ht="15" hidden="false" customHeight="false" outlineLevel="0" collapsed="false">
      <c r="A18" s="7" t="n">
        <v>17</v>
      </c>
      <c r="B18" s="7" t="s">
        <v>655</v>
      </c>
      <c r="C18" s="7" t="s">
        <v>41</v>
      </c>
      <c r="D18" s="88" t="n">
        <v>1899</v>
      </c>
      <c r="E18" s="7" t="s">
        <v>168</v>
      </c>
      <c r="F18" s="7" t="s">
        <v>656</v>
      </c>
    </row>
    <row r="19" customFormat="false" ht="15" hidden="false" customHeight="false" outlineLevel="0" collapsed="false">
      <c r="A19" s="2" t="n">
        <v>18</v>
      </c>
      <c r="B19" s="2" t="s">
        <v>657</v>
      </c>
      <c r="C19" s="2" t="s">
        <v>39</v>
      </c>
      <c r="D19" s="55" t="n">
        <v>781</v>
      </c>
      <c r="E19" s="2" t="s">
        <v>31</v>
      </c>
      <c r="F19" s="2" t="s">
        <v>658</v>
      </c>
    </row>
    <row r="20" customFormat="false" ht="15" hidden="false" customHeight="false" outlineLevel="0" collapsed="false">
      <c r="A20" s="7" t="n">
        <v>19</v>
      </c>
      <c r="B20" s="7" t="s">
        <v>659</v>
      </c>
      <c r="C20" s="7" t="s">
        <v>38</v>
      </c>
      <c r="D20" s="88" t="n">
        <v>1234</v>
      </c>
      <c r="E20" s="7" t="s">
        <v>179</v>
      </c>
      <c r="F20" s="7" t="s">
        <v>660</v>
      </c>
    </row>
    <row r="21" customFormat="false" ht="15" hidden="false" customHeight="false" outlineLevel="0" collapsed="false">
      <c r="A21" s="2" t="n">
        <v>20</v>
      </c>
      <c r="B21" s="2" t="s">
        <v>661</v>
      </c>
      <c r="C21" s="2" t="s">
        <v>37</v>
      </c>
      <c r="D21" s="55" t="n">
        <v>697</v>
      </c>
      <c r="E21" s="2" t="s">
        <v>168</v>
      </c>
      <c r="F21" s="2" t="s">
        <v>662</v>
      </c>
    </row>
    <row r="22" customFormat="false" ht="15" hidden="false" customHeight="false" outlineLevel="0" collapsed="false">
      <c r="A22" s="7" t="n">
        <v>21</v>
      </c>
      <c r="B22" s="7" t="s">
        <v>663</v>
      </c>
      <c r="C22" s="7" t="s">
        <v>37</v>
      </c>
      <c r="D22" s="88" t="n">
        <v>1561</v>
      </c>
      <c r="E22" s="7" t="s">
        <v>40</v>
      </c>
      <c r="F22" s="7" t="s">
        <v>664</v>
      </c>
    </row>
    <row r="23" customFormat="false" ht="15" hidden="false" customHeight="false" outlineLevel="0" collapsed="false">
      <c r="A23" s="2" t="n">
        <v>22</v>
      </c>
      <c r="B23" s="2" t="s">
        <v>665</v>
      </c>
      <c r="C23" s="2" t="s">
        <v>41</v>
      </c>
      <c r="D23" s="55" t="n">
        <v>1639</v>
      </c>
      <c r="E23" s="2" t="s">
        <v>165</v>
      </c>
      <c r="F23" s="2" t="s">
        <v>666</v>
      </c>
    </row>
    <row r="24" customFormat="false" ht="15" hidden="false" customHeight="false" outlineLevel="0" collapsed="false">
      <c r="A24" s="7" t="n">
        <v>23</v>
      </c>
      <c r="B24" s="7" t="s">
        <v>667</v>
      </c>
      <c r="C24" s="7" t="s">
        <v>42</v>
      </c>
      <c r="D24" s="88" t="n">
        <v>1098</v>
      </c>
      <c r="E24" s="7" t="s">
        <v>168</v>
      </c>
      <c r="F24" s="7" t="s">
        <v>668</v>
      </c>
    </row>
    <row r="25" customFormat="false" ht="15" hidden="false" customHeight="false" outlineLevel="0" collapsed="false">
      <c r="A25" s="2" t="n">
        <v>24</v>
      </c>
      <c r="B25" s="2" t="s">
        <v>669</v>
      </c>
      <c r="C25" s="2" t="s">
        <v>38</v>
      </c>
      <c r="D25" s="55" t="n">
        <v>535</v>
      </c>
      <c r="E25" s="2" t="s">
        <v>31</v>
      </c>
      <c r="F25" s="2" t="s">
        <v>670</v>
      </c>
    </row>
    <row r="26" customFormat="false" ht="15" hidden="false" customHeight="false" outlineLevel="0" collapsed="false">
      <c r="A26" s="7" t="n">
        <v>25</v>
      </c>
      <c r="B26" s="7" t="s">
        <v>671</v>
      </c>
      <c r="C26" s="7" t="s">
        <v>39</v>
      </c>
      <c r="D26" s="88" t="n">
        <v>1202</v>
      </c>
      <c r="E26" s="7" t="s">
        <v>168</v>
      </c>
      <c r="F26" s="7" t="s">
        <v>672</v>
      </c>
    </row>
    <row r="27" customFormat="false" ht="15" hidden="false" customHeight="false" outlineLevel="0" collapsed="false">
      <c r="A27" s="2" t="n">
        <v>26</v>
      </c>
      <c r="B27" s="2" t="s">
        <v>673</v>
      </c>
      <c r="C27" s="2" t="s">
        <v>37</v>
      </c>
      <c r="D27" s="55" t="n">
        <v>289</v>
      </c>
      <c r="E27" s="2" t="s">
        <v>33</v>
      </c>
      <c r="F27" s="2" t="s">
        <v>674</v>
      </c>
    </row>
    <row r="28" customFormat="false" ht="15" hidden="false" customHeight="false" outlineLevel="0" collapsed="false">
      <c r="A28" s="7" t="n">
        <v>27</v>
      </c>
      <c r="B28" s="7" t="s">
        <v>675</v>
      </c>
      <c r="C28" s="7" t="s">
        <v>36</v>
      </c>
      <c r="D28" s="88" t="n">
        <v>548</v>
      </c>
      <c r="E28" s="7" t="s">
        <v>40</v>
      </c>
      <c r="F28" s="7" t="s">
        <v>676</v>
      </c>
    </row>
    <row r="29" customFormat="false" ht="15" hidden="false" customHeight="false" outlineLevel="0" collapsed="false">
      <c r="A29" s="2" t="n">
        <v>28</v>
      </c>
      <c r="B29" s="2" t="s">
        <v>677</v>
      </c>
      <c r="C29" s="2" t="s">
        <v>42</v>
      </c>
      <c r="D29" s="55" t="n">
        <v>1778</v>
      </c>
      <c r="E29" s="2" t="s">
        <v>40</v>
      </c>
      <c r="F29" s="2" t="s">
        <v>678</v>
      </c>
    </row>
    <row r="30" customFormat="false" ht="15" hidden="false" customHeight="false" outlineLevel="0" collapsed="false">
      <c r="A30" s="7" t="n">
        <v>29</v>
      </c>
      <c r="B30" s="7" t="s">
        <v>679</v>
      </c>
      <c r="C30" s="7" t="s">
        <v>37</v>
      </c>
      <c r="D30" s="88" t="n">
        <v>1252</v>
      </c>
      <c r="E30" s="7" t="s">
        <v>33</v>
      </c>
      <c r="F30" s="7" t="s">
        <v>680</v>
      </c>
    </row>
    <row r="31" customFormat="false" ht="15" hidden="false" customHeight="false" outlineLevel="0" collapsed="false">
      <c r="A31" s="2" t="n">
        <v>30</v>
      </c>
      <c r="B31" s="2" t="s">
        <v>681</v>
      </c>
      <c r="C31" s="2" t="s">
        <v>37</v>
      </c>
      <c r="D31" s="55" t="n">
        <v>751</v>
      </c>
      <c r="E31" s="2" t="s">
        <v>168</v>
      </c>
      <c r="F31" s="2" t="s">
        <v>682</v>
      </c>
    </row>
    <row r="32" customFormat="false" ht="15" hidden="false" customHeight="false" outlineLevel="0" collapsed="false">
      <c r="A32" s="7" t="n">
        <v>31</v>
      </c>
      <c r="B32" s="7" t="s">
        <v>683</v>
      </c>
      <c r="C32" s="7" t="s">
        <v>37</v>
      </c>
      <c r="D32" s="88" t="n">
        <v>1804</v>
      </c>
      <c r="E32" s="7" t="s">
        <v>165</v>
      </c>
      <c r="F32" s="7" t="s">
        <v>684</v>
      </c>
    </row>
    <row r="33" customFormat="false" ht="15" hidden="false" customHeight="false" outlineLevel="0" collapsed="false">
      <c r="A33" s="2" t="n">
        <v>32</v>
      </c>
      <c r="B33" s="2" t="s">
        <v>685</v>
      </c>
      <c r="C33" s="2" t="s">
        <v>41</v>
      </c>
      <c r="D33" s="55" t="n">
        <v>1792</v>
      </c>
      <c r="E33" s="2" t="s">
        <v>31</v>
      </c>
      <c r="F33" s="2" t="s">
        <v>686</v>
      </c>
    </row>
    <row r="34" customFormat="false" ht="15" hidden="false" customHeight="false" outlineLevel="0" collapsed="false">
      <c r="A34" s="7" t="n">
        <v>33</v>
      </c>
      <c r="B34" s="7" t="s">
        <v>687</v>
      </c>
      <c r="C34" s="7" t="s">
        <v>37</v>
      </c>
      <c r="D34" s="88" t="n">
        <v>314</v>
      </c>
      <c r="E34" s="7" t="s">
        <v>179</v>
      </c>
      <c r="F34" s="7" t="s">
        <v>688</v>
      </c>
    </row>
    <row r="35" customFormat="false" ht="15" hidden="false" customHeight="false" outlineLevel="0" collapsed="false">
      <c r="A35" s="2" t="n">
        <v>34</v>
      </c>
      <c r="B35" s="2" t="s">
        <v>689</v>
      </c>
      <c r="C35" s="2" t="s">
        <v>41</v>
      </c>
      <c r="D35" s="55" t="n">
        <v>1335</v>
      </c>
      <c r="E35" s="2" t="s">
        <v>40</v>
      </c>
      <c r="F35" s="2" t="s">
        <v>690</v>
      </c>
    </row>
    <row r="36" customFormat="false" ht="15" hidden="false" customHeight="false" outlineLevel="0" collapsed="false">
      <c r="A36" s="7" t="n">
        <v>35</v>
      </c>
      <c r="B36" s="7" t="s">
        <v>691</v>
      </c>
      <c r="C36" s="7" t="s">
        <v>37</v>
      </c>
      <c r="D36" s="88" t="n">
        <v>1865</v>
      </c>
      <c r="E36" s="7" t="s">
        <v>33</v>
      </c>
      <c r="F36" s="7" t="s">
        <v>692</v>
      </c>
    </row>
    <row r="37" customFormat="false" ht="15" hidden="false" customHeight="false" outlineLevel="0" collapsed="false">
      <c r="A37" s="2" t="n">
        <v>36</v>
      </c>
      <c r="B37" s="2" t="s">
        <v>693</v>
      </c>
      <c r="C37" s="2" t="s">
        <v>39</v>
      </c>
      <c r="D37" s="55" t="n">
        <v>203</v>
      </c>
      <c r="E37" s="2" t="s">
        <v>31</v>
      </c>
      <c r="F37" s="2" t="s">
        <v>694</v>
      </c>
    </row>
    <row r="38" customFormat="false" ht="15" hidden="false" customHeight="false" outlineLevel="0" collapsed="false">
      <c r="A38" s="7" t="n">
        <v>37</v>
      </c>
      <c r="B38" s="7" t="s">
        <v>695</v>
      </c>
      <c r="C38" s="7" t="s">
        <v>37</v>
      </c>
      <c r="D38" s="88" t="n">
        <v>1428</v>
      </c>
      <c r="E38" s="7" t="s">
        <v>32</v>
      </c>
      <c r="F38" s="7" t="s">
        <v>696</v>
      </c>
    </row>
    <row r="39" customFormat="false" ht="15" hidden="false" customHeight="false" outlineLevel="0" collapsed="false">
      <c r="A39" s="2" t="n">
        <v>38</v>
      </c>
      <c r="B39" s="2" t="s">
        <v>697</v>
      </c>
      <c r="C39" s="2" t="s">
        <v>36</v>
      </c>
      <c r="D39" s="55" t="n">
        <v>562</v>
      </c>
      <c r="E39" s="2" t="s">
        <v>31</v>
      </c>
      <c r="F39" s="2" t="s">
        <v>698</v>
      </c>
    </row>
    <row r="40" customFormat="false" ht="15" hidden="false" customHeight="false" outlineLevel="0" collapsed="false">
      <c r="A40" s="7" t="n">
        <v>39</v>
      </c>
      <c r="B40" s="7" t="s">
        <v>699</v>
      </c>
      <c r="C40" s="7" t="s">
        <v>38</v>
      </c>
      <c r="D40" s="88" t="n">
        <v>387</v>
      </c>
      <c r="E40" s="7" t="s">
        <v>165</v>
      </c>
      <c r="F40" s="7" t="s">
        <v>700</v>
      </c>
    </row>
    <row r="41" customFormat="false" ht="15" hidden="false" customHeight="false" outlineLevel="0" collapsed="false">
      <c r="A41" s="2" t="n">
        <v>40</v>
      </c>
      <c r="B41" s="2" t="s">
        <v>701</v>
      </c>
      <c r="C41" s="2" t="s">
        <v>42</v>
      </c>
      <c r="D41" s="55" t="n">
        <v>1923</v>
      </c>
      <c r="E41" s="2" t="s">
        <v>168</v>
      </c>
      <c r="F41" s="2" t="s">
        <v>702</v>
      </c>
    </row>
    <row r="42" customFormat="false" ht="15" hidden="false" customHeight="false" outlineLevel="0" collapsed="false">
      <c r="A42" s="7" t="n">
        <v>41</v>
      </c>
      <c r="B42" s="7" t="s">
        <v>703</v>
      </c>
      <c r="C42" s="7" t="s">
        <v>42</v>
      </c>
      <c r="D42" s="88" t="n">
        <v>1977</v>
      </c>
      <c r="E42" s="7" t="s">
        <v>32</v>
      </c>
      <c r="F42" s="7" t="s">
        <v>704</v>
      </c>
    </row>
    <row r="43" customFormat="false" ht="15" hidden="false" customHeight="false" outlineLevel="0" collapsed="false">
      <c r="A43" s="2" t="n">
        <v>42</v>
      </c>
      <c r="B43" s="2" t="s">
        <v>705</v>
      </c>
      <c r="C43" s="2" t="s">
        <v>42</v>
      </c>
      <c r="D43" s="55" t="n">
        <v>1744</v>
      </c>
      <c r="E43" s="2" t="s">
        <v>165</v>
      </c>
      <c r="F43" s="2" t="s">
        <v>706</v>
      </c>
    </row>
    <row r="44" customFormat="false" ht="15" hidden="false" customHeight="false" outlineLevel="0" collapsed="false">
      <c r="A44" s="7" t="n">
        <v>43</v>
      </c>
      <c r="B44" s="7" t="s">
        <v>707</v>
      </c>
      <c r="C44" s="7" t="s">
        <v>40</v>
      </c>
      <c r="D44" s="88" t="n">
        <v>750</v>
      </c>
      <c r="E44" s="7" t="s">
        <v>32</v>
      </c>
      <c r="F44" s="7" t="s">
        <v>708</v>
      </c>
    </row>
    <row r="45" customFormat="false" ht="15" hidden="false" customHeight="false" outlineLevel="0" collapsed="false">
      <c r="A45" s="2" t="n">
        <v>44</v>
      </c>
      <c r="B45" s="2" t="s">
        <v>709</v>
      </c>
      <c r="C45" s="2" t="s">
        <v>39</v>
      </c>
      <c r="D45" s="55" t="n">
        <v>794</v>
      </c>
      <c r="E45" s="2" t="s">
        <v>32</v>
      </c>
      <c r="F45" s="2" t="s">
        <v>710</v>
      </c>
    </row>
    <row r="46" customFormat="false" ht="15" hidden="false" customHeight="false" outlineLevel="0" collapsed="false">
      <c r="A46" s="7" t="n">
        <v>45</v>
      </c>
      <c r="B46" s="7" t="s">
        <v>711</v>
      </c>
      <c r="C46" s="7" t="s">
        <v>40</v>
      </c>
      <c r="D46" s="88" t="n">
        <v>722</v>
      </c>
      <c r="E46" s="7" t="s">
        <v>31</v>
      </c>
      <c r="F46" s="7" t="s">
        <v>712</v>
      </c>
    </row>
    <row r="47" customFormat="false" ht="15" hidden="false" customHeight="false" outlineLevel="0" collapsed="false">
      <c r="A47" s="2" t="n">
        <v>46</v>
      </c>
      <c r="B47" s="2" t="s">
        <v>713</v>
      </c>
      <c r="C47" s="2" t="s">
        <v>36</v>
      </c>
      <c r="D47" s="55" t="n">
        <v>758</v>
      </c>
      <c r="E47" s="2" t="s">
        <v>168</v>
      </c>
      <c r="F47" s="2" t="s">
        <v>714</v>
      </c>
    </row>
    <row r="48" customFormat="false" ht="15" hidden="false" customHeight="false" outlineLevel="0" collapsed="false">
      <c r="A48" s="7" t="n">
        <v>47</v>
      </c>
      <c r="B48" s="7" t="s">
        <v>715</v>
      </c>
      <c r="C48" s="7" t="s">
        <v>37</v>
      </c>
      <c r="D48" s="88" t="n">
        <v>1638</v>
      </c>
      <c r="E48" s="7" t="s">
        <v>33</v>
      </c>
      <c r="F48" s="7" t="s">
        <v>716</v>
      </c>
    </row>
    <row r="49" customFormat="false" ht="15" hidden="false" customHeight="false" outlineLevel="0" collapsed="false">
      <c r="A49" s="2" t="n">
        <v>48</v>
      </c>
      <c r="B49" s="2" t="s">
        <v>717</v>
      </c>
      <c r="C49" s="2" t="s">
        <v>37</v>
      </c>
      <c r="D49" s="55" t="n">
        <v>433</v>
      </c>
      <c r="E49" s="2" t="s">
        <v>32</v>
      </c>
      <c r="F49" s="2" t="s">
        <v>718</v>
      </c>
    </row>
    <row r="50" customFormat="false" ht="15" hidden="false" customHeight="false" outlineLevel="0" collapsed="false">
      <c r="A50" s="7" t="n">
        <v>49</v>
      </c>
      <c r="B50" s="7" t="s">
        <v>719</v>
      </c>
      <c r="C50" s="7" t="s">
        <v>37</v>
      </c>
      <c r="D50" s="88" t="n">
        <v>903</v>
      </c>
      <c r="E50" s="7" t="s">
        <v>179</v>
      </c>
      <c r="F50" s="7" t="s">
        <v>720</v>
      </c>
    </row>
    <row r="51" customFormat="false" ht="15" hidden="false" customHeight="false" outlineLevel="0" collapsed="false">
      <c r="A51" s="2" t="n">
        <v>50</v>
      </c>
      <c r="B51" s="2" t="s">
        <v>721</v>
      </c>
      <c r="C51" s="2" t="s">
        <v>39</v>
      </c>
      <c r="D51" s="55" t="n">
        <v>422</v>
      </c>
      <c r="E51" s="2" t="s">
        <v>33</v>
      </c>
      <c r="F51" s="2" t="s">
        <v>722</v>
      </c>
    </row>
    <row r="52" customFormat="false" ht="15" hidden="false" customHeight="false" outlineLevel="0" collapsed="false">
      <c r="A52" s="7" t="n">
        <v>51</v>
      </c>
      <c r="B52" s="7" t="s">
        <v>723</v>
      </c>
      <c r="C52" s="7" t="s">
        <v>41</v>
      </c>
      <c r="D52" s="88" t="n">
        <v>1084</v>
      </c>
      <c r="E52" s="7" t="s">
        <v>165</v>
      </c>
      <c r="F52" s="7" t="s">
        <v>724</v>
      </c>
    </row>
    <row r="53" customFormat="false" ht="15" hidden="false" customHeight="false" outlineLevel="0" collapsed="false">
      <c r="A53" s="2" t="n">
        <v>52</v>
      </c>
      <c r="B53" s="2" t="s">
        <v>725</v>
      </c>
      <c r="C53" s="2" t="s">
        <v>40</v>
      </c>
      <c r="D53" s="55" t="n">
        <v>236</v>
      </c>
      <c r="E53" s="2" t="s">
        <v>179</v>
      </c>
      <c r="F53" s="2" t="s">
        <v>726</v>
      </c>
    </row>
    <row r="54" customFormat="false" ht="15" hidden="false" customHeight="false" outlineLevel="0" collapsed="false">
      <c r="A54" s="7" t="n">
        <v>53</v>
      </c>
      <c r="B54" s="7" t="s">
        <v>727</v>
      </c>
      <c r="C54" s="7" t="s">
        <v>42</v>
      </c>
      <c r="D54" s="88" t="n">
        <v>1672</v>
      </c>
      <c r="E54" s="7" t="s">
        <v>40</v>
      </c>
      <c r="F54" s="7" t="s">
        <v>728</v>
      </c>
    </row>
    <row r="55" customFormat="false" ht="15" hidden="false" customHeight="false" outlineLevel="0" collapsed="false">
      <c r="A55" s="2" t="n">
        <v>54</v>
      </c>
      <c r="B55" s="2" t="s">
        <v>729</v>
      </c>
      <c r="C55" s="2" t="s">
        <v>36</v>
      </c>
      <c r="D55" s="55" t="n">
        <v>1236</v>
      </c>
      <c r="E55" s="2" t="s">
        <v>168</v>
      </c>
      <c r="F55" s="2" t="s">
        <v>730</v>
      </c>
    </row>
    <row r="56" customFormat="false" ht="15" hidden="false" customHeight="false" outlineLevel="0" collapsed="false">
      <c r="A56" s="7" t="n">
        <v>55</v>
      </c>
      <c r="B56" s="7" t="s">
        <v>731</v>
      </c>
      <c r="C56" s="7" t="s">
        <v>41</v>
      </c>
      <c r="D56" s="88" t="n">
        <v>1904</v>
      </c>
      <c r="E56" s="7" t="s">
        <v>40</v>
      </c>
      <c r="F56" s="7" t="s">
        <v>732</v>
      </c>
    </row>
    <row r="57" customFormat="false" ht="15" hidden="false" customHeight="false" outlineLevel="0" collapsed="false">
      <c r="A57" s="2" t="n">
        <v>56</v>
      </c>
      <c r="B57" s="2" t="s">
        <v>663</v>
      </c>
      <c r="C57" s="2" t="s">
        <v>40</v>
      </c>
      <c r="D57" s="55" t="n">
        <v>1272</v>
      </c>
      <c r="E57" s="2" t="s">
        <v>168</v>
      </c>
      <c r="F57" s="2" t="s">
        <v>733</v>
      </c>
    </row>
    <row r="58" customFormat="false" ht="15" hidden="false" customHeight="false" outlineLevel="0" collapsed="false">
      <c r="A58" s="7" t="n">
        <v>57</v>
      </c>
      <c r="B58" s="7" t="s">
        <v>734</v>
      </c>
      <c r="C58" s="7" t="s">
        <v>37</v>
      </c>
      <c r="D58" s="88" t="n">
        <v>1582</v>
      </c>
      <c r="E58" s="7" t="s">
        <v>31</v>
      </c>
      <c r="F58" s="7" t="s">
        <v>735</v>
      </c>
    </row>
    <row r="59" customFormat="false" ht="15" hidden="false" customHeight="false" outlineLevel="0" collapsed="false">
      <c r="A59" s="2" t="n">
        <v>58</v>
      </c>
      <c r="B59" s="2" t="s">
        <v>736</v>
      </c>
      <c r="C59" s="2" t="s">
        <v>36</v>
      </c>
      <c r="D59" s="55" t="n">
        <v>1492</v>
      </c>
      <c r="E59" s="2" t="s">
        <v>179</v>
      </c>
      <c r="F59" s="2" t="s">
        <v>737</v>
      </c>
    </row>
    <row r="60" customFormat="false" ht="15" hidden="false" customHeight="false" outlineLevel="0" collapsed="false">
      <c r="A60" s="7" t="n">
        <v>59</v>
      </c>
      <c r="B60" s="7" t="s">
        <v>738</v>
      </c>
      <c r="C60" s="7" t="s">
        <v>36</v>
      </c>
      <c r="D60" s="88" t="n">
        <v>811</v>
      </c>
      <c r="E60" s="7" t="s">
        <v>40</v>
      </c>
      <c r="F60" s="7" t="s">
        <v>739</v>
      </c>
    </row>
    <row r="61" customFormat="false" ht="15" hidden="false" customHeight="false" outlineLevel="0" collapsed="false">
      <c r="A61" s="2" t="n">
        <v>60</v>
      </c>
      <c r="B61" s="2" t="s">
        <v>740</v>
      </c>
      <c r="C61" s="2" t="s">
        <v>42</v>
      </c>
      <c r="D61" s="55" t="n">
        <v>827</v>
      </c>
      <c r="E61" s="2" t="s">
        <v>32</v>
      </c>
      <c r="F61" s="2" t="s">
        <v>741</v>
      </c>
    </row>
    <row r="62" customFormat="false" ht="15" hidden="false" customHeight="false" outlineLevel="0" collapsed="false">
      <c r="A62" s="7" t="n">
        <v>61</v>
      </c>
      <c r="B62" s="7" t="s">
        <v>742</v>
      </c>
      <c r="C62" s="7" t="s">
        <v>39</v>
      </c>
      <c r="D62" s="88" t="n">
        <v>810</v>
      </c>
      <c r="E62" s="7" t="s">
        <v>168</v>
      </c>
      <c r="F62" s="7" t="s">
        <v>743</v>
      </c>
    </row>
    <row r="63" customFormat="false" ht="15" hidden="false" customHeight="false" outlineLevel="0" collapsed="false">
      <c r="A63" s="2" t="n">
        <v>62</v>
      </c>
      <c r="B63" s="2" t="s">
        <v>744</v>
      </c>
      <c r="C63" s="2" t="s">
        <v>37</v>
      </c>
      <c r="D63" s="55" t="n">
        <v>1356</v>
      </c>
      <c r="E63" s="2" t="s">
        <v>33</v>
      </c>
      <c r="F63" s="2" t="s">
        <v>745</v>
      </c>
    </row>
    <row r="64" customFormat="false" ht="15" hidden="false" customHeight="false" outlineLevel="0" collapsed="false">
      <c r="A64" s="7" t="n">
        <v>63</v>
      </c>
      <c r="B64" s="7" t="s">
        <v>746</v>
      </c>
      <c r="C64" s="7" t="s">
        <v>42</v>
      </c>
      <c r="D64" s="88" t="n">
        <v>1348</v>
      </c>
      <c r="E64" s="7" t="s">
        <v>165</v>
      </c>
      <c r="F64" s="7" t="s">
        <v>747</v>
      </c>
    </row>
    <row r="65" customFormat="false" ht="15" hidden="false" customHeight="false" outlineLevel="0" collapsed="false">
      <c r="A65" s="2" t="n">
        <v>64</v>
      </c>
      <c r="B65" s="2" t="s">
        <v>748</v>
      </c>
      <c r="C65" s="2" t="s">
        <v>41</v>
      </c>
      <c r="D65" s="55" t="n">
        <v>1878</v>
      </c>
      <c r="E65" s="2" t="s">
        <v>40</v>
      </c>
      <c r="F65" s="2" t="s">
        <v>749</v>
      </c>
    </row>
    <row r="66" customFormat="false" ht="15" hidden="false" customHeight="false" outlineLevel="0" collapsed="false">
      <c r="A66" s="7" t="n">
        <v>65</v>
      </c>
      <c r="B66" s="7" t="s">
        <v>750</v>
      </c>
      <c r="C66" s="7" t="s">
        <v>40</v>
      </c>
      <c r="D66" s="88" t="n">
        <v>1895</v>
      </c>
      <c r="E66" s="7" t="s">
        <v>165</v>
      </c>
      <c r="F66" s="7" t="s">
        <v>751</v>
      </c>
    </row>
    <row r="67" customFormat="false" ht="15" hidden="false" customHeight="false" outlineLevel="0" collapsed="false">
      <c r="A67" s="2" t="n">
        <v>66</v>
      </c>
      <c r="B67" s="2" t="s">
        <v>752</v>
      </c>
      <c r="C67" s="2" t="s">
        <v>37</v>
      </c>
      <c r="D67" s="55" t="n">
        <v>610</v>
      </c>
      <c r="E67" s="2" t="s">
        <v>33</v>
      </c>
      <c r="F67" s="2" t="s">
        <v>753</v>
      </c>
    </row>
    <row r="68" customFormat="false" ht="15" hidden="false" customHeight="false" outlineLevel="0" collapsed="false">
      <c r="A68" s="7" t="n">
        <v>67</v>
      </c>
      <c r="B68" s="7" t="s">
        <v>754</v>
      </c>
      <c r="C68" s="7" t="s">
        <v>40</v>
      </c>
      <c r="D68" s="88" t="n">
        <v>1374</v>
      </c>
      <c r="E68" s="7" t="s">
        <v>168</v>
      </c>
      <c r="F68" s="7" t="s">
        <v>755</v>
      </c>
    </row>
    <row r="69" customFormat="false" ht="15" hidden="false" customHeight="false" outlineLevel="0" collapsed="false">
      <c r="A69" s="2" t="n">
        <v>68</v>
      </c>
      <c r="B69" s="2" t="s">
        <v>756</v>
      </c>
      <c r="C69" s="2" t="s">
        <v>41</v>
      </c>
      <c r="D69" s="55" t="n">
        <v>597</v>
      </c>
      <c r="E69" s="2" t="s">
        <v>179</v>
      </c>
      <c r="F69" s="2" t="s">
        <v>757</v>
      </c>
    </row>
    <row r="70" customFormat="false" ht="15" hidden="false" customHeight="false" outlineLevel="0" collapsed="false">
      <c r="A70" s="7" t="n">
        <v>69</v>
      </c>
      <c r="B70" s="7" t="s">
        <v>758</v>
      </c>
      <c r="C70" s="7" t="s">
        <v>36</v>
      </c>
      <c r="D70" s="88" t="n">
        <v>998</v>
      </c>
      <c r="E70" s="7" t="s">
        <v>33</v>
      </c>
      <c r="F70" s="7" t="s">
        <v>759</v>
      </c>
    </row>
    <row r="71" customFormat="false" ht="15" hidden="false" customHeight="false" outlineLevel="0" collapsed="false">
      <c r="A71" s="2" t="n">
        <v>70</v>
      </c>
      <c r="B71" s="2" t="s">
        <v>750</v>
      </c>
      <c r="C71" s="2" t="s">
        <v>42</v>
      </c>
      <c r="D71" s="55" t="n">
        <v>866</v>
      </c>
      <c r="E71" s="2" t="s">
        <v>31</v>
      </c>
      <c r="F71" s="2" t="s">
        <v>760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46"/>
  </cols>
  <sheetData>
    <row r="1" customFormat="false" ht="19.5" hidden="false" customHeight="true" outlineLevel="0" collapsed="false">
      <c r="A1" s="76" t="s">
        <v>55</v>
      </c>
      <c r="B1" s="76" t="s">
        <v>92</v>
      </c>
      <c r="C1" s="76" t="s">
        <v>94</v>
      </c>
      <c r="D1" s="76" t="s">
        <v>96</v>
      </c>
      <c r="E1" s="76" t="s">
        <v>98</v>
      </c>
      <c r="F1" s="76" t="s">
        <v>100</v>
      </c>
      <c r="G1" s="76" t="s">
        <v>102</v>
      </c>
    </row>
    <row r="2" customFormat="false" ht="15" hidden="false" customHeight="false" outlineLevel="0" collapsed="false">
      <c r="A2" s="7" t="s">
        <v>124</v>
      </c>
      <c r="B2" s="7" t="s">
        <v>761</v>
      </c>
      <c r="C2" s="7" t="s">
        <v>519</v>
      </c>
      <c r="D2" s="7" t="n">
        <v>917193971454</v>
      </c>
      <c r="E2" s="7" t="s">
        <v>762</v>
      </c>
      <c r="F2" s="7" t="s">
        <v>383</v>
      </c>
      <c r="G2" s="7" t="s">
        <v>763</v>
      </c>
    </row>
    <row r="3" customFormat="false" ht="15" hidden="false" customHeight="false" outlineLevel="0" collapsed="false">
      <c r="A3" s="2" t="s">
        <v>127</v>
      </c>
      <c r="B3" s="2" t="s">
        <v>764</v>
      </c>
      <c r="C3" s="2" t="s">
        <v>290</v>
      </c>
      <c r="D3" s="2" t="n">
        <v>8915420519</v>
      </c>
      <c r="E3" s="2" t="s">
        <v>765</v>
      </c>
      <c r="F3" s="2" t="s">
        <v>383</v>
      </c>
      <c r="G3" s="2" t="s">
        <v>766</v>
      </c>
    </row>
    <row r="4" customFormat="false" ht="15" hidden="false" customHeight="false" outlineLevel="0" collapsed="false">
      <c r="A4" s="7" t="s">
        <v>130</v>
      </c>
      <c r="B4" s="7" t="s">
        <v>767</v>
      </c>
      <c r="C4" s="7" t="s">
        <v>282</v>
      </c>
      <c r="D4" s="7" t="n">
        <v>7400208126</v>
      </c>
      <c r="E4" s="7" t="s">
        <v>768</v>
      </c>
      <c r="F4" s="7" t="s">
        <v>386</v>
      </c>
      <c r="G4" s="7" t="s">
        <v>769</v>
      </c>
    </row>
    <row r="5" customFormat="false" ht="15" hidden="false" customHeight="false" outlineLevel="0" collapsed="false">
      <c r="A5" s="2" t="s">
        <v>133</v>
      </c>
      <c r="B5" s="2" t="s">
        <v>770</v>
      </c>
      <c r="C5" s="2" t="s">
        <v>490</v>
      </c>
      <c r="D5" s="2" t="n">
        <v>7232349928</v>
      </c>
      <c r="E5" s="2" t="s">
        <v>771</v>
      </c>
      <c r="F5" s="2" t="s">
        <v>386</v>
      </c>
      <c r="G5" s="2" t="s">
        <v>772</v>
      </c>
    </row>
    <row r="6" customFormat="false" ht="15" hidden="false" customHeight="false" outlineLevel="0" collapsed="false">
      <c r="A6" s="7" t="s">
        <v>136</v>
      </c>
      <c r="B6" s="7" t="s">
        <v>773</v>
      </c>
      <c r="C6" s="7" t="s">
        <v>466</v>
      </c>
      <c r="D6" s="7" t="n">
        <v>2207644242</v>
      </c>
      <c r="E6" s="7" t="s">
        <v>774</v>
      </c>
      <c r="F6" s="7" t="s">
        <v>386</v>
      </c>
      <c r="G6" s="7" t="s">
        <v>775</v>
      </c>
    </row>
    <row r="7" customFormat="false" ht="15" hidden="false" customHeight="false" outlineLevel="0" collapsed="false">
      <c r="A7" s="2" t="s">
        <v>139</v>
      </c>
      <c r="B7" s="2" t="s">
        <v>776</v>
      </c>
      <c r="C7" s="2" t="s">
        <v>450</v>
      </c>
      <c r="D7" s="2" t="n">
        <v>919363577179</v>
      </c>
      <c r="E7" s="2" t="s">
        <v>777</v>
      </c>
      <c r="F7" s="2" t="s">
        <v>383</v>
      </c>
      <c r="G7" s="2" t="s">
        <v>778</v>
      </c>
    </row>
    <row r="8" customFormat="false" ht="15" hidden="false" customHeight="false" outlineLevel="0" collapsed="false">
      <c r="A8" s="7" t="s">
        <v>142</v>
      </c>
      <c r="B8" s="7" t="s">
        <v>779</v>
      </c>
      <c r="C8" s="7" t="s">
        <v>217</v>
      </c>
      <c r="D8" s="7" t="n">
        <v>918576675504</v>
      </c>
      <c r="E8" s="7" t="s">
        <v>780</v>
      </c>
      <c r="F8" s="7" t="s">
        <v>386</v>
      </c>
      <c r="G8" s="7" t="s">
        <v>781</v>
      </c>
    </row>
    <row r="9" customFormat="false" ht="15" hidden="false" customHeight="false" outlineLevel="0" collapsed="false">
      <c r="A9" s="2" t="s">
        <v>145</v>
      </c>
      <c r="B9" s="2" t="s">
        <v>782</v>
      </c>
      <c r="C9" s="2" t="s">
        <v>310</v>
      </c>
      <c r="D9" s="2" t="n">
        <v>7138085704</v>
      </c>
      <c r="E9" s="2" t="s">
        <v>783</v>
      </c>
      <c r="F9" s="2" t="s">
        <v>383</v>
      </c>
      <c r="G9" s="2" t="s">
        <v>784</v>
      </c>
    </row>
    <row r="10" customFormat="false" ht="15" hidden="false" customHeight="false" outlineLevel="0" collapsed="false">
      <c r="A10" s="7" t="s">
        <v>148</v>
      </c>
      <c r="B10" s="7" t="s">
        <v>785</v>
      </c>
      <c r="C10" s="7" t="s">
        <v>477</v>
      </c>
      <c r="D10" s="7" t="n">
        <v>1336765676</v>
      </c>
      <c r="E10" s="7" t="s">
        <v>786</v>
      </c>
      <c r="F10" s="7" t="s">
        <v>383</v>
      </c>
      <c r="G10" s="7" t="s">
        <v>787</v>
      </c>
    </row>
    <row r="11" customFormat="false" ht="15" hidden="false" customHeight="false" outlineLevel="0" collapsed="false">
      <c r="A11" s="2" t="s">
        <v>151</v>
      </c>
      <c r="B11" s="2" t="s">
        <v>788</v>
      </c>
      <c r="C11" s="2" t="s">
        <v>448</v>
      </c>
      <c r="D11" s="2" t="n">
        <v>1608833065</v>
      </c>
      <c r="E11" s="2" t="s">
        <v>789</v>
      </c>
      <c r="F11" s="2" t="s">
        <v>386</v>
      </c>
      <c r="G11" s="2" t="s">
        <v>790</v>
      </c>
    </row>
    <row r="12" customFormat="false" ht="15" hidden="false" customHeight="false" outlineLevel="0" collapsed="false">
      <c r="A12" s="7" t="s">
        <v>154</v>
      </c>
      <c r="B12" s="7" t="s">
        <v>791</v>
      </c>
      <c r="C12" s="7" t="s">
        <v>515</v>
      </c>
      <c r="D12" s="7" t="n">
        <v>916173563562</v>
      </c>
      <c r="E12" s="7" t="s">
        <v>792</v>
      </c>
      <c r="F12" s="7" t="s">
        <v>383</v>
      </c>
      <c r="G12" s="7" t="s">
        <v>793</v>
      </c>
    </row>
    <row r="13" customFormat="false" ht="15" hidden="false" customHeight="false" outlineLevel="0" collapsed="false">
      <c r="A13" s="2" t="s">
        <v>157</v>
      </c>
      <c r="B13" s="2" t="s">
        <v>794</v>
      </c>
      <c r="C13" s="2" t="s">
        <v>282</v>
      </c>
      <c r="D13" s="2" t="n">
        <v>919921125624</v>
      </c>
      <c r="E13" s="2" t="s">
        <v>795</v>
      </c>
      <c r="F13" s="2" t="s">
        <v>386</v>
      </c>
      <c r="G13" s="2" t="s">
        <v>796</v>
      </c>
    </row>
    <row r="14" customFormat="false" ht="15" hidden="false" customHeight="false" outlineLevel="0" collapsed="false">
      <c r="A14" s="7" t="s">
        <v>159</v>
      </c>
      <c r="B14" s="7" t="s">
        <v>797</v>
      </c>
      <c r="C14" s="7" t="s">
        <v>482</v>
      </c>
      <c r="D14" s="7" t="n">
        <v>912112817503</v>
      </c>
      <c r="E14" s="7" t="s">
        <v>798</v>
      </c>
      <c r="F14" s="7" t="s">
        <v>383</v>
      </c>
      <c r="G14" s="7" t="s">
        <v>799</v>
      </c>
    </row>
    <row r="15" customFormat="false" ht="15" hidden="false" customHeight="false" outlineLevel="0" collapsed="false">
      <c r="A15" s="2" t="s">
        <v>161</v>
      </c>
      <c r="B15" s="2" t="s">
        <v>800</v>
      </c>
      <c r="C15" s="2" t="s">
        <v>522</v>
      </c>
      <c r="D15" s="2" t="n">
        <v>2717671919</v>
      </c>
      <c r="E15" s="2" t="s">
        <v>801</v>
      </c>
      <c r="F15" s="2" t="s">
        <v>383</v>
      </c>
      <c r="G15" s="2" t="s">
        <v>802</v>
      </c>
    </row>
    <row r="16" customFormat="false" ht="15" hidden="false" customHeight="false" outlineLevel="0" collapsed="false">
      <c r="A16" s="7" t="s">
        <v>164</v>
      </c>
      <c r="B16" s="7" t="s">
        <v>803</v>
      </c>
      <c r="C16" s="7" t="s">
        <v>462</v>
      </c>
      <c r="D16" s="7" t="n">
        <v>918664164910</v>
      </c>
      <c r="E16" s="7" t="s">
        <v>804</v>
      </c>
      <c r="F16" s="7" t="s">
        <v>383</v>
      </c>
      <c r="G16" s="7" t="s">
        <v>805</v>
      </c>
    </row>
    <row r="17" customFormat="false" ht="15" hidden="false" customHeight="false" outlineLevel="0" collapsed="false">
      <c r="A17" s="2" t="s">
        <v>167</v>
      </c>
      <c r="B17" s="2" t="s">
        <v>806</v>
      </c>
      <c r="C17" s="2" t="s">
        <v>584</v>
      </c>
      <c r="D17" s="2" t="n">
        <v>8482992702</v>
      </c>
      <c r="E17" s="2" t="s">
        <v>807</v>
      </c>
      <c r="F17" s="2" t="s">
        <v>386</v>
      </c>
      <c r="G17" s="2" t="s">
        <v>808</v>
      </c>
    </row>
    <row r="18" customFormat="false" ht="15" hidden="false" customHeight="false" outlineLevel="0" collapsed="false">
      <c r="A18" s="7" t="s">
        <v>170</v>
      </c>
      <c r="B18" s="7" t="s">
        <v>809</v>
      </c>
      <c r="C18" s="7" t="s">
        <v>381</v>
      </c>
      <c r="D18" s="7" t="n">
        <v>912738556486</v>
      </c>
      <c r="E18" s="7" t="s">
        <v>810</v>
      </c>
      <c r="F18" s="7" t="s">
        <v>386</v>
      </c>
      <c r="G18" s="7" t="s">
        <v>811</v>
      </c>
    </row>
    <row r="19" customFormat="false" ht="15" hidden="false" customHeight="false" outlineLevel="0" collapsed="false">
      <c r="A19" s="2" t="s">
        <v>172</v>
      </c>
      <c r="B19" s="2" t="s">
        <v>812</v>
      </c>
      <c r="C19" s="2" t="s">
        <v>511</v>
      </c>
      <c r="D19" s="2" t="n">
        <v>919080029661</v>
      </c>
      <c r="E19" s="2" t="s">
        <v>813</v>
      </c>
      <c r="F19" s="2" t="s">
        <v>386</v>
      </c>
      <c r="G19" s="2" t="s">
        <v>814</v>
      </c>
    </row>
    <row r="20" customFormat="false" ht="15" hidden="false" customHeight="false" outlineLevel="0" collapsed="false">
      <c r="A20" s="7" t="s">
        <v>174</v>
      </c>
      <c r="B20" s="7" t="s">
        <v>815</v>
      </c>
      <c r="C20" s="7" t="s">
        <v>318</v>
      </c>
      <c r="D20" s="7" t="n">
        <v>914513393592</v>
      </c>
      <c r="E20" s="7" t="s">
        <v>816</v>
      </c>
      <c r="F20" s="7" t="s">
        <v>386</v>
      </c>
      <c r="G20" s="7" t="s">
        <v>817</v>
      </c>
    </row>
    <row r="21" customFormat="false" ht="15" hidden="false" customHeight="false" outlineLevel="0" collapsed="false">
      <c r="A21" s="2" t="s">
        <v>176</v>
      </c>
      <c r="B21" s="2" t="s">
        <v>818</v>
      </c>
      <c r="C21" s="2" t="s">
        <v>475</v>
      </c>
      <c r="D21" s="2" t="n">
        <v>1731643700</v>
      </c>
      <c r="E21" s="2" t="s">
        <v>819</v>
      </c>
      <c r="F21" s="2" t="s">
        <v>386</v>
      </c>
      <c r="G21" s="2" t="s">
        <v>820</v>
      </c>
    </row>
    <row r="22" customFormat="false" ht="15" hidden="false" customHeight="false" outlineLevel="0" collapsed="false">
      <c r="A22" s="7" t="s">
        <v>178</v>
      </c>
      <c r="B22" s="7" t="s">
        <v>821</v>
      </c>
      <c r="C22" s="7" t="s">
        <v>488</v>
      </c>
      <c r="D22" s="7" t="n">
        <v>915555408563</v>
      </c>
      <c r="E22" s="7" t="s">
        <v>822</v>
      </c>
      <c r="F22" s="7" t="s">
        <v>386</v>
      </c>
      <c r="G22" s="7" t="s">
        <v>823</v>
      </c>
    </row>
    <row r="23" customFormat="false" ht="15" hidden="false" customHeight="false" outlineLevel="0" collapsed="false">
      <c r="A23" s="2" t="s">
        <v>181</v>
      </c>
      <c r="B23" s="2" t="s">
        <v>824</v>
      </c>
      <c r="C23" s="2" t="s">
        <v>455</v>
      </c>
      <c r="D23" s="2" t="n">
        <v>913111711777</v>
      </c>
      <c r="E23" s="2" t="s">
        <v>825</v>
      </c>
      <c r="F23" s="2" t="s">
        <v>386</v>
      </c>
      <c r="G23" s="2" t="s">
        <v>826</v>
      </c>
    </row>
    <row r="24" customFormat="false" ht="15" hidden="false" customHeight="false" outlineLevel="0" collapsed="false">
      <c r="A24" s="7" t="s">
        <v>183</v>
      </c>
      <c r="B24" s="7" t="s">
        <v>827</v>
      </c>
      <c r="C24" s="7" t="s">
        <v>271</v>
      </c>
      <c r="D24" s="7" t="n">
        <v>7196287267</v>
      </c>
      <c r="E24" s="7" t="s">
        <v>828</v>
      </c>
      <c r="F24" s="7" t="s">
        <v>386</v>
      </c>
      <c r="G24" s="7" t="s">
        <v>829</v>
      </c>
    </row>
    <row r="25" customFormat="false" ht="15" hidden="false" customHeight="false" outlineLevel="0" collapsed="false">
      <c r="A25" s="2" t="s">
        <v>185</v>
      </c>
      <c r="B25" s="2" t="s">
        <v>830</v>
      </c>
      <c r="C25" s="2" t="s">
        <v>453</v>
      </c>
      <c r="D25" s="2" t="n">
        <v>910316756360</v>
      </c>
      <c r="E25" s="2" t="s">
        <v>831</v>
      </c>
      <c r="F25" s="2" t="s">
        <v>383</v>
      </c>
      <c r="G25" s="2" t="s">
        <v>832</v>
      </c>
    </row>
    <row r="26" customFormat="false" ht="15" hidden="false" customHeight="false" outlineLevel="0" collapsed="false">
      <c r="A26" s="7" t="s">
        <v>188</v>
      </c>
      <c r="B26" s="7" t="s">
        <v>833</v>
      </c>
      <c r="C26" s="7" t="s">
        <v>569</v>
      </c>
      <c r="D26" s="7" t="n">
        <v>917406193950</v>
      </c>
      <c r="E26" s="7" t="s">
        <v>834</v>
      </c>
      <c r="F26" s="7" t="s">
        <v>383</v>
      </c>
      <c r="G26" s="7" t="s">
        <v>835</v>
      </c>
    </row>
    <row r="27" customFormat="false" ht="15" hidden="false" customHeight="false" outlineLevel="0" collapsed="false">
      <c r="A27" s="2" t="s">
        <v>190</v>
      </c>
      <c r="B27" s="2" t="s">
        <v>836</v>
      </c>
      <c r="C27" s="2" t="s">
        <v>371</v>
      </c>
      <c r="D27" s="2" t="n">
        <v>918716483532</v>
      </c>
      <c r="E27" s="2" t="s">
        <v>837</v>
      </c>
      <c r="F27" s="2" t="s">
        <v>383</v>
      </c>
      <c r="G27" s="2" t="s">
        <v>838</v>
      </c>
    </row>
    <row r="28" customFormat="false" ht="15" hidden="false" customHeight="false" outlineLevel="0" collapsed="false">
      <c r="A28" s="7" t="s">
        <v>192</v>
      </c>
      <c r="B28" s="7" t="s">
        <v>839</v>
      </c>
      <c r="C28" s="7" t="s">
        <v>561</v>
      </c>
      <c r="D28" s="7" t="n">
        <v>3431035116</v>
      </c>
      <c r="E28" s="7" t="s">
        <v>840</v>
      </c>
      <c r="F28" s="7" t="s">
        <v>383</v>
      </c>
      <c r="G28" s="7" t="s">
        <v>841</v>
      </c>
    </row>
    <row r="29" customFormat="false" ht="15" hidden="false" customHeight="false" outlineLevel="0" collapsed="false">
      <c r="A29" s="2" t="s">
        <v>194</v>
      </c>
      <c r="B29" s="2" t="s">
        <v>842</v>
      </c>
      <c r="C29" s="2" t="s">
        <v>512</v>
      </c>
      <c r="D29" s="2" t="n">
        <v>2539728317</v>
      </c>
      <c r="E29" s="2" t="s">
        <v>843</v>
      </c>
      <c r="F29" s="2" t="s">
        <v>383</v>
      </c>
      <c r="G29" s="2" t="s">
        <v>844</v>
      </c>
    </row>
    <row r="30" customFormat="false" ht="15" hidden="false" customHeight="false" outlineLevel="0" collapsed="false">
      <c r="A30" s="7" t="s">
        <v>196</v>
      </c>
      <c r="B30" s="7" t="s">
        <v>845</v>
      </c>
      <c r="C30" s="7" t="s">
        <v>846</v>
      </c>
      <c r="D30" s="7" t="n">
        <v>912454360885</v>
      </c>
      <c r="E30" s="7" t="s">
        <v>847</v>
      </c>
      <c r="F30" s="7" t="s">
        <v>383</v>
      </c>
      <c r="G30" s="7" t="s">
        <v>848</v>
      </c>
    </row>
    <row r="31" customFormat="false" ht="15" hidden="false" customHeight="false" outlineLevel="0" collapsed="false">
      <c r="A31" s="2" t="s">
        <v>198</v>
      </c>
      <c r="B31" s="2" t="s">
        <v>849</v>
      </c>
      <c r="C31" s="2" t="s">
        <v>555</v>
      </c>
      <c r="D31" s="2" t="n">
        <v>9972300876</v>
      </c>
      <c r="E31" s="2" t="s">
        <v>850</v>
      </c>
      <c r="F31" s="2" t="s">
        <v>386</v>
      </c>
      <c r="G31" s="2" t="s">
        <v>851</v>
      </c>
    </row>
    <row r="32" customFormat="false" ht="15" hidden="false" customHeight="false" outlineLevel="0" collapsed="false">
      <c r="A32" s="7" t="s">
        <v>200</v>
      </c>
      <c r="B32" s="7" t="s">
        <v>852</v>
      </c>
      <c r="C32" s="7" t="s">
        <v>557</v>
      </c>
      <c r="D32" s="7" t="n">
        <v>135745753</v>
      </c>
      <c r="E32" s="7" t="s">
        <v>853</v>
      </c>
      <c r="F32" s="7" t="s">
        <v>383</v>
      </c>
      <c r="G32" s="7" t="s">
        <v>854</v>
      </c>
    </row>
    <row r="33" customFormat="false" ht="15" hidden="false" customHeight="false" outlineLevel="0" collapsed="false">
      <c r="A33" s="2" t="s">
        <v>202</v>
      </c>
      <c r="B33" s="2" t="s">
        <v>855</v>
      </c>
      <c r="C33" s="2" t="s">
        <v>579</v>
      </c>
      <c r="D33" s="2" t="n">
        <v>1611365500</v>
      </c>
      <c r="E33" s="2" t="s">
        <v>856</v>
      </c>
      <c r="F33" s="2" t="s">
        <v>386</v>
      </c>
      <c r="G33" s="2" t="s">
        <v>857</v>
      </c>
    </row>
    <row r="34" customFormat="false" ht="15" hidden="false" customHeight="false" outlineLevel="0" collapsed="false">
      <c r="A34" s="7" t="s">
        <v>204</v>
      </c>
      <c r="B34" s="7" t="s">
        <v>858</v>
      </c>
      <c r="C34" s="7" t="s">
        <v>424</v>
      </c>
      <c r="D34" s="7" t="n">
        <v>5713958095</v>
      </c>
      <c r="E34" s="7" t="s">
        <v>859</v>
      </c>
      <c r="F34" s="7" t="s">
        <v>383</v>
      </c>
      <c r="G34" s="7" t="s">
        <v>860</v>
      </c>
    </row>
    <row r="35" customFormat="false" ht="15" hidden="false" customHeight="false" outlineLevel="0" collapsed="false">
      <c r="A35" s="2" t="s">
        <v>206</v>
      </c>
      <c r="B35" s="2" t="s">
        <v>861</v>
      </c>
      <c r="C35" s="2" t="s">
        <v>235</v>
      </c>
      <c r="D35" s="2" t="n">
        <v>6652710577</v>
      </c>
      <c r="E35" s="2" t="s">
        <v>862</v>
      </c>
      <c r="F35" s="2" t="s">
        <v>386</v>
      </c>
      <c r="G35" s="2" t="s">
        <v>863</v>
      </c>
    </row>
    <row r="36" customFormat="false" ht="15" hidden="false" customHeight="false" outlineLevel="0" collapsed="false">
      <c r="A36" s="7" t="s">
        <v>209</v>
      </c>
      <c r="B36" s="7" t="s">
        <v>864</v>
      </c>
      <c r="C36" s="7" t="s">
        <v>605</v>
      </c>
      <c r="D36" s="7" t="n">
        <v>916899648374</v>
      </c>
      <c r="E36" s="7" t="s">
        <v>865</v>
      </c>
      <c r="F36" s="7" t="s">
        <v>386</v>
      </c>
      <c r="G36" s="7" t="s">
        <v>866</v>
      </c>
    </row>
    <row r="37" customFormat="false" ht="15" hidden="false" customHeight="false" outlineLevel="0" collapsed="false">
      <c r="A37" s="2" t="s">
        <v>212</v>
      </c>
      <c r="B37" s="2" t="s">
        <v>867</v>
      </c>
      <c r="C37" s="2" t="s">
        <v>349</v>
      </c>
      <c r="D37" s="2" t="n">
        <v>918721850071</v>
      </c>
      <c r="E37" s="2" t="s">
        <v>868</v>
      </c>
      <c r="F37" s="2" t="s">
        <v>383</v>
      </c>
      <c r="G37" s="2" t="s">
        <v>869</v>
      </c>
    </row>
    <row r="38" customFormat="false" ht="15" hidden="false" customHeight="false" outlineLevel="0" collapsed="false">
      <c r="A38" s="7" t="s">
        <v>215</v>
      </c>
      <c r="B38" s="7" t="s">
        <v>870</v>
      </c>
      <c r="C38" s="7" t="s">
        <v>324</v>
      </c>
      <c r="D38" s="7" t="n">
        <v>1972392634</v>
      </c>
      <c r="E38" s="7" t="s">
        <v>871</v>
      </c>
      <c r="F38" s="7" t="s">
        <v>386</v>
      </c>
      <c r="G38" s="7" t="s">
        <v>872</v>
      </c>
    </row>
    <row r="39" customFormat="false" ht="15" hidden="false" customHeight="false" outlineLevel="0" collapsed="false">
      <c r="A39" s="2" t="s">
        <v>218</v>
      </c>
      <c r="B39" s="2" t="s">
        <v>873</v>
      </c>
      <c r="C39" s="2" t="s">
        <v>138</v>
      </c>
      <c r="D39" s="2" t="n">
        <v>2847411902</v>
      </c>
      <c r="E39" s="2" t="s">
        <v>874</v>
      </c>
      <c r="F39" s="2" t="s">
        <v>383</v>
      </c>
      <c r="G39" s="2" t="s">
        <v>875</v>
      </c>
    </row>
    <row r="40" customFormat="false" ht="15" hidden="false" customHeight="false" outlineLevel="0" collapsed="false">
      <c r="A40" s="7" t="s">
        <v>221</v>
      </c>
      <c r="B40" s="7" t="s">
        <v>876</v>
      </c>
      <c r="C40" s="7" t="s">
        <v>447</v>
      </c>
      <c r="D40" s="7" t="n">
        <v>918804850295</v>
      </c>
      <c r="E40" s="7" t="s">
        <v>877</v>
      </c>
      <c r="F40" s="7" t="s">
        <v>386</v>
      </c>
      <c r="G40" s="7" t="s">
        <v>878</v>
      </c>
    </row>
    <row r="41" customFormat="false" ht="15" hidden="false" customHeight="false" outlineLevel="0" collapsed="false">
      <c r="A41" s="2" t="s">
        <v>224</v>
      </c>
      <c r="B41" s="2" t="s">
        <v>879</v>
      </c>
      <c r="C41" s="2" t="s">
        <v>518</v>
      </c>
      <c r="D41" s="2" t="n">
        <v>918810621361</v>
      </c>
      <c r="E41" s="2" t="s">
        <v>880</v>
      </c>
      <c r="F41" s="2" t="s">
        <v>383</v>
      </c>
      <c r="G41" s="2" t="s">
        <v>881</v>
      </c>
    </row>
    <row r="42" customFormat="false" ht="15" hidden="false" customHeight="false" outlineLevel="0" collapsed="false">
      <c r="A42" s="7" t="s">
        <v>227</v>
      </c>
      <c r="B42" s="7" t="s">
        <v>882</v>
      </c>
      <c r="C42" s="7" t="s">
        <v>449</v>
      </c>
      <c r="D42" s="7" t="n">
        <v>625408216</v>
      </c>
      <c r="E42" s="7" t="s">
        <v>883</v>
      </c>
      <c r="F42" s="7" t="s">
        <v>386</v>
      </c>
      <c r="G42" s="7" t="s">
        <v>884</v>
      </c>
    </row>
    <row r="43" customFormat="false" ht="15" hidden="false" customHeight="false" outlineLevel="0" collapsed="false">
      <c r="A43" s="2" t="s">
        <v>230</v>
      </c>
      <c r="B43" s="2" t="s">
        <v>885</v>
      </c>
      <c r="C43" s="2" t="s">
        <v>141</v>
      </c>
      <c r="D43" s="2" t="n">
        <v>916843169694</v>
      </c>
      <c r="E43" s="2" t="s">
        <v>886</v>
      </c>
      <c r="F43" s="2" t="s">
        <v>386</v>
      </c>
      <c r="G43" s="2" t="s">
        <v>887</v>
      </c>
    </row>
    <row r="44" customFormat="false" ht="15" hidden="false" customHeight="false" outlineLevel="0" collapsed="false">
      <c r="A44" s="7" t="s">
        <v>233</v>
      </c>
      <c r="B44" s="7" t="s">
        <v>888</v>
      </c>
      <c r="C44" s="7" t="s">
        <v>605</v>
      </c>
      <c r="D44" s="7" t="n">
        <v>2544865070</v>
      </c>
      <c r="E44" s="7" t="s">
        <v>889</v>
      </c>
      <c r="F44" s="7" t="s">
        <v>383</v>
      </c>
      <c r="G44" s="7" t="s">
        <v>890</v>
      </c>
    </row>
    <row r="45" customFormat="false" ht="15" hidden="false" customHeight="false" outlineLevel="0" collapsed="false">
      <c r="A45" s="2" t="s">
        <v>236</v>
      </c>
      <c r="B45" s="2" t="s">
        <v>891</v>
      </c>
      <c r="C45" s="2" t="s">
        <v>129</v>
      </c>
      <c r="D45" s="2" t="n">
        <v>9843970658</v>
      </c>
      <c r="E45" s="2" t="s">
        <v>892</v>
      </c>
      <c r="F45" s="2" t="s">
        <v>386</v>
      </c>
      <c r="G45" s="2" t="s">
        <v>893</v>
      </c>
    </row>
    <row r="46" customFormat="false" ht="15" hidden="false" customHeight="false" outlineLevel="0" collapsed="false">
      <c r="A46" s="7" t="s">
        <v>239</v>
      </c>
      <c r="B46" s="7" t="s">
        <v>894</v>
      </c>
      <c r="C46" s="7" t="s">
        <v>479</v>
      </c>
      <c r="D46" s="7" t="n">
        <v>6789522856</v>
      </c>
      <c r="E46" s="7" t="s">
        <v>895</v>
      </c>
      <c r="F46" s="7" t="s">
        <v>383</v>
      </c>
      <c r="G46" s="7" t="s">
        <v>896</v>
      </c>
    </row>
    <row r="47" customFormat="false" ht="15" hidden="false" customHeight="false" outlineLevel="0" collapsed="false">
      <c r="A47" s="2" t="s">
        <v>242</v>
      </c>
      <c r="B47" s="2" t="s">
        <v>897</v>
      </c>
      <c r="C47" s="2" t="s">
        <v>397</v>
      </c>
      <c r="D47" s="2" t="n">
        <v>917543187237</v>
      </c>
      <c r="E47" s="2" t="s">
        <v>898</v>
      </c>
      <c r="F47" s="2" t="s">
        <v>386</v>
      </c>
      <c r="G47" s="2" t="s">
        <v>899</v>
      </c>
    </row>
    <row r="48" customFormat="false" ht="15" hidden="false" customHeight="false" outlineLevel="0" collapsed="false">
      <c r="A48" s="7" t="s">
        <v>245</v>
      </c>
      <c r="B48" s="7" t="s">
        <v>900</v>
      </c>
      <c r="C48" s="7" t="s">
        <v>442</v>
      </c>
      <c r="D48" s="7" t="n">
        <v>910798274175</v>
      </c>
      <c r="E48" s="7" t="s">
        <v>901</v>
      </c>
      <c r="F48" s="7" t="s">
        <v>386</v>
      </c>
      <c r="G48" s="7" t="s">
        <v>902</v>
      </c>
    </row>
    <row r="49" customFormat="false" ht="15" hidden="false" customHeight="false" outlineLevel="0" collapsed="false">
      <c r="A49" s="2" t="s">
        <v>248</v>
      </c>
      <c r="B49" s="2" t="s">
        <v>903</v>
      </c>
      <c r="C49" s="2" t="s">
        <v>398</v>
      </c>
      <c r="D49" s="2" t="n">
        <v>7979926231</v>
      </c>
      <c r="E49" s="2" t="s">
        <v>904</v>
      </c>
      <c r="F49" s="2" t="s">
        <v>386</v>
      </c>
      <c r="G49" s="2" t="s">
        <v>905</v>
      </c>
    </row>
    <row r="50" customFormat="false" ht="15" hidden="false" customHeight="false" outlineLevel="0" collapsed="false">
      <c r="A50" s="7" t="s">
        <v>251</v>
      </c>
      <c r="B50" s="7" t="s">
        <v>906</v>
      </c>
      <c r="C50" s="7" t="s">
        <v>422</v>
      </c>
      <c r="D50" s="7" t="n">
        <v>1436426958</v>
      </c>
      <c r="E50" s="7" t="s">
        <v>907</v>
      </c>
      <c r="F50" s="7" t="s">
        <v>383</v>
      </c>
      <c r="G50" s="7" t="s">
        <v>908</v>
      </c>
    </row>
    <row r="51" customFormat="false" ht="15" hidden="false" customHeight="false" outlineLevel="0" collapsed="false">
      <c r="A51" s="2" t="s">
        <v>254</v>
      </c>
      <c r="B51" s="2" t="s">
        <v>909</v>
      </c>
      <c r="C51" s="2" t="s">
        <v>422</v>
      </c>
      <c r="D51" s="2" t="n">
        <v>911157961919</v>
      </c>
      <c r="E51" s="2" t="s">
        <v>910</v>
      </c>
      <c r="F51" s="2" t="s">
        <v>383</v>
      </c>
      <c r="G51" s="2" t="s">
        <v>911</v>
      </c>
    </row>
    <row r="52" customFormat="false" ht="15" hidden="false" customHeight="false" outlineLevel="0" collapsed="false">
      <c r="A52" s="7" t="s">
        <v>257</v>
      </c>
      <c r="B52" s="7" t="s">
        <v>912</v>
      </c>
      <c r="C52" s="7" t="s">
        <v>465</v>
      </c>
      <c r="D52" s="7" t="n">
        <v>911200621501</v>
      </c>
      <c r="E52" s="7" t="s">
        <v>913</v>
      </c>
      <c r="F52" s="7" t="s">
        <v>383</v>
      </c>
      <c r="G52" s="7" t="s">
        <v>914</v>
      </c>
    </row>
    <row r="53" customFormat="false" ht="15" hidden="false" customHeight="false" outlineLevel="0" collapsed="false">
      <c r="A53" s="2" t="s">
        <v>260</v>
      </c>
      <c r="B53" s="2" t="s">
        <v>915</v>
      </c>
      <c r="C53" s="2" t="s">
        <v>340</v>
      </c>
      <c r="D53" s="2" t="n">
        <v>5846932069</v>
      </c>
      <c r="E53" s="2" t="s">
        <v>916</v>
      </c>
      <c r="F53" s="2" t="s">
        <v>386</v>
      </c>
      <c r="G53" s="2" t="s">
        <v>917</v>
      </c>
    </row>
    <row r="54" customFormat="false" ht="15" hidden="false" customHeight="false" outlineLevel="0" collapsed="false">
      <c r="A54" s="7" t="s">
        <v>263</v>
      </c>
      <c r="B54" s="7" t="s">
        <v>918</v>
      </c>
      <c r="C54" s="7" t="s">
        <v>232</v>
      </c>
      <c r="D54" s="7" t="n">
        <v>918068004996</v>
      </c>
      <c r="E54" s="7" t="s">
        <v>919</v>
      </c>
      <c r="F54" s="7" t="s">
        <v>383</v>
      </c>
      <c r="G54" s="7" t="s">
        <v>920</v>
      </c>
    </row>
    <row r="55" customFormat="false" ht="15" hidden="false" customHeight="false" outlineLevel="0" collapsed="false">
      <c r="A55" s="2" t="s">
        <v>266</v>
      </c>
      <c r="B55" s="2" t="s">
        <v>921</v>
      </c>
      <c r="C55" s="2" t="s">
        <v>271</v>
      </c>
      <c r="D55" s="2" t="n">
        <v>7271590783</v>
      </c>
      <c r="E55" s="2" t="s">
        <v>922</v>
      </c>
      <c r="F55" s="2" t="s">
        <v>383</v>
      </c>
      <c r="G55" s="2" t="s">
        <v>923</v>
      </c>
    </row>
    <row r="56" customFormat="false" ht="15" hidden="false" customHeight="false" outlineLevel="0" collapsed="false">
      <c r="A56" s="7" t="s">
        <v>269</v>
      </c>
      <c r="B56" s="7" t="s">
        <v>924</v>
      </c>
      <c r="C56" s="7" t="s">
        <v>422</v>
      </c>
      <c r="D56" s="7" t="n">
        <v>2007986762</v>
      </c>
      <c r="E56" s="7" t="s">
        <v>925</v>
      </c>
      <c r="F56" s="7" t="s">
        <v>386</v>
      </c>
      <c r="G56" s="7" t="s">
        <v>926</v>
      </c>
    </row>
    <row r="57" customFormat="false" ht="15" hidden="false" customHeight="false" outlineLevel="0" collapsed="false">
      <c r="A57" s="2" t="s">
        <v>272</v>
      </c>
      <c r="B57" s="2" t="s">
        <v>927</v>
      </c>
      <c r="C57" s="2" t="s">
        <v>846</v>
      </c>
      <c r="D57" s="2" t="n">
        <v>9732644810</v>
      </c>
      <c r="E57" s="2" t="s">
        <v>928</v>
      </c>
      <c r="F57" s="2" t="s">
        <v>386</v>
      </c>
      <c r="G57" s="2" t="s">
        <v>929</v>
      </c>
    </row>
    <row r="58" customFormat="false" ht="15" hidden="false" customHeight="false" outlineLevel="0" collapsed="false">
      <c r="A58" s="7" t="s">
        <v>275</v>
      </c>
      <c r="B58" s="7" t="s">
        <v>930</v>
      </c>
      <c r="C58" s="7" t="s">
        <v>333</v>
      </c>
      <c r="D58" s="7" t="n">
        <v>8736997123</v>
      </c>
      <c r="E58" s="7" t="s">
        <v>931</v>
      </c>
      <c r="F58" s="7" t="s">
        <v>383</v>
      </c>
      <c r="G58" s="7" t="s">
        <v>932</v>
      </c>
    </row>
    <row r="59" customFormat="false" ht="15" hidden="false" customHeight="false" outlineLevel="0" collapsed="false">
      <c r="A59" s="2" t="s">
        <v>278</v>
      </c>
      <c r="B59" s="2" t="s">
        <v>933</v>
      </c>
      <c r="C59" s="2" t="s">
        <v>398</v>
      </c>
      <c r="D59" s="2" t="n">
        <v>919771604920</v>
      </c>
      <c r="E59" s="2" t="s">
        <v>934</v>
      </c>
      <c r="F59" s="2" t="s">
        <v>386</v>
      </c>
      <c r="G59" s="2" t="s">
        <v>935</v>
      </c>
    </row>
    <row r="60" customFormat="false" ht="15" hidden="false" customHeight="false" outlineLevel="0" collapsed="false">
      <c r="A60" s="7" t="s">
        <v>281</v>
      </c>
      <c r="B60" s="7" t="s">
        <v>936</v>
      </c>
      <c r="C60" s="7" t="s">
        <v>446</v>
      </c>
      <c r="D60" s="7" t="n">
        <v>5869821393</v>
      </c>
      <c r="E60" s="7" t="s">
        <v>937</v>
      </c>
      <c r="F60" s="7" t="s">
        <v>386</v>
      </c>
      <c r="G60" s="7" t="s">
        <v>938</v>
      </c>
    </row>
    <row r="61" customFormat="false" ht="15" hidden="false" customHeight="false" outlineLevel="0" collapsed="false">
      <c r="A61" s="2" t="s">
        <v>283</v>
      </c>
      <c r="B61" s="2" t="s">
        <v>939</v>
      </c>
      <c r="C61" s="2" t="s">
        <v>558</v>
      </c>
      <c r="D61" s="2" t="n">
        <v>214103009</v>
      </c>
      <c r="E61" s="2" t="s">
        <v>940</v>
      </c>
      <c r="F61" s="2" t="s">
        <v>386</v>
      </c>
      <c r="G61" s="2" t="s">
        <v>941</v>
      </c>
    </row>
    <row r="62" customFormat="false" ht="15" hidden="false" customHeight="false" outlineLevel="0" collapsed="false">
      <c r="A62" s="7" t="s">
        <v>285</v>
      </c>
      <c r="B62" s="7" t="s">
        <v>942</v>
      </c>
      <c r="C62" s="7" t="s">
        <v>453</v>
      </c>
      <c r="D62" s="7" t="n">
        <v>4318554567</v>
      </c>
      <c r="E62" s="7" t="s">
        <v>943</v>
      </c>
      <c r="F62" s="7" t="s">
        <v>383</v>
      </c>
      <c r="G62" s="7" t="s">
        <v>944</v>
      </c>
    </row>
    <row r="63" customFormat="false" ht="15" hidden="false" customHeight="false" outlineLevel="0" collapsed="false">
      <c r="A63" s="2" t="s">
        <v>288</v>
      </c>
      <c r="B63" s="2" t="s">
        <v>945</v>
      </c>
      <c r="C63" s="2" t="s">
        <v>501</v>
      </c>
      <c r="D63" s="2" t="n">
        <v>915915082470</v>
      </c>
      <c r="E63" s="2" t="s">
        <v>946</v>
      </c>
      <c r="F63" s="2" t="s">
        <v>386</v>
      </c>
      <c r="G63" s="2" t="s">
        <v>947</v>
      </c>
    </row>
    <row r="64" customFormat="false" ht="15" hidden="false" customHeight="false" outlineLevel="0" collapsed="false">
      <c r="A64" s="7" t="s">
        <v>291</v>
      </c>
      <c r="B64" s="7" t="s">
        <v>948</v>
      </c>
      <c r="C64" s="7" t="s">
        <v>949</v>
      </c>
      <c r="D64" s="7" t="n">
        <v>5287021467</v>
      </c>
      <c r="E64" s="7" t="s">
        <v>950</v>
      </c>
      <c r="F64" s="7" t="s">
        <v>386</v>
      </c>
      <c r="G64" s="7" t="s">
        <v>951</v>
      </c>
    </row>
    <row r="65" customFormat="false" ht="15" hidden="false" customHeight="false" outlineLevel="0" collapsed="false">
      <c r="A65" s="2" t="s">
        <v>294</v>
      </c>
      <c r="B65" s="2" t="s">
        <v>952</v>
      </c>
      <c r="C65" s="2" t="s">
        <v>576</v>
      </c>
      <c r="D65" s="2" t="n">
        <v>916181058210</v>
      </c>
      <c r="E65" s="2" t="s">
        <v>953</v>
      </c>
      <c r="F65" s="2" t="s">
        <v>386</v>
      </c>
      <c r="G65" s="2" t="s">
        <v>954</v>
      </c>
    </row>
    <row r="66" customFormat="false" ht="15" hidden="false" customHeight="false" outlineLevel="0" collapsed="false">
      <c r="A66" s="7" t="s">
        <v>297</v>
      </c>
      <c r="B66" s="7" t="s">
        <v>955</v>
      </c>
      <c r="C66" s="7" t="s">
        <v>513</v>
      </c>
      <c r="D66" s="7" t="n">
        <v>9753056313</v>
      </c>
      <c r="E66" s="7" t="s">
        <v>956</v>
      </c>
      <c r="F66" s="7" t="s">
        <v>386</v>
      </c>
      <c r="G66" s="7" t="s">
        <v>957</v>
      </c>
    </row>
    <row r="67" customFormat="false" ht="15" hidden="false" customHeight="false" outlineLevel="0" collapsed="false">
      <c r="A67" s="2" t="s">
        <v>300</v>
      </c>
      <c r="B67" s="2" t="s">
        <v>958</v>
      </c>
      <c r="C67" s="2" t="s">
        <v>481</v>
      </c>
      <c r="D67" s="2" t="n">
        <v>7436178055</v>
      </c>
      <c r="E67" s="2" t="s">
        <v>959</v>
      </c>
      <c r="F67" s="2" t="s">
        <v>383</v>
      </c>
      <c r="G67" s="2" t="s">
        <v>960</v>
      </c>
    </row>
    <row r="68" customFormat="false" ht="15" hidden="false" customHeight="false" outlineLevel="0" collapsed="false">
      <c r="A68" s="7" t="s">
        <v>303</v>
      </c>
      <c r="B68" s="7" t="s">
        <v>961</v>
      </c>
      <c r="C68" s="7" t="s">
        <v>175</v>
      </c>
      <c r="D68" s="7" t="n">
        <v>407409251</v>
      </c>
      <c r="E68" s="7" t="s">
        <v>962</v>
      </c>
      <c r="F68" s="7" t="s">
        <v>386</v>
      </c>
      <c r="G68" s="7" t="s">
        <v>963</v>
      </c>
    </row>
    <row r="69" customFormat="false" ht="15" hidden="false" customHeight="false" outlineLevel="0" collapsed="false">
      <c r="A69" s="2" t="s">
        <v>306</v>
      </c>
      <c r="B69" s="2" t="s">
        <v>964</v>
      </c>
      <c r="C69" s="2" t="s">
        <v>446</v>
      </c>
      <c r="D69" s="2" t="n">
        <v>913719858588</v>
      </c>
      <c r="E69" s="2" t="s">
        <v>965</v>
      </c>
      <c r="F69" s="2" t="s">
        <v>386</v>
      </c>
      <c r="G69" s="2" t="s">
        <v>966</v>
      </c>
    </row>
    <row r="70" customFormat="false" ht="15" hidden="false" customHeight="false" outlineLevel="0" collapsed="false">
      <c r="A70" s="7" t="s">
        <v>309</v>
      </c>
      <c r="B70" s="7" t="s">
        <v>967</v>
      </c>
      <c r="C70" s="7" t="s">
        <v>968</v>
      </c>
      <c r="D70" s="7" t="n">
        <v>1440411271</v>
      </c>
      <c r="E70" s="7" t="s">
        <v>969</v>
      </c>
      <c r="F70" s="7" t="s">
        <v>383</v>
      </c>
      <c r="G70" s="7" t="s">
        <v>970</v>
      </c>
    </row>
    <row r="71" customFormat="false" ht="15" hidden="false" customHeight="false" outlineLevel="0" collapsed="false">
      <c r="A71" s="2" t="s">
        <v>311</v>
      </c>
      <c r="B71" s="2" t="s">
        <v>971</v>
      </c>
      <c r="C71" s="2" t="s">
        <v>235</v>
      </c>
      <c r="D71" s="2" t="n">
        <v>3859920805</v>
      </c>
      <c r="E71" s="2" t="s">
        <v>972</v>
      </c>
      <c r="F71" s="2" t="s">
        <v>386</v>
      </c>
      <c r="G71" s="2" t="s">
        <v>973</v>
      </c>
    </row>
    <row r="72" customFormat="false" ht="15" hidden="false" customHeight="false" outlineLevel="0" collapsed="false">
      <c r="A72" s="7" t="s">
        <v>313</v>
      </c>
      <c r="B72" s="7" t="s">
        <v>974</v>
      </c>
      <c r="C72" s="7" t="s">
        <v>594</v>
      </c>
      <c r="D72" s="7" t="n">
        <v>8410472405</v>
      </c>
      <c r="E72" s="7" t="s">
        <v>975</v>
      </c>
      <c r="F72" s="7" t="s">
        <v>386</v>
      </c>
      <c r="G72" s="7" t="s">
        <v>976</v>
      </c>
    </row>
    <row r="73" customFormat="false" ht="15" hidden="false" customHeight="false" outlineLevel="0" collapsed="false">
      <c r="A73" s="2" t="s">
        <v>316</v>
      </c>
      <c r="B73" s="2" t="s">
        <v>977</v>
      </c>
      <c r="C73" s="2" t="s">
        <v>418</v>
      </c>
      <c r="D73" s="2" t="n">
        <v>7573085232</v>
      </c>
      <c r="E73" s="2" t="s">
        <v>978</v>
      </c>
      <c r="F73" s="2" t="s">
        <v>386</v>
      </c>
      <c r="G73" s="2" t="s">
        <v>979</v>
      </c>
    </row>
    <row r="74" customFormat="false" ht="15" hidden="false" customHeight="false" outlineLevel="0" collapsed="false">
      <c r="A74" s="7" t="s">
        <v>319</v>
      </c>
      <c r="B74" s="7" t="s">
        <v>980</v>
      </c>
      <c r="C74" s="7" t="s">
        <v>523</v>
      </c>
      <c r="D74" s="7" t="n">
        <v>918037721297</v>
      </c>
      <c r="E74" s="7" t="s">
        <v>981</v>
      </c>
      <c r="F74" s="7" t="s">
        <v>386</v>
      </c>
      <c r="G74" s="7" t="s">
        <v>982</v>
      </c>
    </row>
    <row r="75" customFormat="false" ht="15" hidden="false" customHeight="false" outlineLevel="0" collapsed="false">
      <c r="A75" s="2" t="s">
        <v>322</v>
      </c>
      <c r="B75" s="2" t="s">
        <v>983</v>
      </c>
      <c r="C75" s="2" t="s">
        <v>578</v>
      </c>
      <c r="D75" s="2" t="n">
        <v>919182523205</v>
      </c>
      <c r="E75" s="2" t="s">
        <v>984</v>
      </c>
      <c r="F75" s="2" t="s">
        <v>383</v>
      </c>
      <c r="G75" s="2" t="s">
        <v>985</v>
      </c>
    </row>
    <row r="76" customFormat="false" ht="15" hidden="false" customHeight="false" outlineLevel="0" collapsed="false">
      <c r="A76" s="7" t="s">
        <v>325</v>
      </c>
      <c r="B76" s="7" t="s">
        <v>986</v>
      </c>
      <c r="C76" s="7" t="s">
        <v>150</v>
      </c>
      <c r="D76" s="7" t="n">
        <v>914513765238</v>
      </c>
      <c r="E76" s="7" t="s">
        <v>987</v>
      </c>
      <c r="F76" s="7" t="s">
        <v>383</v>
      </c>
      <c r="G76" s="7" t="s">
        <v>988</v>
      </c>
    </row>
    <row r="77" customFormat="false" ht="15" hidden="false" customHeight="false" outlineLevel="0" collapsed="false">
      <c r="A77" s="2" t="s">
        <v>328</v>
      </c>
      <c r="B77" s="2" t="s">
        <v>989</v>
      </c>
      <c r="C77" s="2" t="s">
        <v>384</v>
      </c>
      <c r="D77" s="2" t="n">
        <v>916936516442</v>
      </c>
      <c r="E77" s="2" t="s">
        <v>990</v>
      </c>
      <c r="F77" s="2" t="s">
        <v>383</v>
      </c>
      <c r="G77" s="2" t="s">
        <v>991</v>
      </c>
    </row>
    <row r="78" customFormat="false" ht="15" hidden="false" customHeight="false" outlineLevel="0" collapsed="false">
      <c r="A78" s="7" t="s">
        <v>331</v>
      </c>
      <c r="B78" s="7" t="s">
        <v>992</v>
      </c>
      <c r="C78" s="7" t="s">
        <v>519</v>
      </c>
      <c r="D78" s="7" t="n">
        <v>910413737551</v>
      </c>
      <c r="E78" s="7" t="s">
        <v>993</v>
      </c>
      <c r="F78" s="7" t="s">
        <v>383</v>
      </c>
      <c r="G78" s="7" t="s">
        <v>994</v>
      </c>
    </row>
    <row r="79" customFormat="false" ht="15" hidden="false" customHeight="false" outlineLevel="0" collapsed="false">
      <c r="A79" s="2" t="s">
        <v>334</v>
      </c>
      <c r="B79" s="2" t="s">
        <v>995</v>
      </c>
      <c r="C79" s="2" t="s">
        <v>262</v>
      </c>
      <c r="D79" s="2" t="n">
        <v>3005266310</v>
      </c>
      <c r="E79" s="2" t="s">
        <v>996</v>
      </c>
      <c r="F79" s="2" t="s">
        <v>383</v>
      </c>
      <c r="G79" s="2" t="s">
        <v>997</v>
      </c>
    </row>
    <row r="80" customFormat="false" ht="15" hidden="false" customHeight="false" outlineLevel="0" collapsed="false">
      <c r="A80" s="7" t="s">
        <v>336</v>
      </c>
      <c r="B80" s="7" t="s">
        <v>998</v>
      </c>
      <c r="C80" s="7" t="s">
        <v>241</v>
      </c>
      <c r="D80" s="7" t="n">
        <v>7606054646</v>
      </c>
      <c r="E80" s="7" t="s">
        <v>999</v>
      </c>
      <c r="F80" s="7" t="s">
        <v>383</v>
      </c>
      <c r="G80" s="7" t="s">
        <v>1000</v>
      </c>
    </row>
    <row r="81" customFormat="false" ht="15" hidden="false" customHeight="false" outlineLevel="0" collapsed="false">
      <c r="A81" s="2" t="s">
        <v>338</v>
      </c>
      <c r="B81" s="2" t="s">
        <v>1001</v>
      </c>
      <c r="C81" s="2" t="s">
        <v>259</v>
      </c>
      <c r="D81" s="2" t="n">
        <v>8448890371</v>
      </c>
      <c r="E81" s="2" t="s">
        <v>1002</v>
      </c>
      <c r="F81" s="2" t="s">
        <v>386</v>
      </c>
      <c r="G81" s="2" t="s">
        <v>1003</v>
      </c>
    </row>
    <row r="82" customFormat="false" ht="15" hidden="false" customHeight="false" outlineLevel="0" collapsed="false">
      <c r="A82" s="7" t="s">
        <v>341</v>
      </c>
      <c r="B82" s="7" t="s">
        <v>1004</v>
      </c>
      <c r="C82" s="7" t="s">
        <v>545</v>
      </c>
      <c r="D82" s="7" t="n">
        <v>4987395025</v>
      </c>
      <c r="E82" s="7" t="s">
        <v>1005</v>
      </c>
      <c r="F82" s="7" t="s">
        <v>386</v>
      </c>
      <c r="G82" s="7" t="s">
        <v>1006</v>
      </c>
    </row>
    <row r="83" customFormat="false" ht="15" hidden="false" customHeight="false" outlineLevel="0" collapsed="false">
      <c r="A83" s="2" t="s">
        <v>344</v>
      </c>
      <c r="B83" s="2" t="s">
        <v>1007</v>
      </c>
      <c r="C83" s="2" t="s">
        <v>135</v>
      </c>
      <c r="D83" s="2" t="n">
        <v>813770782</v>
      </c>
      <c r="E83" s="2" t="s">
        <v>1008</v>
      </c>
      <c r="F83" s="2" t="s">
        <v>383</v>
      </c>
      <c r="G83" s="2" t="s">
        <v>1009</v>
      </c>
    </row>
    <row r="84" customFormat="false" ht="15" hidden="false" customHeight="false" outlineLevel="0" collapsed="false">
      <c r="A84" s="7" t="s">
        <v>347</v>
      </c>
      <c r="B84" s="7" t="s">
        <v>1010</v>
      </c>
      <c r="C84" s="7" t="s">
        <v>546</v>
      </c>
      <c r="D84" s="7" t="n">
        <v>912690208110</v>
      </c>
      <c r="E84" s="7" t="s">
        <v>1011</v>
      </c>
      <c r="F84" s="7" t="s">
        <v>386</v>
      </c>
      <c r="G84" s="7" t="s">
        <v>1012</v>
      </c>
    </row>
    <row r="85" customFormat="false" ht="15" hidden="false" customHeight="false" outlineLevel="0" collapsed="false">
      <c r="A85" s="2" t="s">
        <v>350</v>
      </c>
      <c r="B85" s="2" t="s">
        <v>1013</v>
      </c>
      <c r="C85" s="2" t="s">
        <v>591</v>
      </c>
      <c r="D85" s="2" t="n">
        <v>912205603376</v>
      </c>
      <c r="E85" s="2" t="s">
        <v>1014</v>
      </c>
      <c r="F85" s="2" t="s">
        <v>386</v>
      </c>
      <c r="G85" s="2" t="s">
        <v>1015</v>
      </c>
    </row>
    <row r="86" customFormat="false" ht="15" hidden="false" customHeight="false" outlineLevel="0" collapsed="false">
      <c r="A86" s="7" t="s">
        <v>353</v>
      </c>
      <c r="B86" s="7" t="s">
        <v>1016</v>
      </c>
      <c r="C86" s="7" t="s">
        <v>537</v>
      </c>
      <c r="D86" s="7" t="n">
        <v>913129106402</v>
      </c>
      <c r="E86" s="7" t="s">
        <v>1017</v>
      </c>
      <c r="F86" s="7" t="s">
        <v>386</v>
      </c>
      <c r="G86" s="7" t="s">
        <v>1018</v>
      </c>
    </row>
    <row r="87" customFormat="false" ht="15" hidden="false" customHeight="false" outlineLevel="0" collapsed="false">
      <c r="A87" s="2" t="s">
        <v>355</v>
      </c>
      <c r="B87" s="2" t="s">
        <v>1019</v>
      </c>
      <c r="C87" s="2" t="s">
        <v>533</v>
      </c>
      <c r="D87" s="2" t="n">
        <v>9628920018</v>
      </c>
      <c r="E87" s="2" t="s">
        <v>1020</v>
      </c>
      <c r="F87" s="2" t="s">
        <v>383</v>
      </c>
      <c r="G87" s="2" t="s">
        <v>1021</v>
      </c>
    </row>
    <row r="88" customFormat="false" ht="15" hidden="false" customHeight="false" outlineLevel="0" collapsed="false">
      <c r="A88" s="7" t="s">
        <v>357</v>
      </c>
      <c r="B88" s="7" t="s">
        <v>1022</v>
      </c>
      <c r="C88" s="7" t="s">
        <v>513</v>
      </c>
      <c r="D88" s="7" t="n">
        <v>2112404207</v>
      </c>
      <c r="E88" s="7" t="s">
        <v>1023</v>
      </c>
      <c r="F88" s="7" t="s">
        <v>383</v>
      </c>
      <c r="G88" s="7" t="s">
        <v>1024</v>
      </c>
    </row>
    <row r="89" customFormat="false" ht="15" hidden="false" customHeight="false" outlineLevel="0" collapsed="false">
      <c r="A89" s="2" t="s">
        <v>360</v>
      </c>
      <c r="B89" s="2" t="s">
        <v>1025</v>
      </c>
      <c r="C89" s="2" t="s">
        <v>457</v>
      </c>
      <c r="D89" s="2" t="n">
        <v>919113488461</v>
      </c>
      <c r="E89" s="2" t="s">
        <v>1026</v>
      </c>
      <c r="F89" s="2" t="s">
        <v>383</v>
      </c>
      <c r="G89" s="2" t="s">
        <v>1027</v>
      </c>
    </row>
    <row r="90" customFormat="false" ht="15" hidden="false" customHeight="false" outlineLevel="0" collapsed="false">
      <c r="A90" s="7" t="s">
        <v>363</v>
      </c>
      <c r="B90" s="7" t="s">
        <v>1028</v>
      </c>
      <c r="C90" s="7" t="s">
        <v>509</v>
      </c>
      <c r="D90" s="7" t="n">
        <v>917264144428</v>
      </c>
      <c r="E90" s="7" t="s">
        <v>1029</v>
      </c>
      <c r="F90" s="7" t="s">
        <v>383</v>
      </c>
      <c r="G90" s="7" t="s">
        <v>1030</v>
      </c>
    </row>
    <row r="91" customFormat="false" ht="15" hidden="false" customHeight="false" outlineLevel="0" collapsed="false">
      <c r="A91" s="2" t="s">
        <v>366</v>
      </c>
      <c r="B91" s="2" t="s">
        <v>1031</v>
      </c>
      <c r="C91" s="2" t="s">
        <v>180</v>
      </c>
      <c r="D91" s="2" t="n">
        <v>3327374841</v>
      </c>
      <c r="E91" s="2" t="s">
        <v>1032</v>
      </c>
      <c r="F91" s="2" t="s">
        <v>383</v>
      </c>
      <c r="G91" s="2" t="s">
        <v>1033</v>
      </c>
    </row>
    <row r="92" customFormat="false" ht="15" hidden="false" customHeight="false" outlineLevel="0" collapsed="false">
      <c r="A92" s="7" t="s">
        <v>369</v>
      </c>
      <c r="B92" s="7" t="s">
        <v>1034</v>
      </c>
      <c r="C92" s="7" t="s">
        <v>510</v>
      </c>
      <c r="D92" s="7" t="n">
        <v>915525478357</v>
      </c>
      <c r="E92" s="7" t="s">
        <v>1035</v>
      </c>
      <c r="F92" s="7" t="s">
        <v>383</v>
      </c>
      <c r="G92" s="7" t="s">
        <v>1036</v>
      </c>
    </row>
    <row r="93" customFormat="false" ht="15" hidden="false" customHeight="false" outlineLevel="0" collapsed="false">
      <c r="A93" s="2" t="s">
        <v>372</v>
      </c>
      <c r="B93" s="2" t="s">
        <v>1037</v>
      </c>
      <c r="C93" s="2" t="s">
        <v>349</v>
      </c>
      <c r="D93" s="2" t="n">
        <v>918918356963</v>
      </c>
      <c r="E93" s="2" t="s">
        <v>1038</v>
      </c>
      <c r="F93" s="2" t="s">
        <v>386</v>
      </c>
      <c r="G93" s="2" t="s">
        <v>1039</v>
      </c>
    </row>
    <row r="94" customFormat="false" ht="15" hidden="false" customHeight="false" outlineLevel="0" collapsed="false">
      <c r="A94" s="7" t="s">
        <v>375</v>
      </c>
      <c r="B94" s="7" t="s">
        <v>1040</v>
      </c>
      <c r="C94" s="7" t="s">
        <v>596</v>
      </c>
      <c r="D94" s="7" t="n">
        <v>912783169130</v>
      </c>
      <c r="E94" s="7" t="s">
        <v>1041</v>
      </c>
      <c r="F94" s="7" t="s">
        <v>386</v>
      </c>
      <c r="G94" s="7" t="s">
        <v>1042</v>
      </c>
    </row>
    <row r="95" customFormat="false" ht="15" hidden="false" customHeight="false" outlineLevel="0" collapsed="false">
      <c r="A95" s="2" t="s">
        <v>377</v>
      </c>
      <c r="B95" s="2" t="s">
        <v>1043</v>
      </c>
      <c r="C95" s="2" t="s">
        <v>335</v>
      </c>
      <c r="D95" s="2" t="n">
        <v>914638480067</v>
      </c>
      <c r="E95" s="2" t="s">
        <v>1044</v>
      </c>
      <c r="F95" s="2" t="s">
        <v>383</v>
      </c>
      <c r="G95" s="2" t="s">
        <v>1045</v>
      </c>
    </row>
    <row r="96" customFormat="false" ht="15" hidden="false" customHeight="false" outlineLevel="0" collapsed="false">
      <c r="A96" s="7" t="s">
        <v>379</v>
      </c>
      <c r="B96" s="7" t="s">
        <v>1046</v>
      </c>
      <c r="C96" s="7" t="s">
        <v>609</v>
      </c>
      <c r="D96" s="7" t="n">
        <v>2769457161</v>
      </c>
      <c r="E96" s="7" t="s">
        <v>1047</v>
      </c>
      <c r="F96" s="7" t="s">
        <v>383</v>
      </c>
      <c r="G96" s="7" t="s">
        <v>1048</v>
      </c>
    </row>
    <row r="97" customFormat="false" ht="15" hidden="false" customHeight="false" outlineLevel="0" collapsed="false">
      <c r="A97" s="2" t="s">
        <v>382</v>
      </c>
      <c r="B97" s="2" t="s">
        <v>1049</v>
      </c>
      <c r="C97" s="2" t="s">
        <v>486</v>
      </c>
      <c r="D97" s="2" t="n">
        <v>918680724565</v>
      </c>
      <c r="E97" s="2" t="s">
        <v>1050</v>
      </c>
      <c r="F97" s="2" t="s">
        <v>386</v>
      </c>
      <c r="G97" s="2" t="s">
        <v>1051</v>
      </c>
    </row>
    <row r="98" customFormat="false" ht="15" hidden="false" customHeight="false" outlineLevel="0" collapsed="false">
      <c r="A98" s="7" t="s">
        <v>385</v>
      </c>
      <c r="B98" s="7" t="s">
        <v>1052</v>
      </c>
      <c r="C98" s="7" t="s">
        <v>575</v>
      </c>
      <c r="D98" s="7" t="n">
        <v>456900126</v>
      </c>
      <c r="E98" s="7" t="s">
        <v>1053</v>
      </c>
      <c r="F98" s="7" t="s">
        <v>383</v>
      </c>
      <c r="G98" s="7" t="s">
        <v>1054</v>
      </c>
    </row>
    <row r="99" customFormat="false" ht="15" hidden="false" customHeight="false" outlineLevel="0" collapsed="false">
      <c r="A99" s="2" t="s">
        <v>388</v>
      </c>
      <c r="B99" s="2" t="s">
        <v>1055</v>
      </c>
      <c r="C99" s="2" t="s">
        <v>315</v>
      </c>
      <c r="D99" s="2" t="n">
        <v>914461213936</v>
      </c>
      <c r="E99" s="2" t="s">
        <v>1056</v>
      </c>
      <c r="F99" s="2" t="s">
        <v>386</v>
      </c>
      <c r="G99" s="2" t="s">
        <v>1057</v>
      </c>
    </row>
    <row r="100" customFormat="false" ht="15" hidden="false" customHeight="false" outlineLevel="0" collapsed="false">
      <c r="A100" s="7" t="s">
        <v>390</v>
      </c>
      <c r="B100" s="7" t="s">
        <v>1058</v>
      </c>
      <c r="C100" s="7" t="s">
        <v>340</v>
      </c>
      <c r="D100" s="7" t="n">
        <v>913621448305</v>
      </c>
      <c r="E100" s="7" t="s">
        <v>1059</v>
      </c>
      <c r="F100" s="7" t="s">
        <v>383</v>
      </c>
      <c r="G100" s="7" t="s">
        <v>1060</v>
      </c>
    </row>
    <row r="101" customFormat="false" ht="15" hidden="false" customHeight="false" outlineLevel="0" collapsed="false">
      <c r="A101" s="2" t="s">
        <v>392</v>
      </c>
      <c r="B101" s="2" t="s">
        <v>1061</v>
      </c>
      <c r="C101" s="2" t="s">
        <v>526</v>
      </c>
      <c r="D101" s="2" t="n">
        <v>919478540370</v>
      </c>
      <c r="E101" s="2" t="s">
        <v>1062</v>
      </c>
      <c r="F101" s="2" t="s">
        <v>383</v>
      </c>
      <c r="G101" s="2" t="s">
        <v>1063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15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5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2" min="11" style="0" width="15"/>
    <col collapsed="false" customWidth="true" hidden="false" outlineLevel="0" max="13" min="13" style="0" width="3"/>
    <col collapsed="false" customWidth="true" hidden="false" outlineLevel="0" max="15" min="14" style="0" width="18"/>
  </cols>
  <sheetData>
    <row r="1" customFormat="false" ht="19.5" hidden="false" customHeight="true" outlineLevel="0" collapsed="false">
      <c r="A1" s="89" t="s">
        <v>1064</v>
      </c>
      <c r="B1" s="89" t="s">
        <v>616</v>
      </c>
      <c r="C1" s="89" t="s">
        <v>1065</v>
      </c>
      <c r="D1" s="89" t="s">
        <v>1066</v>
      </c>
      <c r="E1" s="89" t="s">
        <v>1067</v>
      </c>
      <c r="F1" s="89" t="s">
        <v>619</v>
      </c>
      <c r="G1" s="89" t="s">
        <v>1068</v>
      </c>
      <c r="H1" s="89" t="s">
        <v>1069</v>
      </c>
      <c r="I1" s="89" t="s">
        <v>1070</v>
      </c>
      <c r="J1" s="89" t="s">
        <v>1071</v>
      </c>
      <c r="K1" s="89" t="s">
        <v>75</v>
      </c>
      <c r="L1" s="89" t="s">
        <v>82</v>
      </c>
      <c r="M1" s="90"/>
      <c r="N1" s="48" t="s">
        <v>1072</v>
      </c>
      <c r="O1" s="48" t="s">
        <v>1073</v>
      </c>
    </row>
    <row r="2" customFormat="false" ht="15" hidden="false" customHeight="false" outlineLevel="0" collapsed="false">
      <c r="A2" s="2" t="n">
        <v>1</v>
      </c>
      <c r="B2" s="2" t="s">
        <v>1074</v>
      </c>
      <c r="C2" s="2" t="s">
        <v>122</v>
      </c>
      <c r="D2" s="2"/>
      <c r="E2" s="2" t="n">
        <v>1</v>
      </c>
      <c r="F2" s="2" t="s">
        <v>1075</v>
      </c>
      <c r="G2" s="2" t="n">
        <v>0</v>
      </c>
      <c r="H2" s="2" t="s">
        <v>342</v>
      </c>
      <c r="I2" s="2" t="n">
        <v>0</v>
      </c>
      <c r="J2" s="2" t="s">
        <v>317</v>
      </c>
      <c r="K2" s="2" t="s">
        <v>165</v>
      </c>
      <c r="L2" s="2" t="s">
        <v>36</v>
      </c>
      <c r="M2" s="90"/>
      <c r="N2" s="2" t="s">
        <v>5</v>
      </c>
      <c r="O2" s="2" t="s">
        <v>5</v>
      </c>
    </row>
    <row r="3" customFormat="false" ht="15" hidden="false" customHeight="false" outlineLevel="0" collapsed="false">
      <c r="A3" s="2" t="n">
        <v>2</v>
      </c>
      <c r="B3" s="2" t="s">
        <v>1076</v>
      </c>
      <c r="C3" s="2" t="s">
        <v>125</v>
      </c>
      <c r="D3" s="2" t="s">
        <v>179</v>
      </c>
      <c r="E3" s="2" t="n">
        <v>2</v>
      </c>
      <c r="F3" s="2" t="s">
        <v>1077</v>
      </c>
      <c r="G3" s="2" t="n">
        <v>500</v>
      </c>
      <c r="H3" s="2" t="s">
        <v>345</v>
      </c>
      <c r="I3" s="2" t="n">
        <v>2</v>
      </c>
      <c r="J3" s="2" t="s">
        <v>320</v>
      </c>
      <c r="K3" s="2" t="s">
        <v>168</v>
      </c>
      <c r="L3" s="2" t="s">
        <v>37</v>
      </c>
      <c r="M3" s="90"/>
      <c r="N3" s="2" t="s">
        <v>165</v>
      </c>
      <c r="O3" s="2" t="s">
        <v>36</v>
      </c>
    </row>
    <row r="4" customFormat="false" ht="15" hidden="false" customHeight="false" outlineLevel="0" collapsed="false">
      <c r="A4" s="2" t="n">
        <v>3</v>
      </c>
      <c r="B4" s="2" t="s">
        <v>1078</v>
      </c>
      <c r="C4" s="2" t="s">
        <v>128</v>
      </c>
      <c r="D4" s="2" t="s">
        <v>33</v>
      </c>
      <c r="E4" s="2" t="n">
        <v>3</v>
      </c>
      <c r="F4" s="2" t="s">
        <v>1079</v>
      </c>
      <c r="G4" s="2" t="n">
        <v>1000</v>
      </c>
      <c r="H4" s="2" t="s">
        <v>348</v>
      </c>
      <c r="I4" s="2" t="n">
        <v>4</v>
      </c>
      <c r="J4" s="2" t="s">
        <v>323</v>
      </c>
      <c r="K4" s="2" t="s">
        <v>31</v>
      </c>
      <c r="L4" s="2" t="s">
        <v>38</v>
      </c>
      <c r="M4" s="90"/>
      <c r="N4" s="2" t="s">
        <v>168</v>
      </c>
      <c r="O4" s="2" t="s">
        <v>37</v>
      </c>
    </row>
    <row r="5" customFormat="false" ht="15" hidden="false" customHeight="false" outlineLevel="0" collapsed="false">
      <c r="A5" s="2" t="n">
        <v>4</v>
      </c>
      <c r="B5" s="2" t="s">
        <v>1080</v>
      </c>
      <c r="C5" s="2" t="s">
        <v>131</v>
      </c>
      <c r="D5" s="2"/>
      <c r="E5" s="2" t="n">
        <v>4</v>
      </c>
      <c r="F5" s="2" t="s">
        <v>1081</v>
      </c>
      <c r="G5" s="2" t="n">
        <v>1500</v>
      </c>
      <c r="H5" s="2" t="s">
        <v>351</v>
      </c>
      <c r="I5" s="2" t="n">
        <v>6</v>
      </c>
      <c r="J5" s="2" t="s">
        <v>326</v>
      </c>
      <c r="K5" s="2" t="s">
        <v>32</v>
      </c>
      <c r="L5" s="2" t="s">
        <v>39</v>
      </c>
      <c r="M5" s="90"/>
      <c r="N5" s="2" t="s">
        <v>31</v>
      </c>
      <c r="O5" s="2" t="s">
        <v>38</v>
      </c>
    </row>
    <row r="6" customFormat="false" ht="15" hidden="false" customHeight="false" outlineLevel="0" collapsed="false">
      <c r="A6" s="2" t="n">
        <v>5</v>
      </c>
      <c r="B6" s="2" t="s">
        <v>134</v>
      </c>
      <c r="C6" s="2" t="s">
        <v>134</v>
      </c>
      <c r="D6" s="2"/>
      <c r="E6" s="2" t="n">
        <v>5</v>
      </c>
      <c r="F6" s="2" t="s">
        <v>1082</v>
      </c>
      <c r="G6" s="90"/>
      <c r="H6" s="90"/>
      <c r="I6" s="2" t="n">
        <v>8</v>
      </c>
      <c r="J6" s="2" t="s">
        <v>329</v>
      </c>
      <c r="K6" s="2" t="s">
        <v>33</v>
      </c>
      <c r="L6" s="2" t="s">
        <v>40</v>
      </c>
      <c r="M6" s="90"/>
      <c r="N6" s="2" t="s">
        <v>32</v>
      </c>
      <c r="O6" s="2" t="s">
        <v>39</v>
      </c>
    </row>
    <row r="7" customFormat="false" ht="15" hidden="false" customHeight="false" outlineLevel="0" collapsed="false">
      <c r="A7" s="2" t="n">
        <v>6</v>
      </c>
      <c r="B7" s="2" t="s">
        <v>1083</v>
      </c>
      <c r="C7" s="2" t="s">
        <v>137</v>
      </c>
      <c r="D7" s="2"/>
      <c r="E7" s="2" t="n">
        <v>6</v>
      </c>
      <c r="F7" s="2" t="s">
        <v>1084</v>
      </c>
      <c r="G7" s="90"/>
      <c r="H7" s="90"/>
      <c r="I7" s="2" t="n">
        <v>10</v>
      </c>
      <c r="J7" s="2" t="s">
        <v>332</v>
      </c>
      <c r="K7" s="2" t="s">
        <v>40</v>
      </c>
      <c r="L7" s="2" t="s">
        <v>41</v>
      </c>
      <c r="M7" s="90"/>
      <c r="N7" s="2" t="s">
        <v>33</v>
      </c>
      <c r="O7" s="2" t="s">
        <v>40</v>
      </c>
    </row>
    <row r="8" customFormat="false" ht="15" hidden="false" customHeight="false" outlineLevel="0" collapsed="false">
      <c r="A8" s="2" t="n">
        <v>7</v>
      </c>
      <c r="B8" s="2" t="s">
        <v>1085</v>
      </c>
      <c r="C8" s="2" t="s">
        <v>140</v>
      </c>
      <c r="D8" s="2"/>
      <c r="E8" s="2" t="n">
        <v>7</v>
      </c>
      <c r="F8" s="2" t="s">
        <v>1086</v>
      </c>
      <c r="G8" s="90"/>
      <c r="H8" s="90"/>
      <c r="I8" s="90"/>
      <c r="J8" s="90"/>
      <c r="K8" s="2" t="s">
        <v>179</v>
      </c>
      <c r="L8" s="2" t="s">
        <v>42</v>
      </c>
      <c r="M8" s="90"/>
      <c r="N8" s="2" t="s">
        <v>40</v>
      </c>
      <c r="O8" s="2" t="s">
        <v>41</v>
      </c>
    </row>
    <row r="9" customFormat="false" ht="15" hidden="false" customHeight="false" outlineLevel="0" collapsed="false">
      <c r="A9" s="2" t="n">
        <v>8</v>
      </c>
      <c r="B9" s="2" t="s">
        <v>1087</v>
      </c>
      <c r="C9" s="2" t="s">
        <v>143</v>
      </c>
      <c r="D9" s="2" t="s">
        <v>40</v>
      </c>
      <c r="E9" s="90"/>
      <c r="F9" s="90"/>
      <c r="G9" s="90"/>
      <c r="H9" s="90"/>
      <c r="I9" s="90"/>
      <c r="J9" s="90"/>
      <c r="K9" s="90"/>
      <c r="L9" s="90"/>
      <c r="M9" s="90"/>
      <c r="N9" s="2" t="s">
        <v>179</v>
      </c>
      <c r="O9" s="2" t="s">
        <v>42</v>
      </c>
    </row>
    <row r="10" customFormat="false" ht="15" hidden="false" customHeight="false" outlineLevel="0" collapsed="false">
      <c r="A10" s="2" t="n">
        <v>9</v>
      </c>
      <c r="B10" s="2" t="s">
        <v>1088</v>
      </c>
      <c r="C10" s="2" t="s">
        <v>146</v>
      </c>
      <c r="D10" s="2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</row>
    <row r="11" customFormat="false" ht="15" hidden="false" customHeight="false" outlineLevel="0" collapsed="false">
      <c r="A11" s="2" t="n">
        <v>10</v>
      </c>
      <c r="B11" s="2" t="s">
        <v>1089</v>
      </c>
      <c r="C11" s="2" t="s">
        <v>149</v>
      </c>
      <c r="D11" s="2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</row>
    <row r="12" customFormat="false" ht="15" hidden="false" customHeight="false" outlineLevel="0" collapsed="false">
      <c r="A12" s="2" t="n">
        <v>11</v>
      </c>
      <c r="B12" s="2" t="s">
        <v>1090</v>
      </c>
      <c r="C12" s="2" t="s">
        <v>152</v>
      </c>
      <c r="D12" s="2" t="s">
        <v>32</v>
      </c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</row>
    <row r="13" customFormat="false" ht="15" hidden="false" customHeight="false" outlineLevel="0" collapsed="false">
      <c r="A13" s="2" t="n">
        <v>12</v>
      </c>
      <c r="B13" s="2" t="s">
        <v>1091</v>
      </c>
      <c r="C13" s="2" t="s">
        <v>155</v>
      </c>
      <c r="D13" s="2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</row>
    <row r="14" customFormat="false" ht="15" hidden="false" customHeight="false" outlineLevel="0" collapsed="false">
      <c r="A14" s="90"/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</row>
    <row r="15" customFormat="false" ht="15" hidden="false" customHeight="false" outlineLevel="0" collapsed="false">
      <c r="A15" s="90"/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</row>
    <row r="16" customFormat="false" ht="15" hidden="false" customHeight="false" outlineLevel="0" collapsed="false">
      <c r="A16" s="90"/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</row>
    <row r="17" customFormat="false" ht="15" hidden="false" customHeight="false" outlineLevel="0" collapsed="false">
      <c r="A17" s="90"/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</row>
    <row r="18" customFormat="false" ht="15" hidden="false" customHeight="false" outlineLevel="0" collapsed="false">
      <c r="A18" s="90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</row>
    <row r="19" customFormat="false" ht="15" hidden="false" customHeight="false" outlineLevel="0" collapsed="false">
      <c r="A19" s="90"/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</row>
    <row r="20" customFormat="false" ht="15" hidden="false" customHeight="false" outlineLevel="0" collapsed="false">
      <c r="A20" s="90"/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2026-08-07T15:06:00Z</dcterms:created>
  <dc:creator>openpyxl</dc:creator>
  <dc:description/>
  <dc:language>en-US</dc:language>
  <cp:lastModifiedBy/>
  <dcterms:modified xsi:type="dcterms:W3CDTF">2026-08-07T15:06:15Z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